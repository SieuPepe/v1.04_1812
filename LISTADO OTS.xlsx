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alda\Documents\"/>
    </mc:Choice>
  </mc:AlternateContent>
  <xr:revisionPtr revIDLastSave="0" documentId="13_ncr:1_{915D5EAD-A5CE-4C7E-A853-F007E22BDAAF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LISTADO_OTS" sheetId="1" r:id="rId1"/>
  </sheets>
  <definedNames>
    <definedName name="_xlnm._FilterDatabase" localSheetId="0" hidden="1">LISTADO_OTS!$A$1:$Q$510</definedName>
    <definedName name="LISTADO_OTS">LISTADO_OTS!$A$1:$P$510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" i="1" l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2" i="1"/>
</calcChain>
</file>

<file path=xl/sharedStrings.xml><?xml version="1.0" encoding="utf-8"?>
<sst xmlns="http://schemas.openxmlformats.org/spreadsheetml/2006/main" count="3669" uniqueCount="1421">
  <si>
    <t>Id</t>
  </si>
  <si>
    <t>RED</t>
  </si>
  <si>
    <t>TIPO DE TRABAJOS</t>
  </si>
  <si>
    <t>TRABAJOS PROGRAMADOS</t>
  </si>
  <si>
    <t>COD_TRABAJO</t>
  </si>
  <si>
    <t>FECHA INICIO</t>
  </si>
  <si>
    <t>FECHA FIN</t>
  </si>
  <si>
    <t>TITULO OT</t>
  </si>
  <si>
    <t>DESCRIPCIÓN OT</t>
  </si>
  <si>
    <t>LOCALIZACIÓN</t>
  </si>
  <si>
    <t>COMARCA</t>
  </si>
  <si>
    <t>LATITUD</t>
  </si>
  <si>
    <t>LONGITUD</t>
  </si>
  <si>
    <t>FINALIZADA</t>
  </si>
  <si>
    <t>TRABAJADORES</t>
  </si>
  <si>
    <t>SANEAMIENTO</t>
  </si>
  <si>
    <t>TP/0001</t>
  </si>
  <si>
    <t>Limpieza tamices en Lejarzo</t>
  </si>
  <si>
    <t>Limpieza de las tamices de 7:00 a 12:00 en Lejarzo</t>
  </si>
  <si>
    <t>Lejarzo</t>
  </si>
  <si>
    <t>DISTRIBUCIÓN</t>
  </si>
  <si>
    <t>OT/0092</t>
  </si>
  <si>
    <t>Abrir válvula en Erbi</t>
  </si>
  <si>
    <t>Se ha abierto una válvula en Erbi de 14:50 - 15:25</t>
  </si>
  <si>
    <t>Erbi</t>
  </si>
  <si>
    <t>OT/0093</t>
  </si>
  <si>
    <t>Revisión falta de presión en Amurrio</t>
  </si>
  <si>
    <t>Se ha revisado la falta de presión, debido a un contador sucio</t>
  </si>
  <si>
    <t>Amurrio</t>
  </si>
  <si>
    <t>OT/0096</t>
  </si>
  <si>
    <t>Aviso por contador fugando en Amurrio</t>
  </si>
  <si>
    <t>Aviso por contador fugando</t>
  </si>
  <si>
    <t>DEPURACIÓN</t>
  </si>
  <si>
    <t>TP/0003</t>
  </si>
  <si>
    <t>Limpieza fosa en Respaldiza</t>
  </si>
  <si>
    <t>Limpieza fosa séptica en Respaldiza</t>
  </si>
  <si>
    <t>Respaldiza</t>
  </si>
  <si>
    <t>TP/0004</t>
  </si>
  <si>
    <t>Limpieza fosa séptica en Menoio</t>
  </si>
  <si>
    <t>Menoio</t>
  </si>
  <si>
    <t>ADUCCIÓN</t>
  </si>
  <si>
    <t>TP/0005</t>
  </si>
  <si>
    <t>Limpieza captaciones</t>
  </si>
  <si>
    <t>Agurain</t>
  </si>
  <si>
    <t>Agurain/Salvatierra</t>
  </si>
  <si>
    <t>OT/0094</t>
  </si>
  <si>
    <t>Fuga en Cacerías Artziniega</t>
  </si>
  <si>
    <t>Fuga en Artziniega - Cacerías</t>
  </si>
  <si>
    <t>Artziniega</t>
  </si>
  <si>
    <t>TP/0006</t>
  </si>
  <si>
    <t>Limpieza fosa en Tamices Onsoño (Amurrio)</t>
  </si>
  <si>
    <t>Limpieza de fosa séptica Tamices Onsoño</t>
  </si>
  <si>
    <t>Onsoño-Amurrio</t>
  </si>
  <si>
    <t>OT/0095</t>
  </si>
  <si>
    <t>Desatasco colector saneamiento en Espejo</t>
  </si>
  <si>
    <t>Desatascar en Espejo</t>
  </si>
  <si>
    <t>Espejo</t>
  </si>
  <si>
    <t>TP/0002</t>
  </si>
  <si>
    <t>Contadores Polígonos los Fueros en Agurain</t>
  </si>
  <si>
    <t>Alta de contadores en Polígono los fueros en Agurain</t>
  </si>
  <si>
    <t>TP/0007</t>
  </si>
  <si>
    <t>Alta contador en Agurain</t>
  </si>
  <si>
    <t>Instalación del contador - Alta contador en Agurain</t>
  </si>
  <si>
    <t>OT/0097</t>
  </si>
  <si>
    <t>Fuga en Ribabellosa</t>
  </si>
  <si>
    <t>Fuga en ribabellosa, visita montaña alavesa</t>
  </si>
  <si>
    <t>Ribabellosa</t>
  </si>
  <si>
    <t>OT/0098</t>
  </si>
  <si>
    <t>Fuga en Larrinbe</t>
  </si>
  <si>
    <t>Reparación de una fuga en Larrinbe</t>
  </si>
  <si>
    <t>Larrinbe-Amurrio</t>
  </si>
  <si>
    <t>OT/0099</t>
  </si>
  <si>
    <t>Falso aviso de posible fuga en Larrinbe</t>
  </si>
  <si>
    <t>OT/0100</t>
  </si>
  <si>
    <t>Aviso de fuga de acometida en Llodio</t>
  </si>
  <si>
    <t>Aviso de fuga en acometida en edificios en construcción</t>
  </si>
  <si>
    <t>Llodio</t>
  </si>
  <si>
    <t>OT/0101</t>
  </si>
  <si>
    <t>Atasco en Anucita</t>
  </si>
  <si>
    <t>Atasco en Anucita en dos días 03/08-04/08</t>
  </si>
  <si>
    <t>Anucita</t>
  </si>
  <si>
    <t>OT/0102</t>
  </si>
  <si>
    <t>Búsqueda de fuga en Agurain</t>
  </si>
  <si>
    <t>OT/0103</t>
  </si>
  <si>
    <t>Reparación fuga en Sojoguti</t>
  </si>
  <si>
    <t>Sojoguti/Artzeniaga</t>
  </si>
  <si>
    <t>OT/0104</t>
  </si>
  <si>
    <t>Desatasco en Anuncita</t>
  </si>
  <si>
    <t>Desatasco</t>
  </si>
  <si>
    <t>OT/0105</t>
  </si>
  <si>
    <t>Reparación de fuga en Respaldiza</t>
  </si>
  <si>
    <t>Reparación de una fuga en Respaldiza,esquina abajo desde el 04/08/2025 hasta el 13/08/2025</t>
  </si>
  <si>
    <t>Esquina Abajo/Respaldiza</t>
  </si>
  <si>
    <t>TP/0008</t>
  </si>
  <si>
    <t>Ejecución de arqueta en Amurrio</t>
  </si>
  <si>
    <t>Ejecución de arqueta en Amurrio, en el barrio San Roque</t>
  </si>
  <si>
    <t>Barrio San Roque</t>
  </si>
  <si>
    <t>OT/0106</t>
  </si>
  <si>
    <t>Reparación de fuga en Larrinbe</t>
  </si>
  <si>
    <t>TP/0009</t>
  </si>
  <si>
    <t>Instalación de contador - Alta contador en Argomaniz</t>
  </si>
  <si>
    <t>Argomaniz</t>
  </si>
  <si>
    <t>TP/0010</t>
  </si>
  <si>
    <t>Cambio de contador en Sabanto</t>
  </si>
  <si>
    <t>Instalacion de contador, cambio de contador</t>
  </si>
  <si>
    <t>Sabando</t>
  </si>
  <si>
    <t>Arraia-maeztu</t>
  </si>
  <si>
    <t>TP/0011</t>
  </si>
  <si>
    <t>Alta contador en Amurrio</t>
  </si>
  <si>
    <t>Alta del contador, instalación de contadores</t>
  </si>
  <si>
    <t>TP/0012</t>
  </si>
  <si>
    <t>Instalación de contadores en Amurrio</t>
  </si>
  <si>
    <t>Colocar contador en Caravanas - Barracas (Amurrio)</t>
  </si>
  <si>
    <t>OT/0107</t>
  </si>
  <si>
    <t>Reparación de fuga Calle Iturbide en Ribabellosa</t>
  </si>
  <si>
    <t>Localización, reparación de fuga. Creación de avisos. Asfaltado.</t>
  </si>
  <si>
    <t>OT/0108</t>
  </si>
  <si>
    <t>Búsqueda y reparación de fuga Calle Gazarriza en Ribabellosa</t>
  </si>
  <si>
    <t>Búsqueda y reparación de fuga en Ribabellosa</t>
  </si>
  <si>
    <t>OT/0109</t>
  </si>
  <si>
    <t>Reparación de fuga en Erbi</t>
  </si>
  <si>
    <t>TP/0013</t>
  </si>
  <si>
    <t>Búsqueda tubo de saneamiento en Maeztu</t>
  </si>
  <si>
    <t>Se ha abierto una cata en busca del tubo de saneamiento</t>
  </si>
  <si>
    <t>Maeztu</t>
  </si>
  <si>
    <t>OT/0110</t>
  </si>
  <si>
    <t>Reparación de fuga en Puentelarra</t>
  </si>
  <si>
    <t>Se ha tenido que picar bajo el armario del contador en busca de una fuga</t>
  </si>
  <si>
    <t>Puentelarra</t>
  </si>
  <si>
    <t>OT/0111</t>
  </si>
  <si>
    <t>Revisión de la zona por aviso municipal en Llodio</t>
  </si>
  <si>
    <t>Revisión de la zona por aviso municipal en Avenida Zumalacarregui</t>
  </si>
  <si>
    <t>TP/0014</t>
  </si>
  <si>
    <t>Instalación contadores - Cambio de contador en Villanañe</t>
  </si>
  <si>
    <t>Picar arqueta, cambio de contador y acerar arqueta.</t>
  </si>
  <si>
    <t>Villanañe</t>
  </si>
  <si>
    <t>TP/0015</t>
  </si>
  <si>
    <t>Asistencia a camión saneamiento en Llodio</t>
  </si>
  <si>
    <t>Asistencia a camión de saneamiento</t>
  </si>
  <si>
    <t>TP/0016</t>
  </si>
  <si>
    <t>Baja de contador domiciliario en Llodio</t>
  </si>
  <si>
    <t>Bajade contador domiciliario en Doctor Fleming 1, Llodio</t>
  </si>
  <si>
    <t>OT/0112</t>
  </si>
  <si>
    <t>Búsqueda y arreglo de fuga en Agurain</t>
  </si>
  <si>
    <t>OT/0113</t>
  </si>
  <si>
    <t>Localización de fuga en Bañoteibar en Amurrio</t>
  </si>
  <si>
    <t>Localización de fuga en Amurrio</t>
  </si>
  <si>
    <t>OT/0114</t>
  </si>
  <si>
    <t>Reparación de fuga en Amurrio</t>
  </si>
  <si>
    <t>OT/0115</t>
  </si>
  <si>
    <t>Reparación de fuga en Olabezar</t>
  </si>
  <si>
    <t>Olabezar</t>
  </si>
  <si>
    <t>OT/0116</t>
  </si>
  <si>
    <t>Búsqueda de fuga en Amurrio</t>
  </si>
  <si>
    <t>OT/0117</t>
  </si>
  <si>
    <t>Excavación de fuga en Lekamaña</t>
  </si>
  <si>
    <t>Lekamaña-Amurrio</t>
  </si>
  <si>
    <t>TP/0017</t>
  </si>
  <si>
    <t>Corte de agua en Llodio</t>
  </si>
  <si>
    <t>Corte y reposición de servicio a fontanero particular</t>
  </si>
  <si>
    <t>OT/0118</t>
  </si>
  <si>
    <t>Reparación fuga de saneamiento en Maeztu</t>
  </si>
  <si>
    <t>OT/0119</t>
  </si>
  <si>
    <t>Reparación de fuga en Opakua</t>
  </si>
  <si>
    <t>Opacua</t>
  </si>
  <si>
    <t>OT/0120</t>
  </si>
  <si>
    <t>Reparación de fuga en Villanañe</t>
  </si>
  <si>
    <t>Reparación de fuga en Villañane</t>
  </si>
  <si>
    <t>OT/0121</t>
  </si>
  <si>
    <t>OT/0122</t>
  </si>
  <si>
    <t>Atasco en tubería en Zuaza</t>
  </si>
  <si>
    <t>Zuaza</t>
  </si>
  <si>
    <t>OT/0123</t>
  </si>
  <si>
    <t>Fuga de agua en Opakua</t>
  </si>
  <si>
    <t>OT/0124</t>
  </si>
  <si>
    <t>Reparación fuga en Bañoteibar en Amurrio</t>
  </si>
  <si>
    <t>OT/0125</t>
  </si>
  <si>
    <t>Aviso falta de suministro en Luiando</t>
  </si>
  <si>
    <t>Aviso falta de suministro en Barrena Kalea en Luiando</t>
  </si>
  <si>
    <t>Luiando</t>
  </si>
  <si>
    <t>OT/0126</t>
  </si>
  <si>
    <t>Vertido calle Landaluze (Llodio)</t>
  </si>
  <si>
    <t>Vertido en calle Landaluze</t>
  </si>
  <si>
    <t>OT/0127</t>
  </si>
  <si>
    <t>Excavación y colocación de anillo de arqueta en Maeztu</t>
  </si>
  <si>
    <t>OT/0128</t>
  </si>
  <si>
    <t>Reparación fuga en Lekamaña</t>
  </si>
  <si>
    <t>Reparación fuga: Búsqueda de fuga, descubrirla, repararla, tapar caata y fuga.</t>
  </si>
  <si>
    <t>Lekamaña</t>
  </si>
  <si>
    <t>OT/0129</t>
  </si>
  <si>
    <t>Localización de fuga en Delika</t>
  </si>
  <si>
    <t>Localización de fuga en tubería de abastecimiento a depósito</t>
  </si>
  <si>
    <t>Delika</t>
  </si>
  <si>
    <t>OT/0130</t>
  </si>
  <si>
    <t>Localización de fuga en Zambrana</t>
  </si>
  <si>
    <t>Localización de fuga por aviso de fuga</t>
  </si>
  <si>
    <t>Zambrana</t>
  </si>
  <si>
    <t>OT/0138</t>
  </si>
  <si>
    <t>Incidencia en Ribabellosa</t>
  </si>
  <si>
    <t>OT/0131</t>
  </si>
  <si>
    <t>Atasco en Calle Padura (Luiando)</t>
  </si>
  <si>
    <t>Atasco en Calle Padura</t>
  </si>
  <si>
    <t>OT/0132</t>
  </si>
  <si>
    <t>Reparación de fuga y corte de agua</t>
  </si>
  <si>
    <t>Corte de agua en Mendiko Kalea</t>
  </si>
  <si>
    <t>OT/0133</t>
  </si>
  <si>
    <t>Fuga en Barretaguren, Artziniega</t>
  </si>
  <si>
    <t>OT/0134</t>
  </si>
  <si>
    <t>Saneamiento ayuda a camión en Maeztu</t>
  </si>
  <si>
    <t>Saneamiento Maeztu</t>
  </si>
  <si>
    <t>OT/0135</t>
  </si>
  <si>
    <t>Revisión y análisis de trabajos pendientes en Agurain y Alegría</t>
  </si>
  <si>
    <t>Revisión y análisis de trabajos pendientes</t>
  </si>
  <si>
    <t>Agurain y Alegría</t>
  </si>
  <si>
    <t>Llanada Alavesa</t>
  </si>
  <si>
    <t>OT/0136</t>
  </si>
  <si>
    <t>Aviso usuario en agua en Luiando</t>
  </si>
  <si>
    <t>Aviso usuario</t>
  </si>
  <si>
    <t>OT/0137</t>
  </si>
  <si>
    <t>Fuga de agua en Santa Coloma Artzeniaga</t>
  </si>
  <si>
    <t>Fuga de agua en Santa Coloma, Artziniega</t>
  </si>
  <si>
    <t>TP/0018</t>
  </si>
  <si>
    <t>Limpieza de captaciones</t>
  </si>
  <si>
    <t>Limpieza de captaciones en Aiaraldea</t>
  </si>
  <si>
    <t>AIARALDEA</t>
  </si>
  <si>
    <t>TP/0019</t>
  </si>
  <si>
    <t>Mantenimiento fosas sépticas en Oceca</t>
  </si>
  <si>
    <t>Mantenimiento fosas sépticas: Limpieza, vaciado y desbrozado de acceso de fosas</t>
  </si>
  <si>
    <t>Ozeka</t>
  </si>
  <si>
    <t>TP/0020</t>
  </si>
  <si>
    <t>Mantenimiento fosas sépticas en Llanteno</t>
  </si>
  <si>
    <t>Llanteno-Ayala</t>
  </si>
  <si>
    <t>OT/0139</t>
  </si>
  <si>
    <t>Reparación de fuga en Santa Coloma Atzeniaga</t>
  </si>
  <si>
    <t>Fuga en Santa Coloma, reparación de fuga</t>
  </si>
  <si>
    <t>OT/0140</t>
  </si>
  <si>
    <t>Aviso de fuga en Ribabellosa</t>
  </si>
  <si>
    <t>Aviso de urgencia con fuga estrangular</t>
  </si>
  <si>
    <t>OT/0141</t>
  </si>
  <si>
    <t>Reparación de fuga en Artzeniaga</t>
  </si>
  <si>
    <t>Reparación de fuga en Torre Barretaguren en Artziniega</t>
  </si>
  <si>
    <t>OT/0142</t>
  </si>
  <si>
    <t>Tapado de catas en Delika</t>
  </si>
  <si>
    <t>OT/0143</t>
  </si>
  <si>
    <t>Desatasco en Calle Aiara en Amurrio</t>
  </si>
  <si>
    <t>Desatasco en Calle Aiara, Amurrio</t>
  </si>
  <si>
    <t>OT/0144</t>
  </si>
  <si>
    <t>OT/0145</t>
  </si>
  <si>
    <t>Reparación de fuga  en Artzeniaga</t>
  </si>
  <si>
    <t>OT/0146</t>
  </si>
  <si>
    <t>Desatasco Bikandi, Respaldiza</t>
  </si>
  <si>
    <t>OT/0147</t>
  </si>
  <si>
    <t>Búqueda de fuga en Okendo Llodio</t>
  </si>
  <si>
    <t>Búqueda de fuga con el geófono en Okendo, Llodio</t>
  </si>
  <si>
    <t>OT/0148</t>
  </si>
  <si>
    <t>Revisión contador por aviso en Alegria/Dulantzi</t>
  </si>
  <si>
    <t>Aviso de poca presion. Se revisa un contador.</t>
  </si>
  <si>
    <t>Alegría</t>
  </si>
  <si>
    <t>Alegría-Dulantzi</t>
  </si>
  <si>
    <t>OT/0149</t>
  </si>
  <si>
    <t>Búsqueda y reparación de fuga en Zambrana</t>
  </si>
  <si>
    <t>Búsqueda y reparación de fuga</t>
  </si>
  <si>
    <t>TP/0021</t>
  </si>
  <si>
    <t>Búsqueda y desbroce de fosa séptica en Portilla</t>
  </si>
  <si>
    <t>Búsqueda y desbroce de fosa séptica</t>
  </si>
  <si>
    <t>Portilla</t>
  </si>
  <si>
    <t>OT/0150</t>
  </si>
  <si>
    <t>TP/0022</t>
  </si>
  <si>
    <t>Mantenimiento preventivo de saneamiento Mendico en Amurrio</t>
  </si>
  <si>
    <t>Mantenimiento preventivo de saneamiento en Mendiko, Amurrio</t>
  </si>
  <si>
    <t>Mendiko, Amurrio</t>
  </si>
  <si>
    <t>OT/0151</t>
  </si>
  <si>
    <t>Búsqueda de fuga en Espejo</t>
  </si>
  <si>
    <t>Búsqueda de fuga</t>
  </si>
  <si>
    <t>OT/0152</t>
  </si>
  <si>
    <t>Excavación de tubería, trabajos de zanjeo y reinstalación de la tubería en Barrio</t>
  </si>
  <si>
    <t>Se descubre la tubería, se zanja para bajar de profundidad y se vuelve a tapar.</t>
  </si>
  <si>
    <t>Barrio</t>
  </si>
  <si>
    <t>OT/0153</t>
  </si>
  <si>
    <t>Realizar nueva arqueta en San Roque (Amurrio)</t>
  </si>
  <si>
    <t>Llevar el material, excavación para realizar la arqueta y taparla.</t>
  </si>
  <si>
    <t>OT/0154</t>
  </si>
  <si>
    <t>Reparación de fuente en Respaldiza</t>
  </si>
  <si>
    <t>Reparación de fuente</t>
  </si>
  <si>
    <t>OT/0155</t>
  </si>
  <si>
    <t>Tapado catas varias en Ribabellosa y Zambrana</t>
  </si>
  <si>
    <t>Hormigonar, retirar y tirar escombro</t>
  </si>
  <si>
    <t>Ribabellosa y Zambrana</t>
  </si>
  <si>
    <t>Añana</t>
  </si>
  <si>
    <t>TP/0023</t>
  </si>
  <si>
    <t>Mantenimiento preventivo saneamiento en Luiando</t>
  </si>
  <si>
    <t>Mantenimiento preventivo saneamiento, limpiea de saneamiento</t>
  </si>
  <si>
    <t>OT/0156</t>
  </si>
  <si>
    <t>Tapado de catas</t>
  </si>
  <si>
    <t>OT/0157</t>
  </si>
  <si>
    <t>Reparación de fuga en Zambrana</t>
  </si>
  <si>
    <t>Reparación de fuga</t>
  </si>
  <si>
    <t>OT/0158</t>
  </si>
  <si>
    <t>Tapado de tubería en Barrio</t>
  </si>
  <si>
    <t>Tapado de tubería</t>
  </si>
  <si>
    <t>OT/0159</t>
  </si>
  <si>
    <t>Aviso por fuga en Espejo</t>
  </si>
  <si>
    <t>Aviso por fuga</t>
  </si>
  <si>
    <t>OT/0160</t>
  </si>
  <si>
    <t>Sacar aires en Elosu</t>
  </si>
  <si>
    <t>Sacar aires</t>
  </si>
  <si>
    <t>Elosu</t>
  </si>
  <si>
    <t>Legutio</t>
  </si>
  <si>
    <t>OT/0161</t>
  </si>
  <si>
    <t>Reparación de fuga en Atzeniaga</t>
  </si>
  <si>
    <t>Reparación de fuga en San Antonio Auzoa</t>
  </si>
  <si>
    <t>OT/0162</t>
  </si>
  <si>
    <t>Reparación de fuga en Alegría/Dulantzi</t>
  </si>
  <si>
    <t>TP/0024</t>
  </si>
  <si>
    <t>Alta contador en Kartuja-Ibarra</t>
  </si>
  <si>
    <t>Alta contador - Alta contador</t>
  </si>
  <si>
    <t>Katuja-Ibarra, Llodio</t>
  </si>
  <si>
    <t>TP/0025</t>
  </si>
  <si>
    <t>Conexión de acometida de agua potable Kartuja-Ibarra</t>
  </si>
  <si>
    <t>Conexión de acometida de agua potable a barraqueros</t>
  </si>
  <si>
    <t>TP/0026</t>
  </si>
  <si>
    <t>Alta contador de fiestas de Herriko Plaza en Llodio</t>
  </si>
  <si>
    <t>Alta contador de fiestas de Llodio</t>
  </si>
  <si>
    <t>Herriko Palaza, Llodio</t>
  </si>
  <si>
    <t>TP/0027</t>
  </si>
  <si>
    <t>Limpieza mantenimiento saneamiento Amurrio</t>
  </si>
  <si>
    <t>Limpieza mantenimiento saneamiento en el barrio San Jose, Amurrio</t>
  </si>
  <si>
    <t>TP/0028</t>
  </si>
  <si>
    <t>Limpieza captaciones Katxabazo e Intxutaspe</t>
  </si>
  <si>
    <t>Katxabazo e Intxutaspe-Baranbio</t>
  </si>
  <si>
    <t>OT/0163</t>
  </si>
  <si>
    <t>Tapado de cata y reparación de la puerta de cierre en Delika (Amurrio)</t>
  </si>
  <si>
    <t>Tapado de cata y reparación de la puerta de cierre</t>
  </si>
  <si>
    <t>OT/0164</t>
  </si>
  <si>
    <t>Reparación de fuga en Delika (Amurrio)</t>
  </si>
  <si>
    <t>Búsqueda y reparación de fuga. Hormigonado.</t>
  </si>
  <si>
    <t>OT/0165</t>
  </si>
  <si>
    <t>Cierre de llave Delika (Amurrio)</t>
  </si>
  <si>
    <t>Cierre de llave</t>
  </si>
  <si>
    <t>OT/0166</t>
  </si>
  <si>
    <t>Búsqueda y reparación de fuga en Artzeniaga</t>
  </si>
  <si>
    <t>OT/0167</t>
  </si>
  <si>
    <t>Búsqueda de arquetas en Agurain/Salvatierra</t>
  </si>
  <si>
    <t>Búsqueda de arquetas en el Polígono fFueros, 2, Agurain</t>
  </si>
  <si>
    <t>TP/0029</t>
  </si>
  <si>
    <t>Instalación contadores, alta contador</t>
  </si>
  <si>
    <t>TP/0030</t>
  </si>
  <si>
    <t>TP/0031</t>
  </si>
  <si>
    <t>Baja contador en Amurrio</t>
  </si>
  <si>
    <t>Desinstalación contadores, baja contador</t>
  </si>
  <si>
    <t>TP/0032</t>
  </si>
  <si>
    <t>Baja contador en Llodio</t>
  </si>
  <si>
    <t>TP/0033</t>
  </si>
  <si>
    <t>Alta contadores Llodio</t>
  </si>
  <si>
    <t>TP/0034</t>
  </si>
  <si>
    <t>Cambio de contador en Amurrio</t>
  </si>
  <si>
    <t>Sustitución contadores, cambio de contador</t>
  </si>
  <si>
    <t>TP/0035</t>
  </si>
  <si>
    <t>Cambio de contador en Agurain</t>
  </si>
  <si>
    <t>TP/0036</t>
  </si>
  <si>
    <t>Cambio de contador en Rivabellosa</t>
  </si>
  <si>
    <t>Ribabellosa-Rivera Alta</t>
  </si>
  <si>
    <t>OT/0168</t>
  </si>
  <si>
    <t>Fuga Añes alta</t>
  </si>
  <si>
    <t>Añes-Ayala</t>
  </si>
  <si>
    <t>OT/0169</t>
  </si>
  <si>
    <t>Limpieza de saneamiento con camión en Esquina Abajo/Respaldiza</t>
  </si>
  <si>
    <t>Limpieza de saneamiento con camión</t>
  </si>
  <si>
    <t>TP/0037</t>
  </si>
  <si>
    <t>Limpieza captaciones Aiaraldea</t>
  </si>
  <si>
    <t>AIARA</t>
  </si>
  <si>
    <t>TP/0038</t>
  </si>
  <si>
    <t>Mantenimiento de saneamiento con camión en Llodio</t>
  </si>
  <si>
    <t>Mantenimiento de saneamiento con camión</t>
  </si>
  <si>
    <t>OT/0170</t>
  </si>
  <si>
    <t>Preparación de fuga en Artziniaga</t>
  </si>
  <si>
    <t>Preparación de fuga en el campo de fútbol de Artziniega</t>
  </si>
  <si>
    <t>OT/0171</t>
  </si>
  <si>
    <t>Instalación de acometida opakua en Agurain/Salvatierra</t>
  </si>
  <si>
    <t>Instalación de acometida opakua</t>
  </si>
  <si>
    <t>OT/0172</t>
  </si>
  <si>
    <t>Búsqueda de fuga Añes</t>
  </si>
  <si>
    <t>Añes</t>
  </si>
  <si>
    <t>TP/0039</t>
  </si>
  <si>
    <t>Sustitución contador Urbina Eza</t>
  </si>
  <si>
    <t>Sustitución contador</t>
  </si>
  <si>
    <t>Urbina Eza-Kuartango</t>
  </si>
  <si>
    <t>Kuartango</t>
  </si>
  <si>
    <t>TP/0040</t>
  </si>
  <si>
    <t>Sustitución contador en Landa</t>
  </si>
  <si>
    <t>Búsqueda arqueta del contador y sustitución contador</t>
  </si>
  <si>
    <t>Landa</t>
  </si>
  <si>
    <t>Arratzua-Ubarrundia</t>
  </si>
  <si>
    <t>TP/0041</t>
  </si>
  <si>
    <t>Sustitución contadores en Fueros, Agurain</t>
  </si>
  <si>
    <t>Búsqueda de contador. Picar arqueta, cambiar contador y hacer arqueta.</t>
  </si>
  <si>
    <t>Fueros, Agurain</t>
  </si>
  <si>
    <t>TP/0042</t>
  </si>
  <si>
    <t>Sustitución contador en Sabando</t>
  </si>
  <si>
    <t>Arraia-Maeztu</t>
  </si>
  <si>
    <t>TP/0043</t>
  </si>
  <si>
    <t>Sustitución contador en Antoñana</t>
  </si>
  <si>
    <t>Antoñana</t>
  </si>
  <si>
    <t>TP/0044</t>
  </si>
  <si>
    <t>Sustitución contador en Oreitia</t>
  </si>
  <si>
    <t>Oreitia</t>
  </si>
  <si>
    <t>TP/0045</t>
  </si>
  <si>
    <t>Mantenimiento preventivo de saneamiento en Artzeniaga</t>
  </si>
  <si>
    <t>Mantenimiento preventivo de saneamiento</t>
  </si>
  <si>
    <t>OT/0173</t>
  </si>
  <si>
    <t>Reparación de fuga en Larraño( Llodio)</t>
  </si>
  <si>
    <t>Reparación de fuga en Larraño, Llodio</t>
  </si>
  <si>
    <t>OT/0174</t>
  </si>
  <si>
    <t>Reparación de fuga en Llodio</t>
  </si>
  <si>
    <t>Reparación de fuga. Acometida.</t>
  </si>
  <si>
    <t>TP/0046</t>
  </si>
  <si>
    <t>Limpieza de mantenimiento preventivo saneamiento en Artzeniaga</t>
  </si>
  <si>
    <t>Limpieza de mantenimiento preventivo saneamiento</t>
  </si>
  <si>
    <t>OT/0175</t>
  </si>
  <si>
    <t>Reparacion de fuga por aviso en Jokano</t>
  </si>
  <si>
    <t>Reparacion de fuga por aviso</t>
  </si>
  <si>
    <t>Jokano</t>
  </si>
  <si>
    <t>TP/0047</t>
  </si>
  <si>
    <t>Maniobras de válvulas en Landa</t>
  </si>
  <si>
    <t>Maniobras de válvulas</t>
  </si>
  <si>
    <t>TP/0048</t>
  </si>
  <si>
    <t>Sustitución y limpieza de ventosas en Elosu</t>
  </si>
  <si>
    <t>OT/0176</t>
  </si>
  <si>
    <t>Inspección de tuberías con cámara en Colegio La Milagrosa (Llodio)</t>
  </si>
  <si>
    <t>Inspección de tuberías con cámara</t>
  </si>
  <si>
    <t>TP/0049</t>
  </si>
  <si>
    <t>Mantenimiento preventivo de saneamiento de las fosas de Tamices en Onsoño</t>
  </si>
  <si>
    <t>Mantenimiento preventivo de saneamiento de las fosas de Tamices</t>
  </si>
  <si>
    <t>OT/0177</t>
  </si>
  <si>
    <t>Atasco en Amurrio</t>
  </si>
  <si>
    <t>OT/0178</t>
  </si>
  <si>
    <t>Fuga de agua en Sojoguti (Concejo municipio Artzeniaga)</t>
  </si>
  <si>
    <t>Fuga de agua en Sojoguti</t>
  </si>
  <si>
    <t>OT/0179</t>
  </si>
  <si>
    <t>Atasco de saneamiento en Amurrio</t>
  </si>
  <si>
    <t>Atasco de saneamiento</t>
  </si>
  <si>
    <t>OT/0180</t>
  </si>
  <si>
    <t>Reparación de fuga en acometida  en Retes de Llanteno</t>
  </si>
  <si>
    <t>Reparación de fuga en acometida. Hormigonado y asfaltado.</t>
  </si>
  <si>
    <t>Retes de Llanteno</t>
  </si>
  <si>
    <t>OT/0181</t>
  </si>
  <si>
    <t>Reparación avería en Llodio</t>
  </si>
  <si>
    <t>Picado y reparación de reventón. Preparación para hormigonado. Desescombrar. Hormigonado y recorte de baldosa. Embaldosado.</t>
  </si>
  <si>
    <t>OT/0182</t>
  </si>
  <si>
    <t>Fuga de agua en Berganza</t>
  </si>
  <si>
    <t>Berganza-Baranbio</t>
  </si>
  <si>
    <t>OT/0183</t>
  </si>
  <si>
    <t>Atasco en Landaluce, Llodio</t>
  </si>
  <si>
    <t>OT/0184</t>
  </si>
  <si>
    <t>Fuga de agua en Erbi</t>
  </si>
  <si>
    <t>OT/0185</t>
  </si>
  <si>
    <t>OT/0186</t>
  </si>
  <si>
    <t>Erbi-Ayala</t>
  </si>
  <si>
    <t>OT/0187</t>
  </si>
  <si>
    <t>Fuga de agua</t>
  </si>
  <si>
    <t>TP/0050</t>
  </si>
  <si>
    <t>Mantenimiento preventivo con camión de saneamiento en Llodio</t>
  </si>
  <si>
    <t>Mantenimiento preventivo con camión de saneamient en Llodio: Goikoplaza, Tubacex, Zumalakarregi.</t>
  </si>
  <si>
    <t>OT/0188</t>
  </si>
  <si>
    <t>Reparación de fuga y tapado de cata en Zambrana</t>
  </si>
  <si>
    <t>Reparación de fuga y tapado de cata</t>
  </si>
  <si>
    <t>TP/0051</t>
  </si>
  <si>
    <t>Retirada de contadores en Amurrio</t>
  </si>
  <si>
    <t>Retirada de contadores de txonas, etc.</t>
  </si>
  <si>
    <t>OT/0189</t>
  </si>
  <si>
    <t>Fuga de agua en Zambrana</t>
  </si>
  <si>
    <t>OT/0190</t>
  </si>
  <si>
    <t>Fuga de agua en Lujatea (Erbi)</t>
  </si>
  <si>
    <t>Fuga de agua en Lujatea</t>
  </si>
  <si>
    <t>Lujatea-Erbi</t>
  </si>
  <si>
    <t>TP/0052</t>
  </si>
  <si>
    <t>Limpieza de red de saneamiento en Pinedo</t>
  </si>
  <si>
    <t>Limpieza de red de saneamiento</t>
  </si>
  <si>
    <t>Pinedo</t>
  </si>
  <si>
    <t>TP/0053</t>
  </si>
  <si>
    <t>Limpieza fosa séptica en Durana</t>
  </si>
  <si>
    <t>Limpieza fosa séptica. Picar arquetas, preparar y colocar tapas de arquetas. Hormigonar. Recoger escombros.</t>
  </si>
  <si>
    <t>Durana</t>
  </si>
  <si>
    <t>TP/0054</t>
  </si>
  <si>
    <t>Instalación de contador en Llodio</t>
  </si>
  <si>
    <t>Instalación de contador en el rocódromo de Llodio</t>
  </si>
  <si>
    <t>TP/0055</t>
  </si>
  <si>
    <t>Limpieza de la Fosa de Izoria</t>
  </si>
  <si>
    <t>Mantenimiento de la Fosa de Izoria</t>
  </si>
  <si>
    <t>Izoria</t>
  </si>
  <si>
    <t>TP/0056</t>
  </si>
  <si>
    <t>Limpieza de la fosa Artomaña</t>
  </si>
  <si>
    <t>Artomaña-Amurrio</t>
  </si>
  <si>
    <t>OT/0191</t>
  </si>
  <si>
    <t>Fuga de agua en Opacua</t>
  </si>
  <si>
    <t>Fugade agua en Opakua</t>
  </si>
  <si>
    <t>OT/0192</t>
  </si>
  <si>
    <t>Aviso de usuario por presión en Ribabellosa</t>
  </si>
  <si>
    <t>Aviso de usuario por presión</t>
  </si>
  <si>
    <t>OT/0193</t>
  </si>
  <si>
    <t>Cambio de contador y reductora en mal estado en Amurrio</t>
  </si>
  <si>
    <t>Cambio de contador y reductora en mal estado</t>
  </si>
  <si>
    <t>TP/0057</t>
  </si>
  <si>
    <t>Alta contador en Llodio</t>
  </si>
  <si>
    <t>Alta contador</t>
  </si>
  <si>
    <t>TP/0058</t>
  </si>
  <si>
    <t>TP/0059</t>
  </si>
  <si>
    <t>Mantenimiento fosa séptica Elburgo</t>
  </si>
  <si>
    <t>Mantenimiento fosa séptica, desbrozar fosa séptica</t>
  </si>
  <si>
    <t>Elburgo</t>
  </si>
  <si>
    <t>TP/0060</t>
  </si>
  <si>
    <t>Mantenimiento fosa séptica Lahoz</t>
  </si>
  <si>
    <t>Lahoz</t>
  </si>
  <si>
    <t>TP/0061</t>
  </si>
  <si>
    <t>Mantenimiento fosa séptica en Delika</t>
  </si>
  <si>
    <t>Mantenimiento fosa séptica</t>
  </si>
  <si>
    <t>OT/0194</t>
  </si>
  <si>
    <t>Reparación de fuga en Jokano</t>
  </si>
  <si>
    <t>OT/0195</t>
  </si>
  <si>
    <t>Reparación de fuga del contador en Maeztu</t>
  </si>
  <si>
    <t>OT/0196</t>
  </si>
  <si>
    <t>Aviso de falta de agua en Salinas de Añana</t>
  </si>
  <si>
    <t>Reductora en mal estado.</t>
  </si>
  <si>
    <t>Salinas de Añana-AÑANA</t>
  </si>
  <si>
    <t>AÑANA</t>
  </si>
  <si>
    <t>TP/0062</t>
  </si>
  <si>
    <t>Mantenimiento fosa séptica de San Miguel</t>
  </si>
  <si>
    <t>Limpieza de la fosa de San Miguel con camión succionador y descarga en la depuradora.</t>
  </si>
  <si>
    <t>San Miguel</t>
  </si>
  <si>
    <t>TP/0063</t>
  </si>
  <si>
    <t>Mantenimiento fosa séptica en Artzeniaga</t>
  </si>
  <si>
    <t>Limpieza de la fosa de Artziniega</t>
  </si>
  <si>
    <t>OT/0197</t>
  </si>
  <si>
    <t>Recoger escombro en Amurrio</t>
  </si>
  <si>
    <t>Recoger escombro</t>
  </si>
  <si>
    <t>OT/0198</t>
  </si>
  <si>
    <t>Tapado de catas en Menagarai</t>
  </si>
  <si>
    <t>Menagaray</t>
  </si>
  <si>
    <t>OT/0199</t>
  </si>
  <si>
    <t>Reparación de fuga en la EDAR Agurain/Salvatierra</t>
  </si>
  <si>
    <t>Reparación de fuga en la EDAR Agurain</t>
  </si>
  <si>
    <t>OT/0200</t>
  </si>
  <si>
    <t>Aviso de fuga de agua en Puentelarrá</t>
  </si>
  <si>
    <t>Aviso de fuga de agua en Puentelarrá por filtro roto</t>
  </si>
  <si>
    <t>TP/0064</t>
  </si>
  <si>
    <t>Alta contador en Antezana de la Ribera</t>
  </si>
  <si>
    <t>Antezana de la Ribera</t>
  </si>
  <si>
    <t>TP/0065</t>
  </si>
  <si>
    <t>Alta contador en Anuntzeta</t>
  </si>
  <si>
    <t>Anuntzeta</t>
  </si>
  <si>
    <t>TP/0066</t>
  </si>
  <si>
    <t>Desbrozado de fosa Arbígano</t>
  </si>
  <si>
    <t>Desbrozado de fosa. Desatascar y quitar raíces.</t>
  </si>
  <si>
    <t>Arbígano</t>
  </si>
  <si>
    <t>TP/0067</t>
  </si>
  <si>
    <t>Limpieza de captaciones Katzabazo, Intxutaspe, Delika, Artomaña</t>
  </si>
  <si>
    <t>Katxabazo, Intxutaspe, Delika, Artomaña-Aiaraldea</t>
  </si>
  <si>
    <t>Aiaraldea</t>
  </si>
  <si>
    <t>OT/0201</t>
  </si>
  <si>
    <t>Fuga de agua en Delika</t>
  </si>
  <si>
    <t>OT/0202</t>
  </si>
  <si>
    <t>Atasco en Luiando</t>
  </si>
  <si>
    <t>OT/0203</t>
  </si>
  <si>
    <t>Fuga de agua en Depuradora Agurain</t>
  </si>
  <si>
    <t>OT/0204</t>
  </si>
  <si>
    <t>Fuga en Opakua</t>
  </si>
  <si>
    <t>OT/0205</t>
  </si>
  <si>
    <t>Aviso de fuga en Eguileor</t>
  </si>
  <si>
    <t>Eguileor</t>
  </si>
  <si>
    <t>OT/0206</t>
  </si>
  <si>
    <t>Fuga de contador en Agurain/Salvatierra</t>
  </si>
  <si>
    <t>Arreglo de fuga de un contador</t>
  </si>
  <si>
    <t>OT/0207</t>
  </si>
  <si>
    <t>Reparación de fuga en Maroño</t>
  </si>
  <si>
    <t>Maroño</t>
  </si>
  <si>
    <t>OT/0208</t>
  </si>
  <si>
    <t>Atasco de Retes de Tudela (Artzeniaga)</t>
  </si>
  <si>
    <t>Atasco de Retes de Tudela</t>
  </si>
  <si>
    <t>Retes de Tudela</t>
  </si>
  <si>
    <t>TP/0068</t>
  </si>
  <si>
    <t>Desbroce de fosas sépticas en Lahoz</t>
  </si>
  <si>
    <t>Mantenimiento fosas sépticas, desbroce de fosas sépticas</t>
  </si>
  <si>
    <t>TP/0069</t>
  </si>
  <si>
    <t>Limpieza purgador y revisión de camión de saneamiento en Llodio</t>
  </si>
  <si>
    <t>Limpieza purgador y revisión de camión de saneamiento</t>
  </si>
  <si>
    <t>Colegio La Milagrosa</t>
  </si>
  <si>
    <t>OT/0209</t>
  </si>
  <si>
    <t>Desatasco de saneamiento en Zambrana</t>
  </si>
  <si>
    <t>TP/0070</t>
  </si>
  <si>
    <t>Asistencia técnica a Urbide</t>
  </si>
  <si>
    <t>OT/0212</t>
  </si>
  <si>
    <t>Búsqueda de fuga en Salinas de Añana</t>
  </si>
  <si>
    <t>Salinas de Añana</t>
  </si>
  <si>
    <t>OT/0211</t>
  </si>
  <si>
    <t>Búsqueda de fuga en Landa</t>
  </si>
  <si>
    <t>OT/0210</t>
  </si>
  <si>
    <t>Búsqueda de fuga en Opakua-Agurain</t>
  </si>
  <si>
    <t>Búsqueda de fuga en Opakua</t>
  </si>
  <si>
    <t>TP/0071</t>
  </si>
  <si>
    <t>Limpieza fosa de Jokano</t>
  </si>
  <si>
    <t>Jokano-Kuartango</t>
  </si>
  <si>
    <t>OT/0213</t>
  </si>
  <si>
    <t>OT/0214</t>
  </si>
  <si>
    <t>Desatasco de red de saneamiento en Murga</t>
  </si>
  <si>
    <t>Desatasco de red de saneamiento</t>
  </si>
  <si>
    <t>Murga</t>
  </si>
  <si>
    <t>OT/0217</t>
  </si>
  <si>
    <t>Reparación de fuga en Agurain</t>
  </si>
  <si>
    <t>OT/0216</t>
  </si>
  <si>
    <t>Desatasco en Amurrio</t>
  </si>
  <si>
    <t>Desatasco en Amurrio Landaburu 37</t>
  </si>
  <si>
    <t>OT/0215</t>
  </si>
  <si>
    <t>Reparación arqueta de saneamiento en Opacua</t>
  </si>
  <si>
    <t>Reparación arqueta de saneamiento</t>
  </si>
  <si>
    <t>TP/0072</t>
  </si>
  <si>
    <t>Revisión y desbroce para limpieza de fosas en Artziniega</t>
  </si>
  <si>
    <t>TP/0073</t>
  </si>
  <si>
    <t>Instalación de contador en Murga</t>
  </si>
  <si>
    <t>Instalación de contador</t>
  </si>
  <si>
    <t>TP/0074</t>
  </si>
  <si>
    <t>Limpieza de fosa Gazeta</t>
  </si>
  <si>
    <t>Gazeta</t>
  </si>
  <si>
    <t>TP/0075</t>
  </si>
  <si>
    <t>Limpieza de fosa de Portilla</t>
  </si>
  <si>
    <t>Portilla-Zambrana</t>
  </si>
  <si>
    <t>TP/0076</t>
  </si>
  <si>
    <t>Instalación de contador en Agurain</t>
  </si>
  <si>
    <t>Instalación de contador, estaba mal puesto</t>
  </si>
  <si>
    <t>OT/0218</t>
  </si>
  <si>
    <t>Fuga de agua en Olabezar</t>
  </si>
  <si>
    <t>TP/0077</t>
  </si>
  <si>
    <t>Mantenimiento fosas sépticas de Artziniega y Llanteno</t>
  </si>
  <si>
    <t>Artziniega y Llanteno</t>
  </si>
  <si>
    <t>OT/0219</t>
  </si>
  <si>
    <t>Atasco en Llanteno Ureta</t>
  </si>
  <si>
    <t>Llanteno</t>
  </si>
  <si>
    <t>OT/0220</t>
  </si>
  <si>
    <t>Fuga de agua en Barretaguren, Artziniega</t>
  </si>
  <si>
    <t>Reparación de la fuga de agua en Barretaguren, Artziniega</t>
  </si>
  <si>
    <t>TP/0078</t>
  </si>
  <si>
    <t>Limpieza de fosa séptica Larrinbe</t>
  </si>
  <si>
    <t>Larrinbe</t>
  </si>
  <si>
    <t>OT/0221</t>
  </si>
  <si>
    <t>Reparación fuga de agua en Erbi</t>
  </si>
  <si>
    <t>OT/0222</t>
  </si>
  <si>
    <t>TP/0079</t>
  </si>
  <si>
    <t>Mantenimiento de la fosa séptica Larrimbe</t>
  </si>
  <si>
    <t>Limpieza de mantenimiento de la fosa séptica Larrinbe</t>
  </si>
  <si>
    <t>OT/0223</t>
  </si>
  <si>
    <t>Desatasco en Amurrio Landaburu 30</t>
  </si>
  <si>
    <t>TP/0080</t>
  </si>
  <si>
    <t>Lectura de contadores en Aiala, Llodio y Agurain</t>
  </si>
  <si>
    <t>Aiala,Llodio y Agurain</t>
  </si>
  <si>
    <t>TP/0081</t>
  </si>
  <si>
    <t>Mantenimiento preventivo saneamiento en San Jose en Amurrio</t>
  </si>
  <si>
    <t>Limpieza del conector de mantenimiento preventivo de saneamiento de conector de San José kalea</t>
  </si>
  <si>
    <t>San José Kalea</t>
  </si>
  <si>
    <t>OT/0224</t>
  </si>
  <si>
    <t>Fuga de agua en Luko</t>
  </si>
  <si>
    <t>Reparación de fuga de agua en Luko</t>
  </si>
  <si>
    <t>Luko</t>
  </si>
  <si>
    <t>TP/0082</t>
  </si>
  <si>
    <t>Limpieza de captaciones en  Artomaña, Delika, Katzabazo, Intxutaspe, Lejarzo y Añes</t>
  </si>
  <si>
    <t>Limpieza de las captaciones Artomaña, Delika, Katzabazo, Intxutaspe, Lejarzo y Añes</t>
  </si>
  <si>
    <t>TP/0083</t>
  </si>
  <si>
    <t>Mantenimiento preventivo saneamiento en Artomaña</t>
  </si>
  <si>
    <t>Artomaña</t>
  </si>
  <si>
    <t>TP/0084</t>
  </si>
  <si>
    <t>Desbroce de fosas para limpieza en Zuaza, Respaldiza e Izoria</t>
  </si>
  <si>
    <t>Desbroce de fosas para limpieza</t>
  </si>
  <si>
    <t>Zuaza, Respaldiza e Izoria</t>
  </si>
  <si>
    <t>OT/0225</t>
  </si>
  <si>
    <t>Reparación de fuga de agua en Sobrón</t>
  </si>
  <si>
    <t>Fuga de agua en Sobrón</t>
  </si>
  <si>
    <t>Sobron-Lantaron</t>
  </si>
  <si>
    <t>OTROS</t>
  </si>
  <si>
    <t>GF/0001</t>
  </si>
  <si>
    <t>Gastos fijos de explotación totales</t>
  </si>
  <si>
    <t>TP/0085</t>
  </si>
  <si>
    <t>Revisión de válvulas acometidas para corte de agua en Larraño 11 (Llodio)</t>
  </si>
  <si>
    <t>OT/0226</t>
  </si>
  <si>
    <t>Aviso por falta de tapa de arquetas saneamiento en colector Landaluze (Llodio)</t>
  </si>
  <si>
    <t>Aviso de oficina por falta de tapas de saneamiento</t>
  </si>
  <si>
    <t>TP/0086</t>
  </si>
  <si>
    <t>Instalación contador barracas - autos de choque (Llodio)</t>
  </si>
  <si>
    <t>TP/0087</t>
  </si>
  <si>
    <t>Instalación contador churrería (Llodio)</t>
  </si>
  <si>
    <t>TP/0088</t>
  </si>
  <si>
    <t>Sustitución de contador en Rivabellosa</t>
  </si>
  <si>
    <t>Sustitución de contador en Ribabellosa</t>
  </si>
  <si>
    <t>TP/0089</t>
  </si>
  <si>
    <t>Sustitución de contador en Sabando</t>
  </si>
  <si>
    <t>TP/0090</t>
  </si>
  <si>
    <t>OT/0227</t>
  </si>
  <si>
    <t>Reparación de fuga en Luja (Llodio)</t>
  </si>
  <si>
    <t>Reparación de fuga en Luja</t>
  </si>
  <si>
    <t>OT/0228</t>
  </si>
  <si>
    <t>Atasco de saneamiento en Calle Carnicerías (Agurain)</t>
  </si>
  <si>
    <t>OT/0229</t>
  </si>
  <si>
    <t>Reparación de fuga en Calle Los Olmos (Rivabellosa)</t>
  </si>
  <si>
    <t>OT/0230</t>
  </si>
  <si>
    <t>Aviso de fuga en Pozoportillo (Ozeka)</t>
  </si>
  <si>
    <t>Acudir al aviso a ver</t>
  </si>
  <si>
    <t>OT/0231</t>
  </si>
  <si>
    <t>Atasco de saneamiento en La Estación (Amurrio)</t>
  </si>
  <si>
    <t>Atasci de Saneamiento</t>
  </si>
  <si>
    <t>GF/0002</t>
  </si>
  <si>
    <t>Gestión documental del contrato</t>
  </si>
  <si>
    <t>ELENA</t>
  </si>
  <si>
    <t>TP/0091</t>
  </si>
  <si>
    <t>Inventario y digitalización redes saneamiento en Maeztu y Artziniega</t>
  </si>
  <si>
    <t>Maeztu y Artziniega</t>
  </si>
  <si>
    <t>Maeztu-Arraia/Maeztu</t>
  </si>
  <si>
    <t>OT/0232</t>
  </si>
  <si>
    <t>Aviso de fuga en Larraño y parque lamuza (Llodio)</t>
  </si>
  <si>
    <t>Aviso de por fuga en bajada de Luja y aviso de fuente fugando en parque Lamuza. Se cierra acometida de la fuente.</t>
  </si>
  <si>
    <t>OT/0233</t>
  </si>
  <si>
    <t>OT/0234</t>
  </si>
  <si>
    <t>Sustituir válvulas acometidas en Artziniega</t>
  </si>
  <si>
    <t>TP/0092</t>
  </si>
  <si>
    <t>Localización de fugas en Opakua</t>
  </si>
  <si>
    <t>TP/0093</t>
  </si>
  <si>
    <t>Localizar acometidas con fuga y buscar solución en Landa</t>
  </si>
  <si>
    <t>TP/0094</t>
  </si>
  <si>
    <t>Revisión de fosas sépticas-ALAVA</t>
  </si>
  <si>
    <t>Revisión de fosas sépticas</t>
  </si>
  <si>
    <t>Todos los municipios</t>
  </si>
  <si>
    <t>ALAVA</t>
  </si>
  <si>
    <t>TP/0095</t>
  </si>
  <si>
    <t>Localización de fuga por aviso de filtraciones en Salinas de Añana</t>
  </si>
  <si>
    <t>Localización de fuga por aviso de filtraciones</t>
  </si>
  <si>
    <t>TP/0096</t>
  </si>
  <si>
    <t>Localización de fuga en Plaza Boriñaur (Amurrio)</t>
  </si>
  <si>
    <t>TP/0097</t>
  </si>
  <si>
    <t>Localizaciçon de fuga en La Estación (Amurrio)</t>
  </si>
  <si>
    <t>TP/0098</t>
  </si>
  <si>
    <t>Localización de fuga en Txistularis</t>
  </si>
  <si>
    <t>TP/0099</t>
  </si>
  <si>
    <t>Localización de fuga en Luko</t>
  </si>
  <si>
    <t>TP/0114</t>
  </si>
  <si>
    <t>Localización de fuga en  Ugarte</t>
  </si>
  <si>
    <t>Calle Iturriaga</t>
  </si>
  <si>
    <t>Ugarte</t>
  </si>
  <si>
    <t>TP/0100</t>
  </si>
  <si>
    <t>Localización de fuga en Ugarte</t>
  </si>
  <si>
    <t>TP/0101</t>
  </si>
  <si>
    <t>Revisión de sectores Amurrio y Laudio</t>
  </si>
  <si>
    <t>Laudio y Amurrio</t>
  </si>
  <si>
    <t>TP/0102</t>
  </si>
  <si>
    <t>Mantenimiento preventivo saneamiento Amurrio</t>
  </si>
  <si>
    <t>Atasco Amurrio</t>
  </si>
  <si>
    <t>Amurrio-AIARA</t>
  </si>
  <si>
    <t>TP/0103</t>
  </si>
  <si>
    <t>Digitalización Perte en Amurrio</t>
  </si>
  <si>
    <t>Digitalización Perte</t>
  </si>
  <si>
    <t>TP/0104</t>
  </si>
  <si>
    <t>Base de datos de fosas sépticas en Amurrio</t>
  </si>
  <si>
    <t>Base de datos de fosas sépticas</t>
  </si>
  <si>
    <t>TP/0105</t>
  </si>
  <si>
    <t>Revisión de consumos Mendiko</t>
  </si>
  <si>
    <t>TP/0106</t>
  </si>
  <si>
    <t>Lectura de Contadores Sectoriales-ALAVA</t>
  </si>
  <si>
    <t>Lectura de Contadores Sectoriales</t>
  </si>
  <si>
    <t>Todos los municipios-ALAVA</t>
  </si>
  <si>
    <t>TP/0107</t>
  </si>
  <si>
    <t>Comprobación de válvulas de acometida en Luiaondo</t>
  </si>
  <si>
    <t>Comprobación de válvulas de acometida</t>
  </si>
  <si>
    <t>OT/0237</t>
  </si>
  <si>
    <t>Fuga en hidrante en Ostegieta</t>
  </si>
  <si>
    <t>Cerrar hidrante</t>
  </si>
  <si>
    <t>OT/0235</t>
  </si>
  <si>
    <t>Reparación fuga Larraño</t>
  </si>
  <si>
    <t>Larraño</t>
  </si>
  <si>
    <t>TP/0109</t>
  </si>
  <si>
    <t>Revisión colectores en Laudio</t>
  </si>
  <si>
    <t>Revisión colectores</t>
  </si>
  <si>
    <t>OT/0236</t>
  </si>
  <si>
    <t>Reparación fuga Iturriaga 2</t>
  </si>
  <si>
    <t>TP/0110</t>
  </si>
  <si>
    <t>Corte de agua Arbol Malato 2-4 en Laudio</t>
  </si>
  <si>
    <t>Corte de agua Arbol Malato 2-4</t>
  </si>
  <si>
    <t>TP/0111</t>
  </si>
  <si>
    <t>Instalación Contador Arbol Malato 2 en Laudio</t>
  </si>
  <si>
    <t>Instalación Contador Arbol Malato 2</t>
  </si>
  <si>
    <t>TP/0112</t>
  </si>
  <si>
    <t>Sustitución contador Goienuri 11 3ºD en Laudio</t>
  </si>
  <si>
    <t>Sustitución contador Goienuri 11 3ºD</t>
  </si>
  <si>
    <t>TP/0113</t>
  </si>
  <si>
    <t>Retirada de contador Ruperto Urquijo 12 2º A en Laudio</t>
  </si>
  <si>
    <t>Retirada de contador Ruperto Urquijo 12 2ºA</t>
  </si>
  <si>
    <t>TP/0115</t>
  </si>
  <si>
    <t>Sustitución de contador en instituto Zaraobe</t>
  </si>
  <si>
    <t>Sustitución contador Octave</t>
  </si>
  <si>
    <t>TP/0116</t>
  </si>
  <si>
    <t>Limpieza Sojo Red saneamiento en Sojo</t>
  </si>
  <si>
    <t>Limpieza Sojo Red saneamiento</t>
  </si>
  <si>
    <t>Sojo</t>
  </si>
  <si>
    <t>OT/0238</t>
  </si>
  <si>
    <t>Fuga Rivabellosa</t>
  </si>
  <si>
    <t>Arreglo de fuga</t>
  </si>
  <si>
    <t>TP/0117</t>
  </si>
  <si>
    <t>Localizacion fugas abastecimiento en Llodio</t>
  </si>
  <si>
    <t>Busqueda de fugas en sector centro -norte Laudio</t>
  </si>
  <si>
    <t>TP/0118</t>
  </si>
  <si>
    <t>Limpieza mto. fosas septicas en Aiarealdea</t>
  </si>
  <si>
    <t>Limpieza mto. fosas septicas</t>
  </si>
  <si>
    <t>TP/0119</t>
  </si>
  <si>
    <t>Alta de contador. Instalación</t>
  </si>
  <si>
    <t>OT/0239</t>
  </si>
  <si>
    <t>Fuga en Kejana</t>
  </si>
  <si>
    <t>Reparación fuga</t>
  </si>
  <si>
    <t>Quejana</t>
  </si>
  <si>
    <t>OT/0240</t>
  </si>
  <si>
    <t>Fuga Berganza</t>
  </si>
  <si>
    <t>Reparacion Fuga</t>
  </si>
  <si>
    <t>OT/0241</t>
  </si>
  <si>
    <t>Atasco Agurain</t>
  </si>
  <si>
    <t>Repación de atasco en Agurain</t>
  </si>
  <si>
    <t>OT/0242</t>
  </si>
  <si>
    <t>Fuga Artziniega fibrocemento</t>
  </si>
  <si>
    <t>Fuga de fibrocemento en Arceniaga</t>
  </si>
  <si>
    <t>OT/0243</t>
  </si>
  <si>
    <t>Atasco en cementerio de Alegria-Dulantzi</t>
  </si>
  <si>
    <t>Atasco en cementerio</t>
  </si>
  <si>
    <t>TP/0120</t>
  </si>
  <si>
    <t>Revisión F.Septicas en Aiaraldea y c.c.m.m</t>
  </si>
  <si>
    <t>Revisión F.S en Aiaraldea</t>
  </si>
  <si>
    <t>TP/0121</t>
  </si>
  <si>
    <t>Intalación contador en Landako (Amurrio)</t>
  </si>
  <si>
    <t>Se le da la vuelta al contador en la instalación</t>
  </si>
  <si>
    <t>Landako</t>
  </si>
  <si>
    <t>OT/0244</t>
  </si>
  <si>
    <t>Reparación de Fuga Artziniega</t>
  </si>
  <si>
    <t>TP/0122</t>
  </si>
  <si>
    <t>Limpieza fosa en Arbígano (Ribera Alta)</t>
  </si>
  <si>
    <t>TP/0123</t>
  </si>
  <si>
    <t>Limpieza Fosa en Larrimbe</t>
  </si>
  <si>
    <t>OT/0245</t>
  </si>
  <si>
    <t>Colocar tapón en Murga</t>
  </si>
  <si>
    <t>OT/0246</t>
  </si>
  <si>
    <t>Reparacion fuga en Erbi</t>
  </si>
  <si>
    <t>TP/0124</t>
  </si>
  <si>
    <t>Sustitución contador en Amurrio</t>
  </si>
  <si>
    <t>TP/0125</t>
  </si>
  <si>
    <t>Localización fugas en abastecimiento en Llodio</t>
  </si>
  <si>
    <t>OT/0247</t>
  </si>
  <si>
    <t>Desatascar colector de saneamiento en Anucita</t>
  </si>
  <si>
    <t>OT/0248</t>
  </si>
  <si>
    <t>Reparación fuga acometida fuente en Arraya</t>
  </si>
  <si>
    <t>Reparación fuga acometida fuente en Maeztu</t>
  </si>
  <si>
    <t>OT/0249</t>
  </si>
  <si>
    <t>Reparación saneamiento y desatasco en Amurrio</t>
  </si>
  <si>
    <t>Reparación saneamiento fuga y desatasco en Aldai 38</t>
  </si>
  <si>
    <t>OT/0250</t>
  </si>
  <si>
    <t>Reparacion de fuga en Amurrio</t>
  </si>
  <si>
    <t>Reparacion fuga en Aldai 38</t>
  </si>
  <si>
    <t>TP/0126</t>
  </si>
  <si>
    <t>Instalación contadores en Sabando</t>
  </si>
  <si>
    <t>Reparando bebederos del pueblo en Sabando</t>
  </si>
  <si>
    <t>TP/0127</t>
  </si>
  <si>
    <t>Mantenimiento preventivo en saneamiento en Llodio</t>
  </si>
  <si>
    <t>Mantenimiento cadena al camión de saneamiento</t>
  </si>
  <si>
    <t>Desatasco en Tuesta</t>
  </si>
  <si>
    <t>Tuesta</t>
  </si>
  <si>
    <t>TP/0128</t>
  </si>
  <si>
    <t>Limpieza de Fosa en Mimeza (Redes)</t>
  </si>
  <si>
    <t>Mimeza</t>
  </si>
  <si>
    <t>TP/0129</t>
  </si>
  <si>
    <t>Limpieza Fosa de Gereñu</t>
  </si>
  <si>
    <t>Gereñu</t>
  </si>
  <si>
    <t>Iruraiz-gauna</t>
  </si>
  <si>
    <t>TP/0130</t>
  </si>
  <si>
    <t>Limpieza de Fosa en Durana</t>
  </si>
  <si>
    <t>TP/0131</t>
  </si>
  <si>
    <t>Localización de Fugas en abastecimiento en Respaldiza</t>
  </si>
  <si>
    <t>TP/0132</t>
  </si>
  <si>
    <t>Mantenimiento de Fosas en Arceniaga</t>
  </si>
  <si>
    <t>Mantenimiento de Fosas en Artzeniaga</t>
  </si>
  <si>
    <t>TP/0133</t>
  </si>
  <si>
    <t>Localización de Fugas en Isasi (Llodio)</t>
  </si>
  <si>
    <t>Localización de Fugas en Isasi</t>
  </si>
  <si>
    <t>OT/0251</t>
  </si>
  <si>
    <t>Arreglar fuga en Santa Lucia - Bombeo</t>
  </si>
  <si>
    <t>Santa lucia</t>
  </si>
  <si>
    <t>OT/0252</t>
  </si>
  <si>
    <t>Arreglar Fuga en Estavillo</t>
  </si>
  <si>
    <t>Arreglar Fuga en Estavillo en arqueta</t>
  </si>
  <si>
    <t>Estabillo</t>
  </si>
  <si>
    <t>OT/0253</t>
  </si>
  <si>
    <t>Atasco en avenida Ametzola en Artzeniaga</t>
  </si>
  <si>
    <t>Atasco en avenida Ametzola</t>
  </si>
  <si>
    <t>OT/0254</t>
  </si>
  <si>
    <t>Atasco en Tuesta</t>
  </si>
  <si>
    <t>OT/0255</t>
  </si>
  <si>
    <t>Fuga en ElBurgo</t>
  </si>
  <si>
    <t>Fuga en el Burgo</t>
  </si>
  <si>
    <t>OT/0256</t>
  </si>
  <si>
    <t>Fuga en Maroño</t>
  </si>
  <si>
    <t>OT/0257</t>
  </si>
  <si>
    <t>Fuga en Etxegoien</t>
  </si>
  <si>
    <t>Etxegoien</t>
  </si>
  <si>
    <t>OT/0348</t>
  </si>
  <si>
    <t>Fuga en Espejo</t>
  </si>
  <si>
    <t>TP/0134</t>
  </si>
  <si>
    <t>Limpiezas captaciones en Llanteno</t>
  </si>
  <si>
    <t>OT/0258</t>
  </si>
  <si>
    <t>Fuga en Sabanto</t>
  </si>
  <si>
    <t>Fuga en Sabando</t>
  </si>
  <si>
    <t>TP/0135</t>
  </si>
  <si>
    <t>Cambio de contador en Tuesta</t>
  </si>
  <si>
    <t>TP/0136</t>
  </si>
  <si>
    <t>Cambio de contador en Ribabellosa</t>
  </si>
  <si>
    <t>Cambio de contador en Ribabellosa en la residencia</t>
  </si>
  <si>
    <t>OT/0259</t>
  </si>
  <si>
    <t>Reparacion de fuga en Berantevilla</t>
  </si>
  <si>
    <t>Berantevilla</t>
  </si>
  <si>
    <t>TP/0137</t>
  </si>
  <si>
    <t>Mantenimiento de fosas septicas en Dulantzi-Usategui</t>
  </si>
  <si>
    <t>Mantenimiento de fosas septicas en Dulantzi</t>
  </si>
  <si>
    <t>Dulantzi</t>
  </si>
  <si>
    <t>TP/0138</t>
  </si>
  <si>
    <t>Cartografia red saneamiento inventario en P.I.Usategui</t>
  </si>
  <si>
    <t>Cartografia red saneamiento inventario</t>
  </si>
  <si>
    <t>TP/0139</t>
  </si>
  <si>
    <t>Localización de fugas en Elburgo</t>
  </si>
  <si>
    <t>TP/0140</t>
  </si>
  <si>
    <t>Localización de fugas en Berantevilla</t>
  </si>
  <si>
    <t>TP/0141</t>
  </si>
  <si>
    <t>Mantenimiento de fosas en Corro</t>
  </si>
  <si>
    <t>Corro</t>
  </si>
  <si>
    <t>TP/0142</t>
  </si>
  <si>
    <t>Localización de fugas  en Respaldiza</t>
  </si>
  <si>
    <t>TP/0143</t>
  </si>
  <si>
    <t>Instalacion de contadores en Alegria - Dulantzi</t>
  </si>
  <si>
    <t>Instalacion de contadores en Txoznas</t>
  </si>
  <si>
    <t>TP/0144</t>
  </si>
  <si>
    <t>Sustitución de contadores en Alegria - Dulantzi</t>
  </si>
  <si>
    <t>Sustitución de contadores en Alegria</t>
  </si>
  <si>
    <t>TP/0145</t>
  </si>
  <si>
    <t>Cambio de contador en Alegria - Dulantzi</t>
  </si>
  <si>
    <t>TP/0146</t>
  </si>
  <si>
    <t>Limpiezas de Fosa en Elburgo</t>
  </si>
  <si>
    <t>TP/0147</t>
  </si>
  <si>
    <t>Cambio juntas de contador en Menagaray</t>
  </si>
  <si>
    <t>OT/0260</t>
  </si>
  <si>
    <t>Reparacion de acometida en fuente calle Vitoria en Areta</t>
  </si>
  <si>
    <t>Areta</t>
  </si>
  <si>
    <t>OT/0261</t>
  </si>
  <si>
    <t>Corte de agua en Amurrio en Avda de Zumalakarregui 36</t>
  </si>
  <si>
    <t>llodio</t>
  </si>
  <si>
    <t>TP/0148</t>
  </si>
  <si>
    <t>Mantenimiento saneamiento en Llodio</t>
  </si>
  <si>
    <t>Limpiar arqueta de saneamiento en Llodio</t>
  </si>
  <si>
    <t>OT/0262</t>
  </si>
  <si>
    <t>Limpiar tamizes en Artziniega</t>
  </si>
  <si>
    <t>OT/0263</t>
  </si>
  <si>
    <t>Revision posible atasco en Plaza Lezarraga (Amurrio)</t>
  </si>
  <si>
    <t>TP/0149</t>
  </si>
  <si>
    <t>Cambio de contador en Ferrocarriles Amurrio</t>
  </si>
  <si>
    <t>Cambio de contador en Ferrocarriles Amurrioq</t>
  </si>
  <si>
    <t>OT/0264</t>
  </si>
  <si>
    <t>Desatasco en Artziniega</t>
  </si>
  <si>
    <t>OT/0265</t>
  </si>
  <si>
    <t>Reparación de fuga en Goienuri (Llodio)</t>
  </si>
  <si>
    <t>OT/0266</t>
  </si>
  <si>
    <t>Reparación de fuga en calle Vitoria en Llodio</t>
  </si>
  <si>
    <t>Reparación de fuga en la fuente de calle Vitoria en Llodio</t>
  </si>
  <si>
    <t>OT/0267</t>
  </si>
  <si>
    <t>Reparación de fuga en Larraño</t>
  </si>
  <si>
    <t>Reparación de fuga en Larraño (Llodio)</t>
  </si>
  <si>
    <t>OT/0316</t>
  </si>
  <si>
    <t>Sustitución de Tapas en Artziniega</t>
  </si>
  <si>
    <t>OT/0268</t>
  </si>
  <si>
    <t>Sustitución de válvulas en Puentelarra</t>
  </si>
  <si>
    <t>OT/0269</t>
  </si>
  <si>
    <t>OT/0270</t>
  </si>
  <si>
    <t>Reparación de fuga en Espejo</t>
  </si>
  <si>
    <t>Reparación de fuga junto armario de contadores en Espejo</t>
  </si>
  <si>
    <t>TP/0150</t>
  </si>
  <si>
    <t>Sustitución de contador en Espejo</t>
  </si>
  <si>
    <t>Cambio de contador en Espejo</t>
  </si>
  <si>
    <t>TP/0151</t>
  </si>
  <si>
    <t>TP/0152</t>
  </si>
  <si>
    <t>Sustitución de contador en Villanañe</t>
  </si>
  <si>
    <t>Cambio de contador en Villanañe</t>
  </si>
  <si>
    <t>TP/0153</t>
  </si>
  <si>
    <t>TP/0154</t>
  </si>
  <si>
    <t>TP/0155</t>
  </si>
  <si>
    <t>TP/0156</t>
  </si>
  <si>
    <t>Sustitución de contador en Antezana de la Ribera</t>
  </si>
  <si>
    <t>TP/0157</t>
  </si>
  <si>
    <t>OT/0271</t>
  </si>
  <si>
    <t>OT/0272</t>
  </si>
  <si>
    <t>OT/0273</t>
  </si>
  <si>
    <t>Fuga Larrimbe</t>
  </si>
  <si>
    <t>OT/0274</t>
  </si>
  <si>
    <t>Fuga en Iperrega en Baranbio</t>
  </si>
  <si>
    <t>Iperrega-Baranbio</t>
  </si>
  <si>
    <t>TP/0158</t>
  </si>
  <si>
    <t>Saneamiento en Artziniega</t>
  </si>
  <si>
    <t>OT/0275</t>
  </si>
  <si>
    <t>Fuga Quejana</t>
  </si>
  <si>
    <t>OT/0276</t>
  </si>
  <si>
    <t>Fuga en Barrio</t>
  </si>
  <si>
    <t>OT/0277</t>
  </si>
  <si>
    <t>Fuga en Oreitia</t>
  </si>
  <si>
    <t>OT/0278</t>
  </si>
  <si>
    <t>Fuga en Respaldiza en Zerrabe Ausoa  n4</t>
  </si>
  <si>
    <t>Fuga en Respaldiza en Zerrabe Ausoa n4</t>
  </si>
  <si>
    <t>TP/0159</t>
  </si>
  <si>
    <t>Limpieza de Red en Aresketamendi (Amurrio)</t>
  </si>
  <si>
    <t>OT/0279</t>
  </si>
  <si>
    <t>Aviso por fuga en montante en Avda.Zumalakarregui n36</t>
  </si>
  <si>
    <t>Aviso por fuga en montante en Avda.Zumalakarregui 36</t>
  </si>
  <si>
    <t>TP/0160</t>
  </si>
  <si>
    <t>Limpieza capataciones en Araia ( Agurain)</t>
  </si>
  <si>
    <t>Limpieza capataciones</t>
  </si>
  <si>
    <t>Araia</t>
  </si>
  <si>
    <t>OT/0280</t>
  </si>
  <si>
    <t>Fuga en Berantevilla</t>
  </si>
  <si>
    <t>OT/0281</t>
  </si>
  <si>
    <t>Fuga en Zambrana</t>
  </si>
  <si>
    <t>OT/0282</t>
  </si>
  <si>
    <t>Fuga Erbi</t>
  </si>
  <si>
    <t>OT/0283</t>
  </si>
  <si>
    <t>Atasco en Agurain</t>
  </si>
  <si>
    <t>OT/0284</t>
  </si>
  <si>
    <t>Abonado sin agua en C/Virgen del carmen n27</t>
  </si>
  <si>
    <t>OT/0285</t>
  </si>
  <si>
    <t>Atasco en Artziniega en Bajada Resbalon</t>
  </si>
  <si>
    <t>OT/0286</t>
  </si>
  <si>
    <t>Abonado sin agua en Agurain</t>
  </si>
  <si>
    <t>OT/0287</t>
  </si>
  <si>
    <t>Reparación de Fuga en C/Maskuribai</t>
  </si>
  <si>
    <t>OT/0288</t>
  </si>
  <si>
    <t>Reparación de Fuga en Menoio</t>
  </si>
  <si>
    <t>OT/0289</t>
  </si>
  <si>
    <t>Desatasco en Luiando C/Padura n7</t>
  </si>
  <si>
    <t>OT/0290</t>
  </si>
  <si>
    <t>Reparación saneamiento en Anucita</t>
  </si>
  <si>
    <t>OT/0370</t>
  </si>
  <si>
    <t>Desatasco en fabrica de Ribabellosa</t>
  </si>
  <si>
    <t>TP/0161</t>
  </si>
  <si>
    <t>TP/0162</t>
  </si>
  <si>
    <t>Retirada de contador en Amurrio</t>
  </si>
  <si>
    <t>TP/0163</t>
  </si>
  <si>
    <t>Sustitución de contador en Alegria</t>
  </si>
  <si>
    <t>TP/0164</t>
  </si>
  <si>
    <t>Instalación contador en Anuntzibai N5 (Llodio)</t>
  </si>
  <si>
    <t>TP/0165</t>
  </si>
  <si>
    <t>Sustitución de contadores en Ribabellosa</t>
  </si>
  <si>
    <t>TP/0166</t>
  </si>
  <si>
    <t>Sustitución de contador en Espejo C/Las arenas n8</t>
  </si>
  <si>
    <t>TP/0167</t>
  </si>
  <si>
    <t>TP/0168</t>
  </si>
  <si>
    <t>Instalación de contador en Llodio C/Plaza Ostagieta n7</t>
  </si>
  <si>
    <t>TP/0169</t>
  </si>
  <si>
    <t>Sustitución de contador en Menoio</t>
  </si>
  <si>
    <t>TP/0170</t>
  </si>
  <si>
    <t>Instalación de contador en Maestu C/Corres n2</t>
  </si>
  <si>
    <t>TP/0171</t>
  </si>
  <si>
    <t>Sustitución de contador en Respaldiza</t>
  </si>
  <si>
    <t>TP/0172</t>
  </si>
  <si>
    <t>Sustitución de contador en Villanañe (varios contadores)</t>
  </si>
  <si>
    <t>OT/0300</t>
  </si>
  <si>
    <t>Reparación de Fuga en Maroño</t>
  </si>
  <si>
    <t>OT/0301</t>
  </si>
  <si>
    <t>Reparación de Fuga en Esquina de Abajo/Respaldiza</t>
  </si>
  <si>
    <t>OT/0302</t>
  </si>
  <si>
    <t>Reparación de albañilería y catas por fuga Facsa (Salinas de Añana)</t>
  </si>
  <si>
    <t>TP/0176</t>
  </si>
  <si>
    <t>Ejecución de nueva acometida Inausa (Amurrio)</t>
  </si>
  <si>
    <t>Ejecución de nueva acometida INAUSA (Amurrio)</t>
  </si>
  <si>
    <t>OT/0304</t>
  </si>
  <si>
    <t>TP/0173</t>
  </si>
  <si>
    <t>Sustitución de contadores en Opacua</t>
  </si>
  <si>
    <t>TP/0174</t>
  </si>
  <si>
    <t>Instalación de contador en riego en Llodio</t>
  </si>
  <si>
    <t>TP/0175</t>
  </si>
  <si>
    <t>Mantenimiento preventivo saneamiento en Agurain</t>
  </si>
  <si>
    <t>Mangtenimiento preventivo saneamiento en Agurain</t>
  </si>
  <si>
    <t>OT/0303</t>
  </si>
  <si>
    <t>Reparación de fuga en Areta (Llodio)</t>
  </si>
  <si>
    <t>OT/0305</t>
  </si>
  <si>
    <t>Reparación de fuga en Izoria</t>
  </si>
  <si>
    <t>OT/0306</t>
  </si>
  <si>
    <t>Reparación de fuga en el Parque Lamuza (Llodio)</t>
  </si>
  <si>
    <t>Reparación de fuga en el Parque Lamuza</t>
  </si>
  <si>
    <t>OT/0307</t>
  </si>
  <si>
    <t>Reparar fuga VRP de Arbaiza</t>
  </si>
  <si>
    <t>OT/0308</t>
  </si>
  <si>
    <t>Reparación de fuga en Elburgo</t>
  </si>
  <si>
    <t>TP/0177</t>
  </si>
  <si>
    <t>Mantenimiento de saneamiento en Agurain</t>
  </si>
  <si>
    <t>TP/0178</t>
  </si>
  <si>
    <t>Sustitución contadores en Alegria</t>
  </si>
  <si>
    <t>TP/0179</t>
  </si>
  <si>
    <t>Corte de Agua en Urumea n4 (Llodio)</t>
  </si>
  <si>
    <t>OT/0309</t>
  </si>
  <si>
    <t>Aviso de Fuga en la estación de Amurrio</t>
  </si>
  <si>
    <t>OT/0310</t>
  </si>
  <si>
    <t>OT/0311</t>
  </si>
  <si>
    <t>Fuga en Elburgo</t>
  </si>
  <si>
    <t>OT/0312</t>
  </si>
  <si>
    <t>Reparacion de fuga en Larrimbe</t>
  </si>
  <si>
    <t>OT/0313</t>
  </si>
  <si>
    <t>Desatasco en Anucita</t>
  </si>
  <si>
    <t>OT/0314</t>
  </si>
  <si>
    <t>Fuga en Llodio</t>
  </si>
  <si>
    <t>OT/0315</t>
  </si>
  <si>
    <t>Fuga de Iperrega (Amurrio)</t>
  </si>
  <si>
    <t>Fuga de Iperrega</t>
  </si>
  <si>
    <t>OT/0317</t>
  </si>
  <si>
    <t>Desatasco en Zuaza (Campa)</t>
  </si>
  <si>
    <t>OT/0318</t>
  </si>
  <si>
    <t>Reparacion de fuga en la calle Galburu (Alegria)</t>
  </si>
  <si>
    <t>OT/0319</t>
  </si>
  <si>
    <t>Reparacion de fuga en Iperrega (Baranbio)</t>
  </si>
  <si>
    <t>TP/0180</t>
  </si>
  <si>
    <t>Limpieza de captaciones en Aiara</t>
  </si>
  <si>
    <t>OT/0320</t>
  </si>
  <si>
    <t>Reparacion fuga acometida Agurain</t>
  </si>
  <si>
    <t>OT/0321</t>
  </si>
  <si>
    <t>Fuga en Erbi</t>
  </si>
  <si>
    <t>OT/0322</t>
  </si>
  <si>
    <t>Abonado sin agua en Estabillo</t>
  </si>
  <si>
    <t>OT/0323</t>
  </si>
  <si>
    <t>Atasco en Alegria C/Larrainza</t>
  </si>
  <si>
    <t>OT/0324</t>
  </si>
  <si>
    <t>Atasco en Artziniega (Calle Abajo)</t>
  </si>
  <si>
    <t>OT/0325</t>
  </si>
  <si>
    <t>Fuga en Murga</t>
  </si>
  <si>
    <t>OT/0326</t>
  </si>
  <si>
    <t>Fuga en Quintana</t>
  </si>
  <si>
    <t>Quintana</t>
  </si>
  <si>
    <t>Bernedo</t>
  </si>
  <si>
    <t>OT/0327</t>
  </si>
  <si>
    <t>Atasco en Goikolarra(Amurrio)</t>
  </si>
  <si>
    <t>TP/0181</t>
  </si>
  <si>
    <t>Instalación de contadores Plaza de Abastos (Llodio)</t>
  </si>
  <si>
    <t>OT/0328</t>
  </si>
  <si>
    <t>Reparaciones de Fuga en Ugarte (Llodio)</t>
  </si>
  <si>
    <t>OT/0329</t>
  </si>
  <si>
    <t>Reparación de fuga en Pozoportillo</t>
  </si>
  <si>
    <t>Pozoportillo-Ozeka</t>
  </si>
  <si>
    <t>TP/0182</t>
  </si>
  <si>
    <t>Instalación de contador en Luiando</t>
  </si>
  <si>
    <t>OT/0330</t>
  </si>
  <si>
    <t>Aviso poca presión en Zuaza</t>
  </si>
  <si>
    <t>Aviso poca presión en Zuaza (Panaderia)(esta en mal estado)</t>
  </si>
  <si>
    <t>OT/0331</t>
  </si>
  <si>
    <t>Reparación de fuga en Murga 41</t>
  </si>
  <si>
    <t>OT/0332</t>
  </si>
  <si>
    <t>Desatascar lineas de saneamiento en Alegria</t>
  </si>
  <si>
    <t>TP/0183</t>
  </si>
  <si>
    <t>Mantenimiento de fosas sépticas en Antoñana</t>
  </si>
  <si>
    <t>OT/0333</t>
  </si>
  <si>
    <t>Aviso por fuga en Aldai n38 (Amurrio)</t>
  </si>
  <si>
    <t>OT/0334</t>
  </si>
  <si>
    <t>Reparación colector saneamiento Artziniega</t>
  </si>
  <si>
    <t>OT/0335</t>
  </si>
  <si>
    <t>Localización de fugas y revisión de arquetas de pluviales y saneamiento en Atxeta</t>
  </si>
  <si>
    <t>OT/0336</t>
  </si>
  <si>
    <t>Reparación y desatasco colector pluviales en Ribabellosa</t>
  </si>
  <si>
    <t>OT/0337</t>
  </si>
  <si>
    <t>Reparación y sustitución valvulas acometida C/Jose Matia (Llodio)</t>
  </si>
  <si>
    <t>TP/0184</t>
  </si>
  <si>
    <t>Retirada de contador en Anucita</t>
  </si>
  <si>
    <t>TP/0185</t>
  </si>
  <si>
    <t>Instalación contador en Oteo</t>
  </si>
  <si>
    <t>Oteo</t>
  </si>
  <si>
    <t>OT/0338</t>
  </si>
  <si>
    <t>Reparación saneamiento Artziniega</t>
  </si>
  <si>
    <t>TP/0186</t>
  </si>
  <si>
    <t>Instalación contador C/Virgen del Carmen n35 (Llodio)</t>
  </si>
  <si>
    <t>OT/0339</t>
  </si>
  <si>
    <t>Restablecer sector centro norte (Llodio)</t>
  </si>
  <si>
    <t>OT/0340</t>
  </si>
  <si>
    <t>Restablecer sector Bañoleibar (Amurrio)</t>
  </si>
  <si>
    <t>TP/0187</t>
  </si>
  <si>
    <t>Asistencia a Urbide y Ayto Llodio obra Lamuza</t>
  </si>
  <si>
    <t>TP/0188</t>
  </si>
  <si>
    <t>Mantenimiento preventivo saneamiento Alegría</t>
  </si>
  <si>
    <t>TP/0189</t>
  </si>
  <si>
    <t>Asistencia Técnica a Obra de Maroño</t>
  </si>
  <si>
    <t>OT/0341</t>
  </si>
  <si>
    <t>Reparación de fuga en Zuaza</t>
  </si>
  <si>
    <t>OT/0342</t>
  </si>
  <si>
    <t>Desatasco de saneamiento en Luiando</t>
  </si>
  <si>
    <t>TP/0190</t>
  </si>
  <si>
    <t>Instalación contador en Anuncibai (Llodio)</t>
  </si>
  <si>
    <t>TP/0191</t>
  </si>
  <si>
    <t>Sustitución de contadores en C/Avenida Gernica n6 (Artziniega)</t>
  </si>
  <si>
    <t>TP/0192</t>
  </si>
  <si>
    <t>Corte de agua.Colocación avisos en C/Zabaleko n8 (Amurrio)</t>
  </si>
  <si>
    <t>TP/0193</t>
  </si>
  <si>
    <t>Instalación contadores Oteo</t>
  </si>
  <si>
    <t>TP/0194</t>
  </si>
  <si>
    <t>Localización de fugas en Agurain</t>
  </si>
  <si>
    <t>OT/0343</t>
  </si>
  <si>
    <t>Revisión de saneamiento por filtraciones en garajes en Agurain</t>
  </si>
  <si>
    <t>TP/0195</t>
  </si>
  <si>
    <t>Localización de redes saneamiento en Agurain</t>
  </si>
  <si>
    <t>TP/0196</t>
  </si>
  <si>
    <t>Revisión de red saneamiento Ribabellosa</t>
  </si>
  <si>
    <t>OT/0344</t>
  </si>
  <si>
    <t>Reparación de fuga en Murga</t>
  </si>
  <si>
    <t>OT/0345</t>
  </si>
  <si>
    <t>Reparación de entrada a la fosa de Antoñana</t>
  </si>
  <si>
    <t>TP/0197</t>
  </si>
  <si>
    <t>Sustitución de contador en C/ molino en Berantevilla</t>
  </si>
  <si>
    <t>Insatalación de contador en Berantevilla</t>
  </si>
  <si>
    <t>OT/0346</t>
  </si>
  <si>
    <t>OT/0347</t>
  </si>
  <si>
    <t>TP/0198</t>
  </si>
  <si>
    <t>Limpieza de colector de pluviales en Alegría</t>
  </si>
  <si>
    <t>TP/0199</t>
  </si>
  <si>
    <t>Sustitución de contador en C/Rio Ayuda n47 en Berantevilla</t>
  </si>
  <si>
    <t>TP/0200</t>
  </si>
  <si>
    <t>Sustitución de contador en C/La Venta n2 en Ribabellosa</t>
  </si>
  <si>
    <t>TP/0201</t>
  </si>
  <si>
    <t>Localización de fugas en abastecimiento en Agurain</t>
  </si>
  <si>
    <t>TP/0202</t>
  </si>
  <si>
    <t>TP/0203</t>
  </si>
  <si>
    <t>Localización de fugas en abastecimiento en Arbígano</t>
  </si>
  <si>
    <t>TP/0204</t>
  </si>
  <si>
    <t>Aporte de pluviales al saneamiento en Onsoño</t>
  </si>
  <si>
    <t>Onsoño</t>
  </si>
  <si>
    <t>TP/0205</t>
  </si>
  <si>
    <t>Fuga en ramal Campijo-Santa Coloma</t>
  </si>
  <si>
    <t>Santa Coloma</t>
  </si>
  <si>
    <t>TP/0206</t>
  </si>
  <si>
    <t>Humedades santuario de la Encina</t>
  </si>
  <si>
    <t>Humedades santuario de La Encina</t>
  </si>
  <si>
    <t>La Encina</t>
  </si>
  <si>
    <t>TP/0207</t>
  </si>
  <si>
    <t>Localización de fugas C/Zerralde n3 en Respaldiza</t>
  </si>
  <si>
    <t>TP/0208</t>
  </si>
  <si>
    <t>Revisión en busca de fugas en la red de aducción en Atziniega</t>
  </si>
  <si>
    <t>TP/0209</t>
  </si>
  <si>
    <t>Localización de fugas en Luiando debido a consumo elevado</t>
  </si>
  <si>
    <t>TP/0210</t>
  </si>
  <si>
    <t>Atasco en C/Venta el Bullon en Ribabellosa</t>
  </si>
  <si>
    <t>TP/0211</t>
  </si>
  <si>
    <t>Localización de fugas en Elosu</t>
  </si>
  <si>
    <t>TP/0212</t>
  </si>
  <si>
    <t>Revisión de zonas del saneamiento de Agurain</t>
  </si>
  <si>
    <t>TP/0213</t>
  </si>
  <si>
    <t>Localización de fugas en Luiaondo</t>
  </si>
  <si>
    <t>Localización fugas en Luiaondo por consumo elevado</t>
  </si>
  <si>
    <t>TP/0214</t>
  </si>
  <si>
    <t>Localización fuga en Berantevilla</t>
  </si>
  <si>
    <t>TP/0215</t>
  </si>
  <si>
    <t>Ejecución de informes de Fosas Septicas (OFICINA)</t>
  </si>
  <si>
    <t>GF/0003</t>
  </si>
  <si>
    <t>GF/0004</t>
  </si>
  <si>
    <t>TP/0216</t>
  </si>
  <si>
    <t>Digitalización de redes abastecimiento y saneamiento</t>
  </si>
  <si>
    <t>Ribabellosa, Agurain,Maeztu</t>
  </si>
  <si>
    <t>JORGE</t>
  </si>
  <si>
    <t>TP/0217</t>
  </si>
  <si>
    <t>Instalación de contador en Artziniega C/Jauregia n6</t>
  </si>
  <si>
    <t>KERMAN</t>
  </si>
  <si>
    <t>TP/0218</t>
  </si>
  <si>
    <t>Instalación de contador en Artziniega C/Ureta n1</t>
  </si>
  <si>
    <t>OT/0349</t>
  </si>
  <si>
    <t>Asfaltado en cata Facsa en Gazeta</t>
  </si>
  <si>
    <t>MIGUEL y ZOUITA</t>
  </si>
  <si>
    <t>OT/0350</t>
  </si>
  <si>
    <t>Reparación de fuga en C/Aldai n38</t>
  </si>
  <si>
    <t>Reparación de fuga en Aldai</t>
  </si>
  <si>
    <t>OT/0351</t>
  </si>
  <si>
    <t>Atasco de saneamiento en Larrabe</t>
  </si>
  <si>
    <t>KERMAN y EMILIO</t>
  </si>
  <si>
    <t>OT/0352</t>
  </si>
  <si>
    <t>Reparación fuga Erbi</t>
  </si>
  <si>
    <t>OT/0353</t>
  </si>
  <si>
    <t>Atasco en Delika</t>
  </si>
  <si>
    <t>MIGUEL</t>
  </si>
  <si>
    <t>TP/0219</t>
  </si>
  <si>
    <t>Limpieza Captaciones</t>
  </si>
  <si>
    <t>OT/0354</t>
  </si>
  <si>
    <t>Reparación de fuga en Llanteno</t>
  </si>
  <si>
    <t>OT/0355</t>
  </si>
  <si>
    <t>Desatasco en Ribabellosa en C/Manuel de Etxanobe</t>
  </si>
  <si>
    <t>OT/0356</t>
  </si>
  <si>
    <t>Abonado sin agua ( Las Vegas )</t>
  </si>
  <si>
    <t>Suciedad en contador</t>
  </si>
  <si>
    <t>OT/0357</t>
  </si>
  <si>
    <t>Aviso de fuga en C/Calle Arriba</t>
  </si>
  <si>
    <t>OT/0358</t>
  </si>
  <si>
    <t>Atasco saneamiento Pobes</t>
  </si>
  <si>
    <t>Pobes</t>
  </si>
  <si>
    <t>OT/0359</t>
  </si>
  <si>
    <t>Corte de agua en C/Ruperto Urquijo n14 (URGENCIA)</t>
  </si>
  <si>
    <t>OT/0360</t>
  </si>
  <si>
    <t>Aviso de fuga en Barrataguren Artziniega</t>
  </si>
  <si>
    <t>TP/0220</t>
  </si>
  <si>
    <t>Localización de fugas en Isasi (Llodio)</t>
  </si>
  <si>
    <t>ENEKO</t>
  </si>
  <si>
    <t>OT/0361</t>
  </si>
  <si>
    <t>Reparación de fuga en Barrataguren y Clariant (Artziniega)</t>
  </si>
  <si>
    <t>TP/0221</t>
  </si>
  <si>
    <t>Limpieza preventiva en saneamiento en Alegría</t>
  </si>
  <si>
    <t>EMILIO Y MIGUEL</t>
  </si>
  <si>
    <t>OT/0362</t>
  </si>
  <si>
    <t>Comprobación de válvulas de acometida en C/Ruperto Urquijo n14 (Llodio)</t>
  </si>
  <si>
    <t>TOMAS</t>
  </si>
  <si>
    <t>OT/0363</t>
  </si>
  <si>
    <t>Cerramos acometida  C/Ruperto Urquijo n14 (Llodio)</t>
  </si>
  <si>
    <t>Cerramos acometida a petición de los vecinos C/Ruperto Urquijo n14 (Llodio)</t>
  </si>
  <si>
    <t>OT/0364</t>
  </si>
  <si>
    <t>Revisión de acometida en C/Batzalarrin n8 (Llodio)</t>
  </si>
  <si>
    <t>OT/0365</t>
  </si>
  <si>
    <t>Aviso de fuga en Isasi n20 (Llodio)</t>
  </si>
  <si>
    <t>OT/0366</t>
  </si>
  <si>
    <t>Colocación de avisos de corte de agua C/Urumea n4-5</t>
  </si>
  <si>
    <t>TP/0222</t>
  </si>
  <si>
    <t>Asistencia a aperajador municipal en C/Lateorro (colegio en Llodio)</t>
  </si>
  <si>
    <t>TP/0223</t>
  </si>
  <si>
    <t>Toma de lectura de contadores sectoriales en Llodio</t>
  </si>
  <si>
    <t>TP/0224</t>
  </si>
  <si>
    <t>Localización de fugas en (sector Areta) (Llodio)</t>
  </si>
  <si>
    <t>TP/0225</t>
  </si>
  <si>
    <t>Localización de fugas en (Sector centro Norte)</t>
  </si>
  <si>
    <t>Localización de fugas en (Sector centro Norte) (Ambulatorio)</t>
  </si>
  <si>
    <t>TP/0226</t>
  </si>
  <si>
    <t>Lectura de contadores Sectoriales en Agurain y Alegría</t>
  </si>
  <si>
    <t>EDUARDO Y ENEKO</t>
  </si>
  <si>
    <t>TP/0227</t>
  </si>
  <si>
    <t>Intalacion de contador por alta en C/Mendiko n2 (Amurrio)</t>
  </si>
  <si>
    <t>Intalacion de contador por alta en C/Mendiko n2</t>
  </si>
  <si>
    <t>TP/0228</t>
  </si>
  <si>
    <t>Localización de fugas en C/Atxeta n2 (Llodio)</t>
  </si>
  <si>
    <t>TP/0229</t>
  </si>
  <si>
    <t>Sustitución contador en Carretera vitoria Estella en Maeztu</t>
  </si>
  <si>
    <t>IÑIGO</t>
  </si>
  <si>
    <t>TP/0230</t>
  </si>
  <si>
    <t>Sustitución contador en Apellaniz</t>
  </si>
  <si>
    <t>Apellaniz</t>
  </si>
  <si>
    <t>OT/0367</t>
  </si>
  <si>
    <t>Reparación de fuga en Basquiñuelas (Añana)</t>
  </si>
  <si>
    <t>Basquiñuelas</t>
  </si>
  <si>
    <t>MIGUEL Y JOSEBA</t>
  </si>
  <si>
    <t>OT/0368</t>
  </si>
  <si>
    <t>Aviso atasco saneamiento colector Landaluze (Llodio)</t>
  </si>
  <si>
    <t>EMILIO</t>
  </si>
  <si>
    <t>TP/0231</t>
  </si>
  <si>
    <t>Mantenimiento preventivo saneamiento Agurain</t>
  </si>
  <si>
    <t>EMILIO,ANGEL,KERMAN</t>
  </si>
  <si>
    <t>TP/0232</t>
  </si>
  <si>
    <t>Lectura de contadores sectoriales en Respaldiza</t>
  </si>
  <si>
    <t>TP/0233</t>
  </si>
  <si>
    <t>Lectura de contadores sectoriales en Delika,Sojo</t>
  </si>
  <si>
    <t>TP/0234</t>
  </si>
  <si>
    <t>Instalación contador en Agurain</t>
  </si>
  <si>
    <t>OT/0369</t>
  </si>
  <si>
    <t>Aviso de fugas en Antoñana y Gauna</t>
  </si>
  <si>
    <t>BEÑAT</t>
  </si>
  <si>
    <t>OT/0371</t>
  </si>
  <si>
    <t>Desatasco en San Roque Amurrio</t>
  </si>
  <si>
    <t>MUNICIPIO</t>
  </si>
  <si>
    <t>42,707141_x000D_
_x000D_
Bizkarreta Kalea, 0B_A_x000D_
01213 Ribabellosa, Araba_x000D_
42,707141_x000D_
_x000D_
Bizkarreta Kalea, 0B_A_x000D_
01213 Ribabellosa, Araba_x000D_
42,707141</t>
  </si>
  <si>
    <t>Ayala / Aiara</t>
  </si>
  <si>
    <t>Llodio / Laudio</t>
  </si>
  <si>
    <t>Okondo</t>
  </si>
  <si>
    <t>Baños de Ebro / Mañueta</t>
  </si>
  <si>
    <t>Elciego</t>
  </si>
  <si>
    <t>Elvillar / Bilar</t>
  </si>
  <si>
    <t>Kripan</t>
  </si>
  <si>
    <t>Labastida / Bastida</t>
  </si>
  <si>
    <t>Laguardia</t>
  </si>
  <si>
    <t>Lanciego / Lantziego</t>
  </si>
  <si>
    <t>Lapuebla de Labarca</t>
  </si>
  <si>
    <t>Leza</t>
  </si>
  <si>
    <t>Moreda de Álava / Moreda Araba</t>
  </si>
  <si>
    <t>Navaridas</t>
  </si>
  <si>
    <t>Oyón-Oion</t>
  </si>
  <si>
    <t>Samaniego</t>
  </si>
  <si>
    <t>Villabuena de Álava / Eskuernaga</t>
  </si>
  <si>
    <t>Yécora / Iekora</t>
  </si>
  <si>
    <t>Asparrena</t>
  </si>
  <si>
    <t>Barrundia</t>
  </si>
  <si>
    <t>Elburgo / Burgelu</t>
  </si>
  <si>
    <t>Iruraiz-Gauna</t>
  </si>
  <si>
    <t>Salvatierra / Agurain</t>
  </si>
  <si>
    <t>San Millán / Donemiliaga</t>
  </si>
  <si>
    <t>Zalduondo</t>
  </si>
  <si>
    <t>Aramaio</t>
  </si>
  <si>
    <t>Urkabustaiz</t>
  </si>
  <si>
    <t>Zigoitia</t>
  </si>
  <si>
    <t>Zuia</t>
  </si>
  <si>
    <t>Armiñón</t>
  </si>
  <si>
    <t>Iruña de Oca / Iruña Oka</t>
  </si>
  <si>
    <t>Lantarón</t>
  </si>
  <si>
    <t>Ribera Alta / Erriberagoitia</t>
  </si>
  <si>
    <t>Ribera Baja / Erriberabeitia</t>
  </si>
  <si>
    <t>Sierra Brava de Badaia</t>
  </si>
  <si>
    <t>Valdegovía / Gaubea</t>
  </si>
  <si>
    <t>Campezo / Kanpezu</t>
  </si>
  <si>
    <t>Lagrán</t>
  </si>
  <si>
    <t>Parzoneria de Entzia</t>
  </si>
  <si>
    <t>Peñacerrada-Urizaharra</t>
  </si>
  <si>
    <t>Valle de Arana / Harana</t>
  </si>
  <si>
    <t>Vitoria - Gasteiz</t>
  </si>
  <si>
    <t>LAGUA</t>
  </si>
  <si>
    <t>Laguardia-Rioja Alavesa</t>
  </si>
  <si>
    <t>LLANA</t>
  </si>
  <si>
    <t>GORBE</t>
  </si>
  <si>
    <t>Gorbeialdea</t>
  </si>
  <si>
    <t>AANA</t>
  </si>
  <si>
    <t>CAMPE</t>
  </si>
  <si>
    <t>Campezo-Montaña Alavesa</t>
  </si>
  <si>
    <t>GIPUZ</t>
  </si>
  <si>
    <t>Gipuzkoa</t>
  </si>
  <si>
    <t>BIZKA</t>
  </si>
  <si>
    <t>Bizkaia</t>
  </si>
  <si>
    <t>Varios</t>
  </si>
  <si>
    <t>Alava</t>
  </si>
  <si>
    <t>Vitoria</t>
  </si>
  <si>
    <t>VITOR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</si>
</sst>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169" fontId="0" fillId="0" borderId="0" xfId="0" applyNumberFormat="1"/>
    <xf numFmtId="16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10"/>
  <sheetViews>
    <sheetView tabSelected="1" workbookViewId="0">
      <selection activeCell="H11" sqref="H11"/>
    </sheetView>
  </sheetViews>
  <sheetFormatPr baseColWidth="10" defaultColWidth="9.23046875" defaultRowHeight="14.6" x14ac:dyDescent="0.4"/>
  <cols>
    <col min="2" max="2" width="14.4609375" customWidth="1"/>
    <col min="3" max="3" width="8.84375" customWidth="1"/>
    <col min="4" max="4" width="12.765625" customWidth="1"/>
    <col min="5" max="5" width="15.07421875" bestFit="1" customWidth="1"/>
    <col min="6" max="6" width="14.23046875" bestFit="1" customWidth="1"/>
    <col min="7" max="7" width="11.69140625" bestFit="1" customWidth="1"/>
    <col min="8" max="8" width="36.69140625" customWidth="1"/>
    <col min="9" max="9" width="51.07421875" customWidth="1"/>
    <col min="10" max="10" width="15" customWidth="1"/>
    <col min="11" max="12" width="17.765625" bestFit="1" customWidth="1"/>
    <col min="13" max="13" width="14" style="4" customWidth="1"/>
    <col min="14" max="14" width="19.07421875" style="4" bestFit="1" customWidth="1"/>
    <col min="15" max="15" width="12.84375" bestFit="1" customWidth="1"/>
    <col min="16" max="16" width="20.61328125" bestFit="1" customWidth="1"/>
    <col min="21" max="21" width="1.84375" bestFit="1" customWidth="1"/>
    <col min="22" max="22" width="30.4609375" customWidth="1"/>
    <col min="23" max="23" width="1.84375" bestFit="1" customWidth="1"/>
    <col min="24" max="24" width="15.3828125" bestFit="1" customWidth="1"/>
    <col min="30" max="30" width="24.69140625" customWidth="1"/>
  </cols>
  <sheetData>
    <row r="1" spans="1:3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1361</v>
      </c>
      <c r="M1" s="4" t="s">
        <v>11</v>
      </c>
      <c r="N1" s="4" t="s">
        <v>12</v>
      </c>
      <c r="O1" t="s">
        <v>13</v>
      </c>
      <c r="P1" t="s">
        <v>14</v>
      </c>
      <c r="AA1" t="s">
        <v>10</v>
      </c>
    </row>
    <row r="2" spans="1:31" x14ac:dyDescent="0.4">
      <c r="A2">
        <v>12</v>
      </c>
      <c r="B2" t="s">
        <v>15</v>
      </c>
      <c r="C2">
        <v>2</v>
      </c>
      <c r="D2">
        <v>1</v>
      </c>
      <c r="E2" t="s">
        <v>16</v>
      </c>
      <c r="F2" s="1">
        <v>45870</v>
      </c>
      <c r="G2" s="1">
        <v>45870</v>
      </c>
      <c r="H2" t="s">
        <v>17</v>
      </c>
      <c r="I2" t="s">
        <v>18</v>
      </c>
      <c r="J2" t="s">
        <v>19</v>
      </c>
      <c r="K2" t="s">
        <v>557</v>
      </c>
      <c r="L2" t="s">
        <v>1363</v>
      </c>
      <c r="M2" s="4">
        <v>43.060111111111105</v>
      </c>
      <c r="N2" s="4">
        <v>-3.1232500000000001</v>
      </c>
      <c r="O2" t="b">
        <v>1</v>
      </c>
      <c r="Q2">
        <f>VLOOKUP(L2,$V$2:$W$253,2,FALSE)</f>
        <v>1</v>
      </c>
      <c r="U2" s="2"/>
      <c r="V2" s="2" t="s">
        <v>28</v>
      </c>
      <c r="W2" s="2">
        <v>1</v>
      </c>
      <c r="X2" s="3">
        <v>45953.825613425928</v>
      </c>
      <c r="AB2" s="2">
        <v>1</v>
      </c>
      <c r="AC2" s="2" t="s">
        <v>370</v>
      </c>
      <c r="AD2" s="2" t="s">
        <v>557</v>
      </c>
      <c r="AE2" s="3">
        <v>45953.825613425928</v>
      </c>
    </row>
    <row r="3" spans="1:31" x14ac:dyDescent="0.4">
      <c r="A3">
        <v>13</v>
      </c>
      <c r="B3" t="s">
        <v>20</v>
      </c>
      <c r="C3">
        <v>1</v>
      </c>
      <c r="E3" t="s">
        <v>21</v>
      </c>
      <c r="F3" s="1">
        <v>45870</v>
      </c>
      <c r="G3" s="1">
        <v>45870</v>
      </c>
      <c r="H3" t="s">
        <v>22</v>
      </c>
      <c r="I3" t="s">
        <v>23</v>
      </c>
      <c r="J3" t="s">
        <v>24</v>
      </c>
      <c r="K3" t="s">
        <v>557</v>
      </c>
      <c r="L3" t="s">
        <v>1363</v>
      </c>
      <c r="M3" s="4">
        <v>43.074916666666667</v>
      </c>
      <c r="N3" s="4">
        <v>-3.1068611111111113</v>
      </c>
      <c r="O3" t="b">
        <v>1</v>
      </c>
      <c r="Q3">
        <f t="shared" ref="Q3:Q66" si="0">VLOOKUP(L3,$V$2:$W$253,2,FALSE)</f>
        <v>1</v>
      </c>
      <c r="U3" s="2"/>
      <c r="V3" s="2" t="s">
        <v>48</v>
      </c>
      <c r="W3" s="2">
        <v>1</v>
      </c>
      <c r="X3" s="3">
        <v>45953.825613425928</v>
      </c>
      <c r="AB3" s="2">
        <v>2</v>
      </c>
      <c r="AC3" s="2" t="s">
        <v>1405</v>
      </c>
      <c r="AD3" s="2" t="s">
        <v>1406</v>
      </c>
      <c r="AE3" s="3">
        <v>45953.825613425928</v>
      </c>
    </row>
    <row r="4" spans="1:31" x14ac:dyDescent="0.4">
      <c r="A4">
        <v>14</v>
      </c>
      <c r="B4" t="s">
        <v>20</v>
      </c>
      <c r="C4">
        <v>1</v>
      </c>
      <c r="E4" t="s">
        <v>25</v>
      </c>
      <c r="F4" s="1">
        <v>45870</v>
      </c>
      <c r="G4" s="1">
        <v>45870</v>
      </c>
      <c r="H4" t="s">
        <v>26</v>
      </c>
      <c r="I4" t="s">
        <v>27</v>
      </c>
      <c r="J4" t="s">
        <v>28</v>
      </c>
      <c r="K4" t="s">
        <v>557</v>
      </c>
      <c r="L4" t="s">
        <v>28</v>
      </c>
      <c r="M4" s="4">
        <v>43.054333333333332</v>
      </c>
      <c r="N4" s="4">
        <v>-3.007138888888889</v>
      </c>
      <c r="O4" t="b">
        <v>1</v>
      </c>
      <c r="Q4">
        <f t="shared" si="0"/>
        <v>1</v>
      </c>
      <c r="U4" s="2"/>
      <c r="V4" s="2" t="s">
        <v>1363</v>
      </c>
      <c r="W4" s="2">
        <v>1</v>
      </c>
      <c r="X4" s="3">
        <v>45953.825613425928</v>
      </c>
      <c r="AB4" s="2">
        <v>3</v>
      </c>
      <c r="AC4" s="2" t="s">
        <v>1407</v>
      </c>
      <c r="AD4" s="2" t="s">
        <v>214</v>
      </c>
      <c r="AE4" s="3">
        <v>45953.825613425928</v>
      </c>
    </row>
    <row r="5" spans="1:31" x14ac:dyDescent="0.4">
      <c r="A5">
        <v>15</v>
      </c>
      <c r="B5" t="s">
        <v>20</v>
      </c>
      <c r="C5">
        <v>1</v>
      </c>
      <c r="E5" t="s">
        <v>29</v>
      </c>
      <c r="F5" s="1">
        <v>45870</v>
      </c>
      <c r="G5" s="1">
        <v>45870</v>
      </c>
      <c r="H5" t="s">
        <v>30</v>
      </c>
      <c r="I5" t="s">
        <v>31</v>
      </c>
      <c r="J5" t="s">
        <v>28</v>
      </c>
      <c r="K5" t="s">
        <v>557</v>
      </c>
      <c r="L5" t="s">
        <v>28</v>
      </c>
      <c r="M5" s="4">
        <v>43.054333333333332</v>
      </c>
      <c r="N5" s="4">
        <v>-3.0074166666666668</v>
      </c>
      <c r="O5" t="b">
        <v>1</v>
      </c>
      <c r="Q5">
        <f t="shared" si="0"/>
        <v>1</v>
      </c>
      <c r="U5" s="2"/>
      <c r="V5" s="2" t="s">
        <v>1364</v>
      </c>
      <c r="W5" s="2">
        <v>1</v>
      </c>
      <c r="X5" s="3">
        <v>45953.825613425928</v>
      </c>
      <c r="AB5" s="2">
        <v>4</v>
      </c>
      <c r="AC5" s="2" t="s">
        <v>1408</v>
      </c>
      <c r="AD5" s="2" t="s">
        <v>1409</v>
      </c>
      <c r="AE5" s="3">
        <v>45953.825613425928</v>
      </c>
    </row>
    <row r="6" spans="1:31" x14ac:dyDescent="0.4">
      <c r="A6">
        <v>16</v>
      </c>
      <c r="B6" t="s">
        <v>32</v>
      </c>
      <c r="C6">
        <v>2</v>
      </c>
      <c r="D6">
        <v>3</v>
      </c>
      <c r="E6" t="s">
        <v>33</v>
      </c>
      <c r="F6" s="1">
        <v>45870</v>
      </c>
      <c r="G6" s="1">
        <v>45870</v>
      </c>
      <c r="H6" t="s">
        <v>34</v>
      </c>
      <c r="I6" t="s">
        <v>35</v>
      </c>
      <c r="J6" t="s">
        <v>36</v>
      </c>
      <c r="K6" t="s">
        <v>557</v>
      </c>
      <c r="L6" t="s">
        <v>1363</v>
      </c>
      <c r="M6" s="4">
        <v>43.077777777777783</v>
      </c>
      <c r="N6" s="4">
        <v>-3.0410277777777774</v>
      </c>
      <c r="O6" t="b">
        <v>1</v>
      </c>
      <c r="Q6">
        <f t="shared" si="0"/>
        <v>1</v>
      </c>
      <c r="U6" s="2"/>
      <c r="V6" s="2" t="s">
        <v>1365</v>
      </c>
      <c r="W6" s="2">
        <v>1</v>
      </c>
      <c r="X6" s="3">
        <v>45953.825613425928</v>
      </c>
      <c r="AB6" s="2">
        <v>5</v>
      </c>
      <c r="AC6" s="2" t="s">
        <v>1410</v>
      </c>
      <c r="AD6" s="2" t="s">
        <v>288</v>
      </c>
      <c r="AE6" s="3">
        <v>45953.825613425928</v>
      </c>
    </row>
    <row r="7" spans="1:31" x14ac:dyDescent="0.4">
      <c r="A7">
        <v>17</v>
      </c>
      <c r="B7" t="s">
        <v>32</v>
      </c>
      <c r="C7">
        <v>2</v>
      </c>
      <c r="D7">
        <v>3</v>
      </c>
      <c r="E7" t="s">
        <v>37</v>
      </c>
      <c r="F7" s="1">
        <v>45870</v>
      </c>
      <c r="G7" s="1">
        <v>45870</v>
      </c>
      <c r="H7" t="s">
        <v>38</v>
      </c>
      <c r="I7" t="s">
        <v>38</v>
      </c>
      <c r="J7" t="s">
        <v>39</v>
      </c>
      <c r="K7" t="s">
        <v>557</v>
      </c>
      <c r="L7" t="s">
        <v>1363</v>
      </c>
      <c r="M7" s="4">
        <v>43.070138888888891</v>
      </c>
      <c r="N7" s="4">
        <v>-3.0746388888888889</v>
      </c>
      <c r="O7" t="b">
        <v>1</v>
      </c>
      <c r="Q7">
        <f t="shared" si="0"/>
        <v>1</v>
      </c>
      <c r="U7" s="2"/>
      <c r="V7" s="2" t="s">
        <v>1366</v>
      </c>
      <c r="W7" s="2">
        <v>2</v>
      </c>
      <c r="X7" s="3">
        <v>45953.825613425928</v>
      </c>
      <c r="AB7" s="2">
        <v>6</v>
      </c>
      <c r="AC7" s="2" t="s">
        <v>1411</v>
      </c>
      <c r="AD7" s="2" t="s">
        <v>1412</v>
      </c>
      <c r="AE7" s="3">
        <v>45953.825613425928</v>
      </c>
    </row>
    <row r="8" spans="1:31" x14ac:dyDescent="0.4">
      <c r="A8">
        <v>18</v>
      </c>
      <c r="B8" t="s">
        <v>40</v>
      </c>
      <c r="C8">
        <v>2</v>
      </c>
      <c r="D8">
        <v>2</v>
      </c>
      <c r="E8" t="s">
        <v>41</v>
      </c>
      <c r="F8" s="1">
        <v>45870</v>
      </c>
      <c r="G8" s="1">
        <v>45870</v>
      </c>
      <c r="H8" t="s">
        <v>42</v>
      </c>
      <c r="I8" t="s">
        <v>42</v>
      </c>
      <c r="J8" t="s">
        <v>43</v>
      </c>
      <c r="K8" t="s">
        <v>214</v>
      </c>
      <c r="L8" t="s">
        <v>1385</v>
      </c>
      <c r="O8" t="b">
        <v>1</v>
      </c>
      <c r="Q8">
        <f t="shared" si="0"/>
        <v>3</v>
      </c>
      <c r="U8" s="2"/>
      <c r="V8" s="2" t="s">
        <v>1367</v>
      </c>
      <c r="W8" s="2">
        <v>2</v>
      </c>
      <c r="X8" s="3">
        <v>45953.825613425928</v>
      </c>
      <c r="AB8" s="2">
        <v>7</v>
      </c>
      <c r="AC8" s="2" t="s">
        <v>1413</v>
      </c>
      <c r="AD8" s="2" t="s">
        <v>1414</v>
      </c>
      <c r="AE8" s="3">
        <v>45963.804768518516</v>
      </c>
    </row>
    <row r="9" spans="1:31" x14ac:dyDescent="0.4">
      <c r="A9">
        <v>19</v>
      </c>
      <c r="B9" t="s">
        <v>20</v>
      </c>
      <c r="C9">
        <v>1</v>
      </c>
      <c r="E9" t="s">
        <v>45</v>
      </c>
      <c r="F9" s="1">
        <v>45870</v>
      </c>
      <c r="G9" s="1">
        <v>45870</v>
      </c>
      <c r="H9" t="s">
        <v>46</v>
      </c>
      <c r="I9" t="s">
        <v>47</v>
      </c>
      <c r="J9" t="s">
        <v>48</v>
      </c>
      <c r="K9" t="s">
        <v>557</v>
      </c>
      <c r="L9" t="s">
        <v>48</v>
      </c>
      <c r="M9" s="4">
        <v>43.122694444444448</v>
      </c>
      <c r="N9" s="4">
        <v>-3.1251944444444444</v>
      </c>
      <c r="O9" t="b">
        <v>1</v>
      </c>
      <c r="Q9">
        <f t="shared" si="0"/>
        <v>1</v>
      </c>
      <c r="U9" s="2"/>
      <c r="V9" s="2" t="s">
        <v>1368</v>
      </c>
      <c r="W9" s="2">
        <v>2</v>
      </c>
      <c r="X9" s="3">
        <v>45953.825613425928</v>
      </c>
      <c r="AB9" s="2">
        <v>8</v>
      </c>
      <c r="AC9" s="2" t="s">
        <v>1415</v>
      </c>
      <c r="AD9" s="2" t="s">
        <v>1416</v>
      </c>
      <c r="AE9" s="3">
        <v>45963.804768518516</v>
      </c>
    </row>
    <row r="10" spans="1:31" x14ac:dyDescent="0.4">
      <c r="A10">
        <v>20</v>
      </c>
      <c r="B10" t="s">
        <v>15</v>
      </c>
      <c r="C10">
        <v>2</v>
      </c>
      <c r="D10">
        <v>1</v>
      </c>
      <c r="E10" t="s">
        <v>49</v>
      </c>
      <c r="F10" s="1">
        <v>45870</v>
      </c>
      <c r="G10" s="1">
        <v>45870</v>
      </c>
      <c r="H10" t="s">
        <v>50</v>
      </c>
      <c r="I10" t="s">
        <v>51</v>
      </c>
      <c r="J10" t="s">
        <v>52</v>
      </c>
      <c r="K10" t="s">
        <v>557</v>
      </c>
      <c r="L10" t="s">
        <v>28</v>
      </c>
      <c r="M10" s="4">
        <v>43.060499999999998</v>
      </c>
      <c r="N10" s="4">
        <v>-2.9421388888888891</v>
      </c>
      <c r="O10" t="b">
        <v>1</v>
      </c>
      <c r="Q10">
        <f t="shared" si="0"/>
        <v>1</v>
      </c>
      <c r="U10" s="2"/>
      <c r="V10" s="2" t="s">
        <v>1369</v>
      </c>
      <c r="W10" s="2">
        <v>2</v>
      </c>
      <c r="X10" s="3">
        <v>45953.825613425928</v>
      </c>
      <c r="AB10" s="2">
        <v>9</v>
      </c>
      <c r="AC10" s="2" t="s">
        <v>1420</v>
      </c>
      <c r="AD10" s="2" t="s">
        <v>1404</v>
      </c>
      <c r="AE10" s="2"/>
    </row>
    <row r="11" spans="1:31" x14ac:dyDescent="0.4">
      <c r="A11">
        <v>21</v>
      </c>
      <c r="B11" t="s">
        <v>15</v>
      </c>
      <c r="C11">
        <v>1</v>
      </c>
      <c r="E11" t="s">
        <v>53</v>
      </c>
      <c r="F11" s="1">
        <v>45870</v>
      </c>
      <c r="G11" s="1">
        <v>45870</v>
      </c>
      <c r="H11" t="s">
        <v>54</v>
      </c>
      <c r="I11" t="s">
        <v>55</v>
      </c>
      <c r="J11" t="s">
        <v>56</v>
      </c>
      <c r="K11" t="s">
        <v>288</v>
      </c>
      <c r="L11" t="s">
        <v>1398</v>
      </c>
      <c r="M11" s="4">
        <v>42.808916666666661</v>
      </c>
      <c r="N11" s="4">
        <v>-3.0424166666666665</v>
      </c>
      <c r="O11" t="b">
        <v>1</v>
      </c>
      <c r="Q11">
        <f t="shared" si="0"/>
        <v>5</v>
      </c>
      <c r="U11" s="2"/>
      <c r="V11" s="2" t="s">
        <v>1370</v>
      </c>
      <c r="W11" s="2">
        <v>2</v>
      </c>
      <c r="X11" s="3">
        <v>45953.825613425928</v>
      </c>
      <c r="AB11" s="2">
        <v>10</v>
      </c>
      <c r="AC11" s="2" t="s">
        <v>727</v>
      </c>
      <c r="AD11" s="2" t="s">
        <v>1418</v>
      </c>
    </row>
    <row r="12" spans="1:31" x14ac:dyDescent="0.4">
      <c r="A12">
        <v>23</v>
      </c>
      <c r="B12" t="s">
        <v>20</v>
      </c>
      <c r="C12">
        <v>2</v>
      </c>
      <c r="D12">
        <v>8</v>
      </c>
      <c r="E12" t="s">
        <v>57</v>
      </c>
      <c r="F12" s="1">
        <v>45870</v>
      </c>
      <c r="G12" s="1">
        <v>45870</v>
      </c>
      <c r="H12" t="s">
        <v>58</v>
      </c>
      <c r="I12" t="s">
        <v>59</v>
      </c>
      <c r="J12" t="s">
        <v>43</v>
      </c>
      <c r="K12" t="s">
        <v>214</v>
      </c>
      <c r="L12" t="s">
        <v>1385</v>
      </c>
      <c r="M12" s="4">
        <v>42.849944444444446</v>
      </c>
      <c r="N12" s="4">
        <v>-2.3926944444444445</v>
      </c>
      <c r="O12" t="b">
        <v>1</v>
      </c>
      <c r="Q12">
        <f t="shared" si="0"/>
        <v>3</v>
      </c>
      <c r="U12" s="2"/>
      <c r="V12" s="2" t="s">
        <v>1371</v>
      </c>
      <c r="W12" s="2">
        <v>2</v>
      </c>
      <c r="X12" s="3">
        <v>45953.825613425928</v>
      </c>
    </row>
    <row r="13" spans="1:31" x14ac:dyDescent="0.4">
      <c r="A13">
        <v>24</v>
      </c>
      <c r="B13" t="s">
        <v>20</v>
      </c>
      <c r="C13">
        <v>2</v>
      </c>
      <c r="D13">
        <v>8</v>
      </c>
      <c r="E13" t="s">
        <v>60</v>
      </c>
      <c r="F13" s="1">
        <v>45870</v>
      </c>
      <c r="G13" s="1">
        <v>45870</v>
      </c>
      <c r="H13" t="s">
        <v>61</v>
      </c>
      <c r="I13" t="s">
        <v>62</v>
      </c>
      <c r="J13" t="s">
        <v>43</v>
      </c>
      <c r="K13" t="s">
        <v>214</v>
      </c>
      <c r="L13" t="s">
        <v>1385</v>
      </c>
      <c r="M13" s="4">
        <v>42.849944444444446</v>
      </c>
      <c r="N13" s="4">
        <v>-2.3929722222222223</v>
      </c>
      <c r="O13" t="b">
        <v>1</v>
      </c>
      <c r="Q13">
        <f t="shared" si="0"/>
        <v>3</v>
      </c>
      <c r="U13" s="2"/>
      <c r="V13" s="2" t="s">
        <v>1372</v>
      </c>
      <c r="W13" s="2">
        <v>2</v>
      </c>
      <c r="X13" s="3">
        <v>45953.825613425928</v>
      </c>
    </row>
    <row r="14" spans="1:31" x14ac:dyDescent="0.4">
      <c r="A14">
        <v>25</v>
      </c>
      <c r="B14" t="s">
        <v>20</v>
      </c>
      <c r="C14">
        <v>1</v>
      </c>
      <c r="E14" t="s">
        <v>63</v>
      </c>
      <c r="F14" s="1">
        <v>45870</v>
      </c>
      <c r="G14" s="1">
        <v>45870</v>
      </c>
      <c r="H14" t="s">
        <v>64</v>
      </c>
      <c r="I14" t="s">
        <v>65</v>
      </c>
      <c r="J14" t="s">
        <v>66</v>
      </c>
      <c r="K14" t="s">
        <v>288</v>
      </c>
      <c r="L14" t="s">
        <v>1395</v>
      </c>
      <c r="M14" s="4">
        <v>42.710277777777783</v>
      </c>
      <c r="N14" s="4">
        <v>-2.9265833333333333</v>
      </c>
      <c r="O14" t="b">
        <v>1</v>
      </c>
      <c r="Q14">
        <f t="shared" si="0"/>
        <v>5</v>
      </c>
      <c r="U14" s="2"/>
      <c r="V14" s="2" t="s">
        <v>1373</v>
      </c>
      <c r="W14" s="2">
        <v>2</v>
      </c>
      <c r="X14" s="3">
        <v>45953.825613425928</v>
      </c>
    </row>
    <row r="15" spans="1:31" x14ac:dyDescent="0.4">
      <c r="A15">
        <v>26</v>
      </c>
      <c r="B15" t="s">
        <v>20</v>
      </c>
      <c r="C15">
        <v>1</v>
      </c>
      <c r="E15" t="s">
        <v>67</v>
      </c>
      <c r="F15" s="1">
        <v>45871</v>
      </c>
      <c r="G15" s="1">
        <v>45871</v>
      </c>
      <c r="H15" t="s">
        <v>68</v>
      </c>
      <c r="I15" t="s">
        <v>69</v>
      </c>
      <c r="J15" t="s">
        <v>70</v>
      </c>
      <c r="K15" t="s">
        <v>557</v>
      </c>
      <c r="L15" t="s">
        <v>28</v>
      </c>
      <c r="M15" s="4">
        <v>43.045583333333333</v>
      </c>
      <c r="N15" s="4">
        <v>-2.9768611111111114</v>
      </c>
      <c r="O15" t="b">
        <v>1</v>
      </c>
      <c r="Q15">
        <f t="shared" si="0"/>
        <v>1</v>
      </c>
      <c r="U15" s="2"/>
      <c r="V15" s="2" t="s">
        <v>1374</v>
      </c>
      <c r="W15" s="2">
        <v>2</v>
      </c>
      <c r="X15" s="3">
        <v>45953.825613425928</v>
      </c>
    </row>
    <row r="16" spans="1:31" x14ac:dyDescent="0.4">
      <c r="A16">
        <v>27</v>
      </c>
      <c r="B16" t="s">
        <v>20</v>
      </c>
      <c r="C16">
        <v>1</v>
      </c>
      <c r="E16" t="s">
        <v>71</v>
      </c>
      <c r="F16" s="1">
        <v>45871</v>
      </c>
      <c r="G16" s="1">
        <v>45871</v>
      </c>
      <c r="H16" t="s">
        <v>68</v>
      </c>
      <c r="I16" t="s">
        <v>72</v>
      </c>
      <c r="J16" t="s">
        <v>70</v>
      </c>
      <c r="K16" t="s">
        <v>557</v>
      </c>
      <c r="L16" t="s">
        <v>28</v>
      </c>
      <c r="M16" s="4">
        <v>43.044083333333333</v>
      </c>
      <c r="N16" s="4">
        <v>-2.9771388888888892</v>
      </c>
      <c r="O16" t="b">
        <v>1</v>
      </c>
      <c r="Q16">
        <f t="shared" si="0"/>
        <v>1</v>
      </c>
      <c r="U16" s="2"/>
      <c r="V16" s="2" t="s">
        <v>1375</v>
      </c>
      <c r="W16" s="2">
        <v>2</v>
      </c>
      <c r="X16" s="3">
        <v>45953.825613425928</v>
      </c>
    </row>
    <row r="17" spans="1:24" x14ac:dyDescent="0.4">
      <c r="A17">
        <v>28</v>
      </c>
      <c r="B17" t="s">
        <v>20</v>
      </c>
      <c r="C17">
        <v>1</v>
      </c>
      <c r="E17" t="s">
        <v>73</v>
      </c>
      <c r="F17" s="1">
        <v>45872</v>
      </c>
      <c r="G17" s="1">
        <v>45872</v>
      </c>
      <c r="H17" t="s">
        <v>74</v>
      </c>
      <c r="I17" t="s">
        <v>75</v>
      </c>
      <c r="J17" t="s">
        <v>76</v>
      </c>
      <c r="K17" t="s">
        <v>557</v>
      </c>
      <c r="L17" t="s">
        <v>1364</v>
      </c>
      <c r="M17" s="4">
        <v>43.140250000000002</v>
      </c>
      <c r="N17" s="4">
        <v>-2.96075</v>
      </c>
      <c r="O17" t="b">
        <v>1</v>
      </c>
      <c r="Q17">
        <f t="shared" si="0"/>
        <v>1</v>
      </c>
      <c r="U17" s="2"/>
      <c r="V17" s="2" t="s">
        <v>1376</v>
      </c>
      <c r="W17" s="2">
        <v>2</v>
      </c>
      <c r="X17" s="3">
        <v>45953.825613425928</v>
      </c>
    </row>
    <row r="18" spans="1:24" x14ac:dyDescent="0.4">
      <c r="A18">
        <v>29</v>
      </c>
      <c r="B18" t="s">
        <v>15</v>
      </c>
      <c r="C18">
        <v>1</v>
      </c>
      <c r="E18" t="s">
        <v>77</v>
      </c>
      <c r="F18" s="1">
        <v>45872</v>
      </c>
      <c r="G18" s="1">
        <v>45872</v>
      </c>
      <c r="H18" t="s">
        <v>78</v>
      </c>
      <c r="I18" t="s">
        <v>79</v>
      </c>
      <c r="J18" t="s">
        <v>80</v>
      </c>
      <c r="K18" t="s">
        <v>288</v>
      </c>
      <c r="L18" t="s">
        <v>1395</v>
      </c>
      <c r="M18" s="4">
        <v>42.801444444444442</v>
      </c>
      <c r="N18" s="4">
        <v>-2.8943611111111109</v>
      </c>
      <c r="O18" t="b">
        <v>1</v>
      </c>
      <c r="Q18">
        <f t="shared" si="0"/>
        <v>5</v>
      </c>
      <c r="U18" s="2"/>
      <c r="V18" s="2" t="s">
        <v>1377</v>
      </c>
      <c r="W18" s="2">
        <v>2</v>
      </c>
      <c r="X18" s="3">
        <v>45953.825613425928</v>
      </c>
    </row>
    <row r="19" spans="1:24" x14ac:dyDescent="0.4">
      <c r="A19">
        <v>30</v>
      </c>
      <c r="B19" t="s">
        <v>20</v>
      </c>
      <c r="C19">
        <v>1</v>
      </c>
      <c r="E19" t="s">
        <v>81</v>
      </c>
      <c r="F19" s="1">
        <v>45873</v>
      </c>
      <c r="G19" s="1">
        <v>45873</v>
      </c>
      <c r="H19" t="s">
        <v>82</v>
      </c>
      <c r="I19" t="s">
        <v>82</v>
      </c>
      <c r="J19" t="s">
        <v>43</v>
      </c>
      <c r="K19" t="s">
        <v>214</v>
      </c>
      <c r="L19" t="s">
        <v>1385</v>
      </c>
      <c r="M19" s="4">
        <v>42.851638888888893</v>
      </c>
      <c r="N19" s="4">
        <v>-2.3946388888888888</v>
      </c>
      <c r="O19" t="b">
        <v>1</v>
      </c>
      <c r="Q19">
        <f t="shared" si="0"/>
        <v>3</v>
      </c>
      <c r="U19" s="2"/>
      <c r="V19" s="2" t="s">
        <v>1378</v>
      </c>
      <c r="W19" s="2">
        <v>2</v>
      </c>
      <c r="X19" s="3">
        <v>45953.825613425928</v>
      </c>
    </row>
    <row r="20" spans="1:24" x14ac:dyDescent="0.4">
      <c r="A20">
        <v>31</v>
      </c>
      <c r="B20" t="s">
        <v>40</v>
      </c>
      <c r="C20">
        <v>1</v>
      </c>
      <c r="E20" t="s">
        <v>83</v>
      </c>
      <c r="F20" s="1">
        <v>45873</v>
      </c>
      <c r="G20" s="1">
        <v>45873</v>
      </c>
      <c r="H20" t="s">
        <v>84</v>
      </c>
      <c r="I20" t="s">
        <v>84</v>
      </c>
      <c r="J20" t="s">
        <v>85</v>
      </c>
      <c r="K20" t="s">
        <v>557</v>
      </c>
      <c r="L20" t="s">
        <v>48</v>
      </c>
      <c r="M20" s="4">
        <v>43.111861111111111</v>
      </c>
      <c r="N20" s="4">
        <v>-3.12825</v>
      </c>
      <c r="O20" t="b">
        <v>1</v>
      </c>
      <c r="Q20">
        <f t="shared" si="0"/>
        <v>1</v>
      </c>
      <c r="U20" s="2"/>
      <c r="V20" s="2" t="s">
        <v>1379</v>
      </c>
      <c r="W20" s="2">
        <v>2</v>
      </c>
      <c r="X20" s="3">
        <v>45953.825613425928</v>
      </c>
    </row>
    <row r="21" spans="1:24" x14ac:dyDescent="0.4">
      <c r="A21">
        <v>32</v>
      </c>
      <c r="B21" t="s">
        <v>15</v>
      </c>
      <c r="C21">
        <v>1</v>
      </c>
      <c r="E21" t="s">
        <v>86</v>
      </c>
      <c r="F21" s="1">
        <v>45873</v>
      </c>
      <c r="G21" s="1">
        <v>45873</v>
      </c>
      <c r="H21" t="s">
        <v>87</v>
      </c>
      <c r="I21" t="s">
        <v>88</v>
      </c>
      <c r="J21" t="s">
        <v>80</v>
      </c>
      <c r="K21" t="s">
        <v>288</v>
      </c>
      <c r="L21" t="s">
        <v>1395</v>
      </c>
      <c r="M21" s="4">
        <v>42.801305555555551</v>
      </c>
      <c r="N21" s="4">
        <v>-2.8951944444444444</v>
      </c>
      <c r="O21" t="b">
        <v>1</v>
      </c>
      <c r="Q21">
        <f t="shared" si="0"/>
        <v>5</v>
      </c>
      <c r="U21" s="2"/>
      <c r="V21" s="2" t="s">
        <v>1380</v>
      </c>
      <c r="W21" s="2">
        <v>2</v>
      </c>
      <c r="X21" s="3">
        <v>45953.825613425928</v>
      </c>
    </row>
    <row r="22" spans="1:24" x14ac:dyDescent="0.4">
      <c r="A22">
        <v>33</v>
      </c>
      <c r="B22" t="s">
        <v>20</v>
      </c>
      <c r="C22">
        <v>1</v>
      </c>
      <c r="E22" t="s">
        <v>89</v>
      </c>
      <c r="F22" s="1">
        <v>45873</v>
      </c>
      <c r="G22" s="1">
        <v>45873</v>
      </c>
      <c r="H22" t="s">
        <v>90</v>
      </c>
      <c r="I22" t="s">
        <v>91</v>
      </c>
      <c r="J22" t="s">
        <v>92</v>
      </c>
      <c r="K22" t="s">
        <v>557</v>
      </c>
      <c r="L22" t="s">
        <v>1363</v>
      </c>
      <c r="M22" s="4">
        <v>43.087583333333335</v>
      </c>
      <c r="N22" s="4">
        <v>-3.0454722222222221</v>
      </c>
      <c r="O22" t="b">
        <v>1</v>
      </c>
      <c r="Q22">
        <f t="shared" si="0"/>
        <v>1</v>
      </c>
      <c r="U22" s="2"/>
      <c r="V22" s="2" t="s">
        <v>258</v>
      </c>
      <c r="W22" s="2">
        <v>3</v>
      </c>
      <c r="X22" s="3">
        <v>45953.825613425928</v>
      </c>
    </row>
    <row r="23" spans="1:24" x14ac:dyDescent="0.4">
      <c r="A23">
        <v>34</v>
      </c>
      <c r="B23" t="s">
        <v>15</v>
      </c>
      <c r="C23">
        <v>2</v>
      </c>
      <c r="D23">
        <v>1</v>
      </c>
      <c r="E23" t="s">
        <v>93</v>
      </c>
      <c r="F23" s="1">
        <v>45870</v>
      </c>
      <c r="G23" s="1">
        <v>45870</v>
      </c>
      <c r="H23" t="s">
        <v>94</v>
      </c>
      <c r="I23" t="s">
        <v>95</v>
      </c>
      <c r="J23" t="s">
        <v>96</v>
      </c>
      <c r="K23" t="s">
        <v>557</v>
      </c>
      <c r="L23" t="s">
        <v>28</v>
      </c>
      <c r="M23" s="4">
        <v>43.068944444444448</v>
      </c>
      <c r="N23" s="4">
        <v>-2.9957500000000001</v>
      </c>
      <c r="O23" t="b">
        <v>1</v>
      </c>
      <c r="Q23">
        <f t="shared" si="0"/>
        <v>1</v>
      </c>
      <c r="U23" s="2"/>
      <c r="V23" s="2" t="s">
        <v>1381</v>
      </c>
      <c r="W23" s="2">
        <v>3</v>
      </c>
      <c r="X23" s="3">
        <v>45953.825613425928</v>
      </c>
    </row>
    <row r="24" spans="1:24" x14ac:dyDescent="0.4">
      <c r="A24">
        <v>35</v>
      </c>
      <c r="B24" t="s">
        <v>20</v>
      </c>
      <c r="C24">
        <v>1</v>
      </c>
      <c r="E24" t="s">
        <v>97</v>
      </c>
      <c r="F24" s="1">
        <v>45873</v>
      </c>
      <c r="G24" s="1">
        <v>45873</v>
      </c>
      <c r="H24" t="s">
        <v>98</v>
      </c>
      <c r="I24" t="s">
        <v>98</v>
      </c>
      <c r="J24" t="s">
        <v>70</v>
      </c>
      <c r="K24" t="s">
        <v>557</v>
      </c>
      <c r="L24" t="s">
        <v>28</v>
      </c>
      <c r="M24" s="4">
        <v>43.037833333333332</v>
      </c>
      <c r="N24" s="4">
        <v>-2.9793611111111113</v>
      </c>
      <c r="O24" t="b">
        <v>1</v>
      </c>
      <c r="Q24">
        <f t="shared" si="0"/>
        <v>1</v>
      </c>
      <c r="U24" s="2"/>
      <c r="V24" s="2" t="s">
        <v>1382</v>
      </c>
      <c r="W24" s="2">
        <v>3</v>
      </c>
      <c r="X24" s="3">
        <v>45953.825613425928</v>
      </c>
    </row>
    <row r="25" spans="1:24" x14ac:dyDescent="0.4">
      <c r="A25">
        <v>36</v>
      </c>
      <c r="B25" t="s">
        <v>20</v>
      </c>
      <c r="C25">
        <v>2</v>
      </c>
      <c r="D25">
        <v>8</v>
      </c>
      <c r="E25" t="s">
        <v>99</v>
      </c>
      <c r="F25" s="1">
        <v>45873</v>
      </c>
      <c r="G25" s="1">
        <v>45873</v>
      </c>
      <c r="H25" t="s">
        <v>100</v>
      </c>
      <c r="I25" t="s">
        <v>100</v>
      </c>
      <c r="J25" t="s">
        <v>101</v>
      </c>
      <c r="K25" t="s">
        <v>214</v>
      </c>
      <c r="L25" t="s">
        <v>1383</v>
      </c>
      <c r="M25" s="4">
        <v>42.867583333333336</v>
      </c>
      <c r="N25" s="4">
        <v>-2.5463055555555556</v>
      </c>
      <c r="O25" t="b">
        <v>1</v>
      </c>
      <c r="Q25">
        <f t="shared" si="0"/>
        <v>3</v>
      </c>
      <c r="U25" s="2"/>
      <c r="V25" s="2" t="s">
        <v>1383</v>
      </c>
      <c r="W25" s="2">
        <v>3</v>
      </c>
      <c r="X25" s="3">
        <v>45953.825613425928</v>
      </c>
    </row>
    <row r="26" spans="1:24" x14ac:dyDescent="0.4">
      <c r="A26">
        <v>37</v>
      </c>
      <c r="B26" t="s">
        <v>20</v>
      </c>
      <c r="C26">
        <v>2</v>
      </c>
      <c r="D26">
        <v>10</v>
      </c>
      <c r="E26" t="s">
        <v>102</v>
      </c>
      <c r="F26" s="1">
        <v>45873</v>
      </c>
      <c r="G26" s="1">
        <v>45873</v>
      </c>
      <c r="H26" t="s">
        <v>103</v>
      </c>
      <c r="I26" t="s">
        <v>104</v>
      </c>
      <c r="J26" t="s">
        <v>105</v>
      </c>
      <c r="K26" t="s">
        <v>1412</v>
      </c>
      <c r="L26" t="s">
        <v>106</v>
      </c>
      <c r="M26" s="4">
        <v>42.749138888888886</v>
      </c>
      <c r="N26" s="4">
        <v>-2.4132500000000001</v>
      </c>
      <c r="O26" t="b">
        <v>1</v>
      </c>
      <c r="Q26">
        <f t="shared" si="0"/>
        <v>6</v>
      </c>
      <c r="U26" s="2"/>
      <c r="V26" s="2" t="s">
        <v>1384</v>
      </c>
      <c r="W26" s="2">
        <v>3</v>
      </c>
      <c r="X26" s="3">
        <v>45953.825613425928</v>
      </c>
    </row>
    <row r="27" spans="1:24" x14ac:dyDescent="0.4">
      <c r="A27">
        <v>38</v>
      </c>
      <c r="B27" t="s">
        <v>20</v>
      </c>
      <c r="C27">
        <v>2</v>
      </c>
      <c r="D27">
        <v>8</v>
      </c>
      <c r="E27" t="s">
        <v>107</v>
      </c>
      <c r="F27" s="1">
        <v>45873</v>
      </c>
      <c r="G27" s="1">
        <v>45873</v>
      </c>
      <c r="H27" t="s">
        <v>108</v>
      </c>
      <c r="I27" t="s">
        <v>109</v>
      </c>
      <c r="J27" t="s">
        <v>28</v>
      </c>
      <c r="K27" t="s">
        <v>557</v>
      </c>
      <c r="L27" t="s">
        <v>28</v>
      </c>
      <c r="M27" s="4">
        <v>43.053305555555553</v>
      </c>
      <c r="N27" s="4">
        <v>-3.0135277777777776</v>
      </c>
      <c r="O27" t="b">
        <v>1</v>
      </c>
      <c r="Q27">
        <f t="shared" si="0"/>
        <v>1</v>
      </c>
      <c r="U27" s="2"/>
      <c r="V27" s="2" t="s">
        <v>1385</v>
      </c>
      <c r="W27" s="2">
        <v>3</v>
      </c>
      <c r="X27" s="3">
        <v>45953.825613425928</v>
      </c>
    </row>
    <row r="28" spans="1:24" x14ac:dyDescent="0.4">
      <c r="A28">
        <v>39</v>
      </c>
      <c r="B28" t="s">
        <v>20</v>
      </c>
      <c r="C28">
        <v>2</v>
      </c>
      <c r="D28">
        <v>8</v>
      </c>
      <c r="E28" t="s">
        <v>110</v>
      </c>
      <c r="F28" s="1">
        <v>45873</v>
      </c>
      <c r="G28" s="1">
        <v>45873</v>
      </c>
      <c r="H28" t="s">
        <v>111</v>
      </c>
      <c r="I28" t="s">
        <v>112</v>
      </c>
      <c r="J28" t="s">
        <v>28</v>
      </c>
      <c r="K28" t="s">
        <v>557</v>
      </c>
      <c r="L28" t="s">
        <v>28</v>
      </c>
      <c r="M28" s="4">
        <v>43.049527777777776</v>
      </c>
      <c r="N28" s="4">
        <v>-3.0138055555555554</v>
      </c>
      <c r="O28" t="b">
        <v>1</v>
      </c>
      <c r="Q28">
        <f t="shared" si="0"/>
        <v>1</v>
      </c>
      <c r="U28" s="2"/>
      <c r="V28" s="2" t="s">
        <v>1386</v>
      </c>
      <c r="W28" s="2">
        <v>3</v>
      </c>
      <c r="X28" s="3">
        <v>45953.825613425928</v>
      </c>
    </row>
    <row r="29" spans="1:24" x14ac:dyDescent="0.4">
      <c r="A29">
        <v>40</v>
      </c>
      <c r="B29" t="s">
        <v>20</v>
      </c>
      <c r="C29">
        <v>1</v>
      </c>
      <c r="E29" t="s">
        <v>113</v>
      </c>
      <c r="F29" s="1">
        <v>45873</v>
      </c>
      <c r="G29" s="1">
        <v>45873</v>
      </c>
      <c r="H29" t="s">
        <v>114</v>
      </c>
      <c r="I29" t="s">
        <v>115</v>
      </c>
      <c r="J29" t="s">
        <v>66</v>
      </c>
      <c r="K29" t="s">
        <v>288</v>
      </c>
      <c r="L29" t="s">
        <v>1395</v>
      </c>
      <c r="M29" s="4">
        <v>42.711000000000006</v>
      </c>
      <c r="N29" s="4">
        <v>-2.9307499999999997</v>
      </c>
      <c r="O29" t="b">
        <v>1</v>
      </c>
      <c r="Q29">
        <f t="shared" si="0"/>
        <v>5</v>
      </c>
      <c r="U29" s="2"/>
      <c r="V29" s="2" t="s">
        <v>1387</v>
      </c>
      <c r="W29" s="2">
        <v>3</v>
      </c>
      <c r="X29" s="3">
        <v>45953.825613425928</v>
      </c>
    </row>
    <row r="30" spans="1:24" x14ac:dyDescent="0.4">
      <c r="A30">
        <v>41</v>
      </c>
      <c r="B30" t="s">
        <v>20</v>
      </c>
      <c r="C30">
        <v>1</v>
      </c>
      <c r="E30" t="s">
        <v>116</v>
      </c>
      <c r="F30" s="1">
        <v>45874</v>
      </c>
      <c r="G30" s="1">
        <v>45874</v>
      </c>
      <c r="H30" t="s">
        <v>117</v>
      </c>
      <c r="I30" t="s">
        <v>118</v>
      </c>
      <c r="J30" t="s">
        <v>66</v>
      </c>
      <c r="K30" t="s">
        <v>288</v>
      </c>
      <c r="L30" t="s">
        <v>1395</v>
      </c>
      <c r="M30" s="4">
        <v>42.710388888888893</v>
      </c>
      <c r="N30" s="4">
        <v>-2.9310277777777776</v>
      </c>
      <c r="O30" t="b">
        <v>1</v>
      </c>
      <c r="Q30">
        <f t="shared" si="0"/>
        <v>5</v>
      </c>
      <c r="U30" s="2"/>
      <c r="V30" s="2" t="s">
        <v>1388</v>
      </c>
      <c r="W30" s="2">
        <v>4</v>
      </c>
      <c r="X30" s="3">
        <v>45953.825613425928</v>
      </c>
    </row>
    <row r="31" spans="1:24" x14ac:dyDescent="0.4">
      <c r="A31">
        <v>42</v>
      </c>
      <c r="B31" t="s">
        <v>20</v>
      </c>
      <c r="C31">
        <v>1</v>
      </c>
      <c r="E31" t="s">
        <v>119</v>
      </c>
      <c r="F31" s="1">
        <v>45874</v>
      </c>
      <c r="G31" s="1">
        <v>45874</v>
      </c>
      <c r="H31" t="s">
        <v>120</v>
      </c>
      <c r="I31" t="s">
        <v>120</v>
      </c>
      <c r="J31" t="s">
        <v>24</v>
      </c>
      <c r="K31" t="s">
        <v>557</v>
      </c>
      <c r="L31" t="s">
        <v>1363</v>
      </c>
      <c r="M31" s="4">
        <v>43.075055555555558</v>
      </c>
      <c r="N31" s="4">
        <v>-3.114638888888889</v>
      </c>
      <c r="O31" t="b">
        <v>1</v>
      </c>
      <c r="Q31">
        <f t="shared" si="0"/>
        <v>1</v>
      </c>
      <c r="U31" s="2"/>
      <c r="V31" s="2" t="s">
        <v>392</v>
      </c>
      <c r="W31" s="2">
        <v>4</v>
      </c>
      <c r="X31" s="3">
        <v>45953.825613425928</v>
      </c>
    </row>
    <row r="32" spans="1:24" x14ac:dyDescent="0.4">
      <c r="A32">
        <v>43</v>
      </c>
      <c r="B32" t="s">
        <v>15</v>
      </c>
      <c r="C32">
        <v>2</v>
      </c>
      <c r="D32">
        <v>1</v>
      </c>
      <c r="E32" t="s">
        <v>121</v>
      </c>
      <c r="F32" s="1">
        <v>45874</v>
      </c>
      <c r="G32" s="1">
        <v>45874</v>
      </c>
      <c r="H32" t="s">
        <v>122</v>
      </c>
      <c r="I32" t="s">
        <v>123</v>
      </c>
      <c r="J32" t="s">
        <v>124</v>
      </c>
      <c r="K32" t="s">
        <v>1412</v>
      </c>
      <c r="L32" t="s">
        <v>399</v>
      </c>
      <c r="M32" s="4">
        <v>42.739000000000004</v>
      </c>
      <c r="N32" s="4">
        <v>-2.4482500000000003</v>
      </c>
      <c r="O32" t="b">
        <v>1</v>
      </c>
      <c r="Q32">
        <f t="shared" si="0"/>
        <v>6</v>
      </c>
      <c r="U32" s="2"/>
      <c r="V32" s="2" t="s">
        <v>307</v>
      </c>
      <c r="W32" s="2">
        <v>4</v>
      </c>
      <c r="X32" s="3">
        <v>45953.825613425928</v>
      </c>
    </row>
    <row r="33" spans="1:24" x14ac:dyDescent="0.4">
      <c r="A33">
        <v>44</v>
      </c>
      <c r="B33" t="s">
        <v>20</v>
      </c>
      <c r="C33">
        <v>1</v>
      </c>
      <c r="E33" t="s">
        <v>125</v>
      </c>
      <c r="F33" s="1">
        <v>45874</v>
      </c>
      <c r="G33" s="1">
        <v>45874</v>
      </c>
      <c r="H33" t="s">
        <v>126</v>
      </c>
      <c r="I33" t="s">
        <v>127</v>
      </c>
      <c r="J33" t="s">
        <v>128</v>
      </c>
      <c r="K33" t="s">
        <v>288</v>
      </c>
      <c r="L33" t="s">
        <v>1394</v>
      </c>
      <c r="M33" s="4">
        <v>42.750833333333333</v>
      </c>
      <c r="N33" s="4">
        <v>-3.0485277777777777</v>
      </c>
      <c r="O33" t="b">
        <v>1</v>
      </c>
      <c r="Q33">
        <f t="shared" si="0"/>
        <v>5</v>
      </c>
      <c r="U33" s="2"/>
      <c r="V33" s="2" t="s">
        <v>1389</v>
      </c>
      <c r="W33" s="2">
        <v>4</v>
      </c>
      <c r="X33" s="3">
        <v>45953.825613425928</v>
      </c>
    </row>
    <row r="34" spans="1:24" x14ac:dyDescent="0.4">
      <c r="A34">
        <v>45</v>
      </c>
      <c r="B34" t="s">
        <v>20</v>
      </c>
      <c r="C34">
        <v>1</v>
      </c>
      <c r="E34" t="s">
        <v>129</v>
      </c>
      <c r="F34" s="1">
        <v>45874</v>
      </c>
      <c r="G34" s="1">
        <v>45874</v>
      </c>
      <c r="H34" t="s">
        <v>130</v>
      </c>
      <c r="I34" t="s">
        <v>131</v>
      </c>
      <c r="J34" t="s">
        <v>76</v>
      </c>
      <c r="K34" t="s">
        <v>557</v>
      </c>
      <c r="L34" t="s">
        <v>1364</v>
      </c>
      <c r="M34" s="4">
        <v>43.142416666666669</v>
      </c>
      <c r="N34" s="4">
        <v>-2.9654722222222225</v>
      </c>
      <c r="O34" t="b">
        <v>1</v>
      </c>
      <c r="Q34">
        <f t="shared" si="0"/>
        <v>1</v>
      </c>
      <c r="U34" s="2"/>
      <c r="V34" s="2" t="s">
        <v>1390</v>
      </c>
      <c r="W34" s="2">
        <v>4</v>
      </c>
      <c r="X34" s="3">
        <v>45953.825613425928</v>
      </c>
    </row>
    <row r="35" spans="1:24" x14ac:dyDescent="0.4">
      <c r="A35">
        <v>46</v>
      </c>
      <c r="B35" t="s">
        <v>20</v>
      </c>
      <c r="C35">
        <v>2</v>
      </c>
      <c r="D35">
        <v>10</v>
      </c>
      <c r="E35" t="s">
        <v>132</v>
      </c>
      <c r="F35" s="1">
        <v>45874</v>
      </c>
      <c r="G35" s="1">
        <v>45874</v>
      </c>
      <c r="H35" t="s">
        <v>133</v>
      </c>
      <c r="I35" t="s">
        <v>134</v>
      </c>
      <c r="J35" t="s">
        <v>135</v>
      </c>
      <c r="K35" t="s">
        <v>288</v>
      </c>
      <c r="L35" t="s">
        <v>1398</v>
      </c>
      <c r="M35" s="4">
        <v>42.836277777777781</v>
      </c>
      <c r="N35" s="4">
        <v>-3.082416666666667</v>
      </c>
      <c r="O35" t="b">
        <v>1</v>
      </c>
      <c r="Q35">
        <f t="shared" si="0"/>
        <v>5</v>
      </c>
      <c r="U35" s="2"/>
      <c r="V35" s="2" t="s">
        <v>1391</v>
      </c>
      <c r="W35" s="2">
        <v>4</v>
      </c>
      <c r="X35" s="3">
        <v>45953.825613425928</v>
      </c>
    </row>
    <row r="36" spans="1:24" x14ac:dyDescent="0.4">
      <c r="A36">
        <v>47</v>
      </c>
      <c r="B36" t="s">
        <v>15</v>
      </c>
      <c r="C36">
        <v>2</v>
      </c>
      <c r="D36">
        <v>1</v>
      </c>
      <c r="E36" t="s">
        <v>136</v>
      </c>
      <c r="F36" s="1">
        <v>45874</v>
      </c>
      <c r="G36" s="1">
        <v>45874</v>
      </c>
      <c r="H36" t="s">
        <v>137</v>
      </c>
      <c r="I36" t="s">
        <v>138</v>
      </c>
      <c r="J36" t="s">
        <v>76</v>
      </c>
      <c r="K36" t="s">
        <v>557</v>
      </c>
      <c r="L36" t="s">
        <v>1364</v>
      </c>
      <c r="M36" s="4">
        <v>43.135305555555554</v>
      </c>
      <c r="N36" s="4">
        <v>-2.9826944444444448</v>
      </c>
      <c r="O36" t="b">
        <v>1</v>
      </c>
      <c r="Q36">
        <f t="shared" si="0"/>
        <v>1</v>
      </c>
      <c r="U36" s="2"/>
      <c r="V36" s="2" t="s">
        <v>288</v>
      </c>
      <c r="W36" s="2">
        <v>5</v>
      </c>
      <c r="X36" s="3">
        <v>45953.825613425928</v>
      </c>
    </row>
    <row r="37" spans="1:24" x14ac:dyDescent="0.4">
      <c r="A37">
        <v>50</v>
      </c>
      <c r="B37" t="s">
        <v>20</v>
      </c>
      <c r="C37">
        <v>2</v>
      </c>
      <c r="D37">
        <v>9</v>
      </c>
      <c r="E37" t="s">
        <v>139</v>
      </c>
      <c r="F37" s="1">
        <v>45874</v>
      </c>
      <c r="G37" s="1">
        <v>45874</v>
      </c>
      <c r="H37" t="s">
        <v>140</v>
      </c>
      <c r="I37" t="s">
        <v>141</v>
      </c>
      <c r="J37" t="s">
        <v>76</v>
      </c>
      <c r="K37" t="s">
        <v>557</v>
      </c>
      <c r="L37" t="s">
        <v>1364</v>
      </c>
      <c r="M37" s="4">
        <v>43.144611111111111</v>
      </c>
      <c r="N37" s="4">
        <v>-2.9663055555555555</v>
      </c>
      <c r="O37" t="b">
        <v>1</v>
      </c>
      <c r="Q37">
        <f t="shared" si="0"/>
        <v>1</v>
      </c>
      <c r="U37" s="2"/>
      <c r="V37" s="2" t="s">
        <v>1392</v>
      </c>
      <c r="W37" s="2">
        <v>5</v>
      </c>
      <c r="X37" s="3">
        <v>45953.825613425928</v>
      </c>
    </row>
    <row r="38" spans="1:24" x14ac:dyDescent="0.4">
      <c r="A38">
        <v>51</v>
      </c>
      <c r="B38" t="s">
        <v>20</v>
      </c>
      <c r="C38">
        <v>1</v>
      </c>
      <c r="E38" t="s">
        <v>142</v>
      </c>
      <c r="F38" s="1">
        <v>45874</v>
      </c>
      <c r="G38" s="1">
        <v>45874</v>
      </c>
      <c r="H38" t="s">
        <v>143</v>
      </c>
      <c r="I38" t="s">
        <v>143</v>
      </c>
      <c r="J38" t="s">
        <v>43</v>
      </c>
      <c r="K38" t="s">
        <v>214</v>
      </c>
      <c r="L38" t="s">
        <v>1385</v>
      </c>
      <c r="M38" s="4">
        <v>42.850999999999999</v>
      </c>
      <c r="N38" s="4">
        <v>-2.3999166666666665</v>
      </c>
      <c r="O38" t="b">
        <v>1</v>
      </c>
      <c r="Q38">
        <f t="shared" si="0"/>
        <v>3</v>
      </c>
      <c r="U38" s="2"/>
      <c r="V38" s="2" t="s">
        <v>915</v>
      </c>
      <c r="W38" s="2">
        <v>5</v>
      </c>
      <c r="X38" s="3">
        <v>45953.825613425928</v>
      </c>
    </row>
    <row r="39" spans="1:24" x14ac:dyDescent="0.4">
      <c r="A39">
        <v>52</v>
      </c>
      <c r="B39" t="s">
        <v>20</v>
      </c>
      <c r="C39">
        <v>1</v>
      </c>
      <c r="E39" t="s">
        <v>144</v>
      </c>
      <c r="F39" s="1">
        <v>45875</v>
      </c>
      <c r="G39" s="1">
        <v>45875</v>
      </c>
      <c r="H39" t="s">
        <v>145</v>
      </c>
      <c r="I39" t="s">
        <v>146</v>
      </c>
      <c r="J39" t="s">
        <v>28</v>
      </c>
      <c r="K39" t="s">
        <v>557</v>
      </c>
      <c r="L39" t="s">
        <v>28</v>
      </c>
      <c r="O39" t="b">
        <v>1</v>
      </c>
      <c r="Q39">
        <f t="shared" si="0"/>
        <v>1</v>
      </c>
      <c r="U39" s="2"/>
      <c r="V39" s="2" t="s">
        <v>1393</v>
      </c>
      <c r="W39" s="2">
        <v>5</v>
      </c>
      <c r="X39" s="3">
        <v>45953.825613425928</v>
      </c>
    </row>
    <row r="40" spans="1:24" x14ac:dyDescent="0.4">
      <c r="A40">
        <v>53</v>
      </c>
      <c r="B40" t="s">
        <v>20</v>
      </c>
      <c r="C40">
        <v>1</v>
      </c>
      <c r="E40" t="s">
        <v>147</v>
      </c>
      <c r="F40" s="1">
        <v>45875</v>
      </c>
      <c r="G40" s="1">
        <v>45875</v>
      </c>
      <c r="H40" t="s">
        <v>148</v>
      </c>
      <c r="I40" t="s">
        <v>148</v>
      </c>
      <c r="J40" t="s">
        <v>28</v>
      </c>
      <c r="K40" t="s">
        <v>557</v>
      </c>
      <c r="L40" t="s">
        <v>28</v>
      </c>
      <c r="M40" s="4">
        <v>43.050138888888888</v>
      </c>
      <c r="N40" s="4">
        <v>-3.0004722222222222</v>
      </c>
      <c r="O40" t="b">
        <v>1</v>
      </c>
      <c r="Q40">
        <f t="shared" si="0"/>
        <v>1</v>
      </c>
      <c r="U40" s="2"/>
      <c r="V40" s="2" t="s">
        <v>387</v>
      </c>
      <c r="W40" s="2">
        <v>5</v>
      </c>
      <c r="X40" s="3">
        <v>45953.825613425928</v>
      </c>
    </row>
    <row r="41" spans="1:24" x14ac:dyDescent="0.4">
      <c r="A41">
        <v>54</v>
      </c>
      <c r="B41" t="s">
        <v>20</v>
      </c>
      <c r="C41">
        <v>1</v>
      </c>
      <c r="E41" t="s">
        <v>149</v>
      </c>
      <c r="F41" s="1">
        <v>45875</v>
      </c>
      <c r="G41" s="1">
        <v>45875</v>
      </c>
      <c r="H41" t="s">
        <v>150</v>
      </c>
      <c r="I41" t="s">
        <v>150</v>
      </c>
      <c r="J41" t="s">
        <v>151</v>
      </c>
      <c r="K41" t="s">
        <v>557</v>
      </c>
      <c r="L41" t="s">
        <v>1363</v>
      </c>
      <c r="M41" s="4">
        <v>43.068333333333335</v>
      </c>
      <c r="N41" s="4">
        <v>-3.0174166666666666</v>
      </c>
      <c r="O41" t="b">
        <v>1</v>
      </c>
      <c r="Q41">
        <f t="shared" si="0"/>
        <v>1</v>
      </c>
      <c r="U41" s="2"/>
      <c r="V41" s="2" t="s">
        <v>1394</v>
      </c>
      <c r="W41" s="2">
        <v>5</v>
      </c>
      <c r="X41" s="3">
        <v>45953.825613425928</v>
      </c>
    </row>
    <row r="42" spans="1:24" x14ac:dyDescent="0.4">
      <c r="A42">
        <v>55</v>
      </c>
      <c r="B42" t="s">
        <v>20</v>
      </c>
      <c r="C42">
        <v>1</v>
      </c>
      <c r="E42" t="s">
        <v>152</v>
      </c>
      <c r="F42" s="1">
        <v>45875</v>
      </c>
      <c r="G42" s="1">
        <v>45875</v>
      </c>
      <c r="H42" t="s">
        <v>153</v>
      </c>
      <c r="I42" t="s">
        <v>153</v>
      </c>
      <c r="J42" t="s">
        <v>28</v>
      </c>
      <c r="K42" t="s">
        <v>557</v>
      </c>
      <c r="L42" t="s">
        <v>28</v>
      </c>
      <c r="M42" s="4">
        <v>43.051416666666661</v>
      </c>
      <c r="N42" s="4">
        <v>-3.0010277777777778</v>
      </c>
      <c r="O42" t="b">
        <v>1</v>
      </c>
      <c r="Q42">
        <f t="shared" si="0"/>
        <v>1</v>
      </c>
      <c r="U42" s="2"/>
      <c r="V42" s="2" t="s">
        <v>1395</v>
      </c>
      <c r="W42" s="2">
        <v>5</v>
      </c>
      <c r="X42" s="3">
        <v>45953.825613425928</v>
      </c>
    </row>
    <row r="43" spans="1:24" x14ac:dyDescent="0.4">
      <c r="A43">
        <v>56</v>
      </c>
      <c r="B43" t="s">
        <v>20</v>
      </c>
      <c r="C43">
        <v>1</v>
      </c>
      <c r="E43" t="s">
        <v>154</v>
      </c>
      <c r="F43" s="1">
        <v>45875</v>
      </c>
      <c r="G43" s="1">
        <v>45875</v>
      </c>
      <c r="H43" t="s">
        <v>155</v>
      </c>
      <c r="I43" t="s">
        <v>155</v>
      </c>
      <c r="J43" t="s">
        <v>156</v>
      </c>
      <c r="K43" t="s">
        <v>557</v>
      </c>
      <c r="L43" t="s">
        <v>28</v>
      </c>
      <c r="M43" s="4">
        <v>43.021611111111113</v>
      </c>
      <c r="N43" s="4">
        <v>-3.0013055555555557</v>
      </c>
      <c r="O43" t="b">
        <v>1</v>
      </c>
      <c r="Q43">
        <f t="shared" si="0"/>
        <v>1</v>
      </c>
      <c r="U43" s="2"/>
      <c r="V43" s="2" t="s">
        <v>1396</v>
      </c>
      <c r="W43" s="2">
        <v>5</v>
      </c>
      <c r="X43" s="3">
        <v>45953.825613425928</v>
      </c>
    </row>
    <row r="44" spans="1:24" x14ac:dyDescent="0.4">
      <c r="A44">
        <v>57</v>
      </c>
      <c r="B44" t="s">
        <v>20</v>
      </c>
      <c r="C44">
        <v>2</v>
      </c>
      <c r="D44">
        <v>12</v>
      </c>
      <c r="E44" t="s">
        <v>157</v>
      </c>
      <c r="F44" s="1">
        <v>45874</v>
      </c>
      <c r="G44" s="1">
        <v>45874</v>
      </c>
      <c r="H44" t="s">
        <v>158</v>
      </c>
      <c r="I44" t="s">
        <v>159</v>
      </c>
      <c r="J44" t="s">
        <v>76</v>
      </c>
      <c r="K44" t="s">
        <v>557</v>
      </c>
      <c r="L44" t="s">
        <v>1364</v>
      </c>
      <c r="M44" s="4">
        <v>43.152138888888885</v>
      </c>
      <c r="N44" s="4">
        <v>-2.9849166666666669</v>
      </c>
      <c r="O44" t="b">
        <v>1</v>
      </c>
      <c r="Q44">
        <f t="shared" si="0"/>
        <v>1</v>
      </c>
      <c r="U44" s="2"/>
      <c r="V44" s="2" t="s">
        <v>1397</v>
      </c>
      <c r="W44" s="2">
        <v>5</v>
      </c>
      <c r="X44" s="3">
        <v>45953.825613425928</v>
      </c>
    </row>
    <row r="45" spans="1:24" x14ac:dyDescent="0.4">
      <c r="A45">
        <v>58</v>
      </c>
      <c r="B45" t="s">
        <v>15</v>
      </c>
      <c r="C45">
        <v>1</v>
      </c>
      <c r="E45" t="s">
        <v>160</v>
      </c>
      <c r="F45" s="1">
        <v>45874</v>
      </c>
      <c r="G45" s="1">
        <v>45874</v>
      </c>
      <c r="H45" t="s">
        <v>161</v>
      </c>
      <c r="I45" t="s">
        <v>161</v>
      </c>
      <c r="J45" t="s">
        <v>124</v>
      </c>
      <c r="K45" t="s">
        <v>1412</v>
      </c>
      <c r="L45" t="s">
        <v>399</v>
      </c>
      <c r="M45" s="4">
        <v>42.739277777777779</v>
      </c>
      <c r="N45" s="4">
        <v>-2.4518611111111115</v>
      </c>
      <c r="O45" t="b">
        <v>1</v>
      </c>
      <c r="Q45">
        <f t="shared" si="0"/>
        <v>6</v>
      </c>
      <c r="U45" s="2"/>
      <c r="V45" s="2" t="s">
        <v>1398</v>
      </c>
      <c r="W45" s="2">
        <v>5</v>
      </c>
      <c r="X45" s="3">
        <v>45953.825613425928</v>
      </c>
    </row>
    <row r="46" spans="1:24" x14ac:dyDescent="0.4">
      <c r="A46">
        <v>59</v>
      </c>
      <c r="B46" t="s">
        <v>20</v>
      </c>
      <c r="C46">
        <v>1</v>
      </c>
      <c r="E46" t="s">
        <v>162</v>
      </c>
      <c r="F46" s="1">
        <v>45874</v>
      </c>
      <c r="G46" s="1">
        <v>45874</v>
      </c>
      <c r="H46" t="s">
        <v>163</v>
      </c>
      <c r="I46" t="s">
        <v>163</v>
      </c>
      <c r="J46" t="s">
        <v>164</v>
      </c>
      <c r="K46" t="s">
        <v>214</v>
      </c>
      <c r="L46" t="s">
        <v>1385</v>
      </c>
      <c r="M46" s="4">
        <v>42.827527777777782</v>
      </c>
      <c r="N46" s="4">
        <v>-2.3688055555555558</v>
      </c>
      <c r="O46" t="b">
        <v>1</v>
      </c>
      <c r="Q46">
        <f t="shared" si="0"/>
        <v>3</v>
      </c>
      <c r="U46" s="2"/>
      <c r="V46" s="2" t="s">
        <v>196</v>
      </c>
      <c r="W46" s="2">
        <v>5</v>
      </c>
      <c r="X46" s="3">
        <v>45953.825613425928</v>
      </c>
    </row>
    <row r="47" spans="1:24" x14ac:dyDescent="0.4">
      <c r="A47">
        <v>60</v>
      </c>
      <c r="B47" t="s">
        <v>20</v>
      </c>
      <c r="C47">
        <v>1</v>
      </c>
      <c r="E47" t="s">
        <v>165</v>
      </c>
      <c r="F47" s="1">
        <v>45874</v>
      </c>
      <c r="G47" s="1">
        <v>45874</v>
      </c>
      <c r="H47" t="s">
        <v>166</v>
      </c>
      <c r="I47" t="s">
        <v>167</v>
      </c>
      <c r="J47" t="s">
        <v>135</v>
      </c>
      <c r="K47" t="s">
        <v>288</v>
      </c>
      <c r="L47" t="s">
        <v>1398</v>
      </c>
      <c r="M47" s="4">
        <v>42.836416666666672</v>
      </c>
      <c r="N47" s="4">
        <v>-3.08575</v>
      </c>
      <c r="O47" t="b">
        <v>1</v>
      </c>
      <c r="Q47">
        <f t="shared" si="0"/>
        <v>5</v>
      </c>
      <c r="U47" s="2"/>
      <c r="V47" s="2" t="s">
        <v>399</v>
      </c>
      <c r="W47" s="2">
        <v>6</v>
      </c>
      <c r="X47" s="3">
        <v>45953.825613425928</v>
      </c>
    </row>
    <row r="48" spans="1:24" x14ac:dyDescent="0.4">
      <c r="A48">
        <v>61</v>
      </c>
      <c r="B48" t="s">
        <v>20</v>
      </c>
      <c r="C48">
        <v>1</v>
      </c>
      <c r="E48" t="s">
        <v>168</v>
      </c>
      <c r="F48" s="1">
        <v>45875</v>
      </c>
      <c r="G48" s="1">
        <v>45875</v>
      </c>
      <c r="H48" t="s">
        <v>126</v>
      </c>
      <c r="I48" t="s">
        <v>126</v>
      </c>
      <c r="J48" t="s">
        <v>128</v>
      </c>
      <c r="K48" t="s">
        <v>288</v>
      </c>
      <c r="L48" t="s">
        <v>1394</v>
      </c>
      <c r="M48" s="4">
        <v>42.75127777777778</v>
      </c>
      <c r="N48" s="4">
        <v>-3.0526944444444442</v>
      </c>
      <c r="O48" t="b">
        <v>1</v>
      </c>
      <c r="Q48">
        <f t="shared" si="0"/>
        <v>5</v>
      </c>
      <c r="U48" s="2"/>
      <c r="V48" s="2" t="s">
        <v>1135</v>
      </c>
      <c r="W48" s="2">
        <v>6</v>
      </c>
      <c r="X48" s="3">
        <v>45953.825613425928</v>
      </c>
    </row>
    <row r="49" spans="1:24" x14ac:dyDescent="0.4">
      <c r="A49">
        <v>62</v>
      </c>
      <c r="B49" t="s">
        <v>15</v>
      </c>
      <c r="C49">
        <v>1</v>
      </c>
      <c r="E49" t="s">
        <v>169</v>
      </c>
      <c r="F49" s="1">
        <v>45875</v>
      </c>
      <c r="G49" s="1">
        <v>45875</v>
      </c>
      <c r="H49" t="s">
        <v>170</v>
      </c>
      <c r="I49" t="s">
        <v>170</v>
      </c>
      <c r="J49" t="s">
        <v>171</v>
      </c>
      <c r="K49" t="s">
        <v>557</v>
      </c>
      <c r="L49" t="s">
        <v>1363</v>
      </c>
      <c r="M49" s="4">
        <v>43.099805555555555</v>
      </c>
      <c r="N49" s="4">
        <v>-3.052972222222222</v>
      </c>
      <c r="O49" t="b">
        <v>1</v>
      </c>
      <c r="Q49">
        <f t="shared" si="0"/>
        <v>1</v>
      </c>
      <c r="U49" s="2"/>
      <c r="V49" s="2" t="s">
        <v>1399</v>
      </c>
      <c r="W49" s="2">
        <v>6</v>
      </c>
      <c r="X49" s="3">
        <v>45953.825613425928</v>
      </c>
    </row>
    <row r="50" spans="1:24" x14ac:dyDescent="0.4">
      <c r="A50">
        <v>64</v>
      </c>
      <c r="B50" t="s">
        <v>20</v>
      </c>
      <c r="C50">
        <v>1</v>
      </c>
      <c r="E50" t="s">
        <v>172</v>
      </c>
      <c r="F50" s="1">
        <v>45875</v>
      </c>
      <c r="G50" s="1">
        <v>45875</v>
      </c>
      <c r="H50" t="s">
        <v>173</v>
      </c>
      <c r="I50" t="s">
        <v>173</v>
      </c>
      <c r="J50" t="s">
        <v>164</v>
      </c>
      <c r="K50" t="s">
        <v>214</v>
      </c>
      <c r="L50" t="s">
        <v>1385</v>
      </c>
      <c r="M50" s="4">
        <v>42.827666666666673</v>
      </c>
      <c r="N50" s="4">
        <v>-2.3699166666666667</v>
      </c>
      <c r="O50" t="b">
        <v>1</v>
      </c>
      <c r="Q50">
        <f t="shared" si="0"/>
        <v>3</v>
      </c>
      <c r="U50" s="2"/>
      <c r="V50" s="2" t="s">
        <v>1400</v>
      </c>
      <c r="W50" s="2">
        <v>6</v>
      </c>
      <c r="X50" s="3">
        <v>45953.825613425928</v>
      </c>
    </row>
    <row r="51" spans="1:24" x14ac:dyDescent="0.4">
      <c r="A51">
        <v>65</v>
      </c>
      <c r="B51" t="s">
        <v>20</v>
      </c>
      <c r="C51">
        <v>1</v>
      </c>
      <c r="E51" t="s">
        <v>174</v>
      </c>
      <c r="F51" s="1">
        <v>45883</v>
      </c>
      <c r="G51" s="1">
        <v>45905</v>
      </c>
      <c r="H51" t="s">
        <v>175</v>
      </c>
      <c r="I51" t="s">
        <v>148</v>
      </c>
      <c r="J51" t="s">
        <v>28</v>
      </c>
      <c r="K51" t="s">
        <v>557</v>
      </c>
      <c r="L51" t="s">
        <v>28</v>
      </c>
      <c r="M51" s="4">
        <v>43.054160000000003</v>
      </c>
      <c r="N51" s="4">
        <v>-2.9975200000000002</v>
      </c>
      <c r="O51" t="b">
        <v>1</v>
      </c>
      <c r="Q51">
        <f t="shared" si="0"/>
        <v>1</v>
      </c>
      <c r="U51" s="2"/>
      <c r="V51" s="2" t="s">
        <v>1401</v>
      </c>
      <c r="W51" s="2">
        <v>6</v>
      </c>
      <c r="X51" s="3">
        <v>45953.825613425928</v>
      </c>
    </row>
    <row r="52" spans="1:24" x14ac:dyDescent="0.4">
      <c r="A52">
        <v>66</v>
      </c>
      <c r="B52" t="s">
        <v>20</v>
      </c>
      <c r="C52">
        <v>1</v>
      </c>
      <c r="E52" t="s">
        <v>176</v>
      </c>
      <c r="F52" s="1">
        <v>45875</v>
      </c>
      <c r="G52" s="1">
        <v>45875</v>
      </c>
      <c r="H52" t="s">
        <v>177</v>
      </c>
      <c r="I52" t="s">
        <v>178</v>
      </c>
      <c r="J52" t="s">
        <v>179</v>
      </c>
      <c r="K52" t="s">
        <v>557</v>
      </c>
      <c r="L52" t="s">
        <v>1363</v>
      </c>
      <c r="M52" s="4">
        <v>43.105166666666669</v>
      </c>
      <c r="N52" s="4">
        <v>-2.9966944444444445</v>
      </c>
      <c r="O52" t="b">
        <v>1</v>
      </c>
      <c r="Q52">
        <f t="shared" si="0"/>
        <v>1</v>
      </c>
      <c r="U52" s="2"/>
      <c r="V52" s="2" t="s">
        <v>1402</v>
      </c>
      <c r="W52" s="2">
        <v>6</v>
      </c>
      <c r="X52" s="3">
        <v>45953.825613425928</v>
      </c>
    </row>
    <row r="53" spans="1:24" x14ac:dyDescent="0.4">
      <c r="A53">
        <v>67</v>
      </c>
      <c r="B53" t="s">
        <v>20</v>
      </c>
      <c r="C53">
        <v>1</v>
      </c>
      <c r="E53" t="s">
        <v>180</v>
      </c>
      <c r="F53" s="1">
        <v>45877</v>
      </c>
      <c r="G53" s="1">
        <v>45877</v>
      </c>
      <c r="H53" t="s">
        <v>181</v>
      </c>
      <c r="I53" t="s">
        <v>182</v>
      </c>
      <c r="J53" t="s">
        <v>76</v>
      </c>
      <c r="K53" t="s">
        <v>557</v>
      </c>
      <c r="L53" t="s">
        <v>1364</v>
      </c>
      <c r="M53" s="4">
        <v>43.140638888888887</v>
      </c>
      <c r="N53" s="4">
        <v>-2.9803055555555558</v>
      </c>
      <c r="O53" t="b">
        <v>1</v>
      </c>
      <c r="Q53">
        <f t="shared" si="0"/>
        <v>1</v>
      </c>
      <c r="U53" s="2"/>
      <c r="V53" s="2" t="s">
        <v>1403</v>
      </c>
      <c r="W53" s="2">
        <v>6</v>
      </c>
      <c r="X53" s="3">
        <v>45953.825613425928</v>
      </c>
    </row>
    <row r="54" spans="1:24" x14ac:dyDescent="0.4">
      <c r="A54">
        <v>68</v>
      </c>
      <c r="B54" t="s">
        <v>20</v>
      </c>
      <c r="C54">
        <v>1</v>
      </c>
      <c r="E54" t="s">
        <v>183</v>
      </c>
      <c r="F54" s="1">
        <v>45876</v>
      </c>
      <c r="G54" s="1">
        <v>45876</v>
      </c>
      <c r="H54" t="s">
        <v>184</v>
      </c>
      <c r="I54" t="s">
        <v>184</v>
      </c>
      <c r="J54" t="s">
        <v>124</v>
      </c>
      <c r="K54" t="s">
        <v>1412</v>
      </c>
      <c r="L54" t="s">
        <v>399</v>
      </c>
      <c r="M54" s="4">
        <v>42.739861111111111</v>
      </c>
      <c r="N54" s="4">
        <v>-2.4472500000000004</v>
      </c>
      <c r="O54" t="b">
        <v>1</v>
      </c>
      <c r="Q54">
        <f t="shared" si="0"/>
        <v>6</v>
      </c>
      <c r="U54" s="2"/>
      <c r="V54" s="2"/>
      <c r="W54" s="2"/>
      <c r="X54" s="3"/>
    </row>
    <row r="55" spans="1:24" x14ac:dyDescent="0.4">
      <c r="A55">
        <v>69</v>
      </c>
      <c r="B55" t="s">
        <v>20</v>
      </c>
      <c r="C55">
        <v>1</v>
      </c>
      <c r="E55" t="s">
        <v>185</v>
      </c>
      <c r="F55" s="1">
        <v>45876</v>
      </c>
      <c r="G55" s="1">
        <v>45876</v>
      </c>
      <c r="H55" t="s">
        <v>186</v>
      </c>
      <c r="I55" t="s">
        <v>187</v>
      </c>
      <c r="J55" t="s">
        <v>188</v>
      </c>
      <c r="K55" t="s">
        <v>557</v>
      </c>
      <c r="L55" t="s">
        <v>28</v>
      </c>
      <c r="M55" s="4">
        <v>43.021638888888887</v>
      </c>
      <c r="N55" s="4">
        <v>-2.997527777777778</v>
      </c>
      <c r="O55" t="b">
        <v>1</v>
      </c>
      <c r="Q55">
        <f t="shared" si="0"/>
        <v>1</v>
      </c>
      <c r="U55" s="2"/>
      <c r="V55" s="2"/>
      <c r="W55" s="2"/>
      <c r="X55" s="3"/>
    </row>
    <row r="56" spans="1:24" x14ac:dyDescent="0.4">
      <c r="A56">
        <v>70</v>
      </c>
      <c r="B56" t="s">
        <v>20</v>
      </c>
      <c r="C56">
        <v>1</v>
      </c>
      <c r="E56" t="s">
        <v>189</v>
      </c>
      <c r="F56" s="1">
        <v>45876</v>
      </c>
      <c r="G56" s="1">
        <v>45876</v>
      </c>
      <c r="H56" t="s">
        <v>190</v>
      </c>
      <c r="I56" t="s">
        <v>191</v>
      </c>
      <c r="J56" t="s">
        <v>192</v>
      </c>
      <c r="K56" t="s">
        <v>557</v>
      </c>
      <c r="L56" t="s">
        <v>28</v>
      </c>
      <c r="M56" s="4">
        <v>42.969888888888889</v>
      </c>
      <c r="N56" s="4">
        <v>-2.9978055555555558</v>
      </c>
      <c r="O56" t="b">
        <v>1</v>
      </c>
      <c r="Q56">
        <f t="shared" si="0"/>
        <v>1</v>
      </c>
      <c r="U56" s="2"/>
      <c r="V56" s="2"/>
      <c r="W56" s="2"/>
      <c r="X56" s="3"/>
    </row>
    <row r="57" spans="1:24" x14ac:dyDescent="0.4">
      <c r="A57">
        <v>71</v>
      </c>
      <c r="B57" t="s">
        <v>20</v>
      </c>
      <c r="C57">
        <v>1</v>
      </c>
      <c r="E57" t="s">
        <v>193</v>
      </c>
      <c r="F57" s="1">
        <v>45876</v>
      </c>
      <c r="G57" s="1">
        <v>45876</v>
      </c>
      <c r="H57" t="s">
        <v>194</v>
      </c>
      <c r="I57" t="s">
        <v>195</v>
      </c>
      <c r="J57" t="s">
        <v>196</v>
      </c>
      <c r="K57" t="s">
        <v>288</v>
      </c>
      <c r="L57" t="s">
        <v>196</v>
      </c>
      <c r="M57" s="4">
        <v>42.662388888888884</v>
      </c>
      <c r="N57" s="4">
        <v>-2.8814166666666665</v>
      </c>
      <c r="O57" t="b">
        <v>1</v>
      </c>
      <c r="Q57">
        <f t="shared" si="0"/>
        <v>5</v>
      </c>
      <c r="U57" s="2"/>
      <c r="V57" s="2"/>
      <c r="W57" s="2"/>
      <c r="X57" s="3"/>
    </row>
    <row r="58" spans="1:24" x14ac:dyDescent="0.4">
      <c r="A58">
        <v>72</v>
      </c>
      <c r="B58" t="s">
        <v>20</v>
      </c>
      <c r="C58">
        <v>1</v>
      </c>
      <c r="E58" t="s">
        <v>197</v>
      </c>
      <c r="F58" s="1">
        <v>45876</v>
      </c>
      <c r="G58" s="1">
        <v>45876</v>
      </c>
      <c r="H58" t="s">
        <v>198</v>
      </c>
      <c r="I58" t="s">
        <v>198</v>
      </c>
      <c r="J58" t="s">
        <v>66</v>
      </c>
      <c r="K58" t="s">
        <v>288</v>
      </c>
      <c r="L58" t="s">
        <v>1395</v>
      </c>
      <c r="M58" s="4">
        <v>42.709916666666672</v>
      </c>
      <c r="N58" s="4">
        <v>-2.9316944444444442</v>
      </c>
      <c r="O58" t="b">
        <v>1</v>
      </c>
      <c r="Q58">
        <f t="shared" si="0"/>
        <v>5</v>
      </c>
      <c r="U58" s="2"/>
      <c r="V58" s="2"/>
      <c r="W58" s="2"/>
      <c r="X58" s="3"/>
    </row>
    <row r="59" spans="1:24" x14ac:dyDescent="0.4">
      <c r="A59">
        <v>73</v>
      </c>
      <c r="B59" t="s">
        <v>15</v>
      </c>
      <c r="C59">
        <v>1</v>
      </c>
      <c r="E59" t="s">
        <v>199</v>
      </c>
      <c r="F59" s="1">
        <v>45876</v>
      </c>
      <c r="G59" s="1">
        <v>45876</v>
      </c>
      <c r="H59" t="s">
        <v>200</v>
      </c>
      <c r="I59" t="s">
        <v>201</v>
      </c>
      <c r="J59" t="s">
        <v>179</v>
      </c>
      <c r="K59" t="s">
        <v>557</v>
      </c>
      <c r="L59" t="s">
        <v>1363</v>
      </c>
      <c r="M59" s="4">
        <v>43.093111111111114</v>
      </c>
      <c r="N59" s="4">
        <v>-3.0153055555555555</v>
      </c>
      <c r="O59" t="b">
        <v>1</v>
      </c>
      <c r="Q59">
        <f t="shared" si="0"/>
        <v>1</v>
      </c>
      <c r="U59" s="2"/>
      <c r="V59" s="2"/>
      <c r="W59" s="2"/>
      <c r="X59" s="3"/>
    </row>
    <row r="60" spans="1:24" x14ac:dyDescent="0.4">
      <c r="A60">
        <v>75</v>
      </c>
      <c r="B60" t="s">
        <v>20</v>
      </c>
      <c r="C60">
        <v>1</v>
      </c>
      <c r="E60" t="s">
        <v>202</v>
      </c>
      <c r="F60" s="1">
        <v>45876</v>
      </c>
      <c r="G60" s="1">
        <v>45876</v>
      </c>
      <c r="H60" t="s">
        <v>203</v>
      </c>
      <c r="I60" t="s">
        <v>204</v>
      </c>
      <c r="J60" t="s">
        <v>28</v>
      </c>
      <c r="K60" t="s">
        <v>557</v>
      </c>
      <c r="L60" t="s">
        <v>28</v>
      </c>
      <c r="M60" s="4">
        <v>43.059333333333328</v>
      </c>
      <c r="N60" s="4">
        <v>-3.0155833333333333</v>
      </c>
      <c r="O60" t="b">
        <v>1</v>
      </c>
      <c r="Q60">
        <f t="shared" si="0"/>
        <v>1</v>
      </c>
      <c r="U60" s="2"/>
      <c r="V60" s="2"/>
      <c r="W60" s="2"/>
      <c r="X60" s="3"/>
    </row>
    <row r="61" spans="1:24" x14ac:dyDescent="0.4">
      <c r="A61">
        <v>77</v>
      </c>
      <c r="B61" t="s">
        <v>20</v>
      </c>
      <c r="C61">
        <v>1</v>
      </c>
      <c r="E61" t="s">
        <v>205</v>
      </c>
      <c r="F61" s="1">
        <v>45876</v>
      </c>
      <c r="G61" s="1">
        <v>45876</v>
      </c>
      <c r="H61" t="s">
        <v>206</v>
      </c>
      <c r="I61" t="s">
        <v>206</v>
      </c>
      <c r="J61" t="s">
        <v>48</v>
      </c>
      <c r="K61" t="s">
        <v>557</v>
      </c>
      <c r="L61" t="s">
        <v>48</v>
      </c>
      <c r="M61" s="4">
        <v>43.126444444444445</v>
      </c>
      <c r="N61" s="4">
        <v>-3.1325277777777778</v>
      </c>
      <c r="O61" t="b">
        <v>1</v>
      </c>
      <c r="Q61">
        <f t="shared" si="0"/>
        <v>1</v>
      </c>
      <c r="U61" s="2"/>
      <c r="V61" s="2"/>
      <c r="W61" s="2"/>
      <c r="X61" s="3"/>
    </row>
    <row r="62" spans="1:24" x14ac:dyDescent="0.4">
      <c r="A62">
        <v>78</v>
      </c>
      <c r="B62" t="s">
        <v>15</v>
      </c>
      <c r="C62">
        <v>1</v>
      </c>
      <c r="E62" t="s">
        <v>207</v>
      </c>
      <c r="F62" s="1">
        <v>45876</v>
      </c>
      <c r="G62" s="1">
        <v>45876</v>
      </c>
      <c r="H62" t="s">
        <v>208</v>
      </c>
      <c r="I62" t="s">
        <v>209</v>
      </c>
      <c r="J62" t="s">
        <v>124</v>
      </c>
      <c r="K62" t="s">
        <v>1412</v>
      </c>
      <c r="L62" t="s">
        <v>399</v>
      </c>
      <c r="M62" s="4">
        <v>42.738638888888893</v>
      </c>
      <c r="N62" s="4">
        <v>-2.4494722222222225</v>
      </c>
      <c r="O62" t="b">
        <v>1</v>
      </c>
      <c r="Q62">
        <f t="shared" si="0"/>
        <v>6</v>
      </c>
      <c r="U62" s="2"/>
      <c r="V62" s="2"/>
      <c r="W62" s="2"/>
      <c r="X62" s="3"/>
    </row>
    <row r="63" spans="1:24" x14ac:dyDescent="0.4">
      <c r="A63">
        <v>79</v>
      </c>
      <c r="B63" t="s">
        <v>20</v>
      </c>
      <c r="C63">
        <v>1</v>
      </c>
      <c r="E63" t="s">
        <v>210</v>
      </c>
      <c r="F63" s="1">
        <v>45876</v>
      </c>
      <c r="G63" s="1">
        <v>45876</v>
      </c>
      <c r="H63" t="s">
        <v>211</v>
      </c>
      <c r="I63" t="s">
        <v>212</v>
      </c>
      <c r="J63" t="s">
        <v>213</v>
      </c>
      <c r="K63" t="s">
        <v>214</v>
      </c>
      <c r="L63" t="s">
        <v>1417</v>
      </c>
      <c r="M63" s="4">
        <v>42.847972222222225</v>
      </c>
      <c r="N63" s="4">
        <v>-2.39975</v>
      </c>
      <c r="O63" t="b">
        <v>1</v>
      </c>
      <c r="Q63" t="e">
        <f t="shared" si="0"/>
        <v>#N/A</v>
      </c>
      <c r="U63" s="2"/>
      <c r="V63" s="2"/>
      <c r="W63" s="2"/>
      <c r="X63" s="3"/>
    </row>
    <row r="64" spans="1:24" x14ac:dyDescent="0.4">
      <c r="A64">
        <v>80</v>
      </c>
      <c r="B64" t="s">
        <v>20</v>
      </c>
      <c r="C64">
        <v>1</v>
      </c>
      <c r="E64" t="s">
        <v>215</v>
      </c>
      <c r="F64" s="1">
        <v>45876</v>
      </c>
      <c r="G64" s="1">
        <v>45876</v>
      </c>
      <c r="H64" t="s">
        <v>216</v>
      </c>
      <c r="I64" t="s">
        <v>217</v>
      </c>
      <c r="J64" t="s">
        <v>179</v>
      </c>
      <c r="K64" t="s">
        <v>557</v>
      </c>
      <c r="L64" t="s">
        <v>1363</v>
      </c>
      <c r="M64" s="4">
        <v>43.09986111111111</v>
      </c>
      <c r="N64" s="4">
        <v>-3.000027777777778</v>
      </c>
      <c r="O64" t="b">
        <v>1</v>
      </c>
      <c r="Q64">
        <f t="shared" si="0"/>
        <v>1</v>
      </c>
      <c r="U64" s="2"/>
      <c r="V64" s="2"/>
      <c r="W64" s="2"/>
      <c r="X64" s="3"/>
    </row>
    <row r="65" spans="1:24" x14ac:dyDescent="0.4">
      <c r="A65">
        <v>81</v>
      </c>
      <c r="B65" t="s">
        <v>20</v>
      </c>
      <c r="C65">
        <v>1</v>
      </c>
      <c r="E65" t="s">
        <v>218</v>
      </c>
      <c r="F65" s="1">
        <v>45876</v>
      </c>
      <c r="G65" s="1">
        <v>45876</v>
      </c>
      <c r="H65" t="s">
        <v>219</v>
      </c>
      <c r="I65" t="s">
        <v>220</v>
      </c>
      <c r="J65" t="s">
        <v>48</v>
      </c>
      <c r="K65" t="s">
        <v>557</v>
      </c>
      <c r="L65" t="s">
        <v>48</v>
      </c>
      <c r="M65" s="4">
        <v>43.138472222222219</v>
      </c>
      <c r="N65" s="4">
        <v>-3.1669722222222223</v>
      </c>
      <c r="O65" t="b">
        <v>1</v>
      </c>
      <c r="Q65">
        <f t="shared" si="0"/>
        <v>1</v>
      </c>
      <c r="U65" s="2"/>
      <c r="V65" s="2"/>
      <c r="W65" s="2"/>
      <c r="X65" s="3"/>
    </row>
    <row r="66" spans="1:24" x14ac:dyDescent="0.4">
      <c r="A66">
        <v>82</v>
      </c>
      <c r="B66" t="s">
        <v>40</v>
      </c>
      <c r="C66">
        <v>2</v>
      </c>
      <c r="D66">
        <v>2</v>
      </c>
      <c r="E66" t="s">
        <v>221</v>
      </c>
      <c r="F66" s="1">
        <v>45877</v>
      </c>
      <c r="G66" s="1">
        <v>45877</v>
      </c>
      <c r="H66" t="s">
        <v>222</v>
      </c>
      <c r="I66" t="s">
        <v>223</v>
      </c>
      <c r="J66" t="s">
        <v>224</v>
      </c>
      <c r="K66" t="s">
        <v>557</v>
      </c>
      <c r="L66" t="s">
        <v>1417</v>
      </c>
      <c r="M66" s="4">
        <v>43.134722222222223</v>
      </c>
      <c r="N66" s="4">
        <v>-2.983916666666667</v>
      </c>
      <c r="O66" t="b">
        <v>1</v>
      </c>
      <c r="Q66" t="e">
        <f t="shared" si="0"/>
        <v>#N/A</v>
      </c>
      <c r="U66" s="2"/>
      <c r="V66" s="2"/>
      <c r="W66" s="2"/>
      <c r="X66" s="3"/>
    </row>
    <row r="67" spans="1:24" x14ac:dyDescent="0.4">
      <c r="A67">
        <v>83</v>
      </c>
      <c r="B67" t="s">
        <v>32</v>
      </c>
      <c r="C67">
        <v>2</v>
      </c>
      <c r="D67">
        <v>3</v>
      </c>
      <c r="E67" t="s">
        <v>225</v>
      </c>
      <c r="F67" s="1">
        <v>45877</v>
      </c>
      <c r="G67" s="1">
        <v>45877</v>
      </c>
      <c r="H67" t="s">
        <v>226</v>
      </c>
      <c r="I67" t="s">
        <v>227</v>
      </c>
      <c r="J67" t="s">
        <v>228</v>
      </c>
      <c r="K67" t="s">
        <v>557</v>
      </c>
      <c r="L67" t="s">
        <v>1363</v>
      </c>
      <c r="M67" s="4">
        <v>43.07127777777778</v>
      </c>
      <c r="N67" s="4">
        <v>-3.1008611111111111</v>
      </c>
      <c r="O67" t="b">
        <v>1</v>
      </c>
      <c r="Q67">
        <f t="shared" ref="Q67:Q130" si="1">VLOOKUP(L67,$V$2:$W$253,2,FALSE)</f>
        <v>1</v>
      </c>
      <c r="U67" s="2"/>
      <c r="V67" s="2"/>
      <c r="W67" s="2"/>
      <c r="X67" s="3"/>
    </row>
    <row r="68" spans="1:24" x14ac:dyDescent="0.4">
      <c r="A68">
        <v>84</v>
      </c>
      <c r="B68" t="s">
        <v>32</v>
      </c>
      <c r="C68">
        <v>2</v>
      </c>
      <c r="D68">
        <v>3</v>
      </c>
      <c r="E68" t="s">
        <v>229</v>
      </c>
      <c r="F68" s="1">
        <v>45877</v>
      </c>
      <c r="G68" s="1">
        <v>45877</v>
      </c>
      <c r="H68" t="s">
        <v>230</v>
      </c>
      <c r="I68" t="s">
        <v>227</v>
      </c>
      <c r="J68" t="s">
        <v>231</v>
      </c>
      <c r="K68" t="s">
        <v>557</v>
      </c>
      <c r="L68" t="s">
        <v>1363</v>
      </c>
      <c r="M68" s="4">
        <v>43.084138888888894</v>
      </c>
      <c r="N68" s="4">
        <v>-3.1178055555555555</v>
      </c>
      <c r="O68" t="b">
        <v>1</v>
      </c>
      <c r="Q68">
        <f t="shared" si="1"/>
        <v>1</v>
      </c>
      <c r="U68" s="2"/>
      <c r="V68" s="2"/>
      <c r="W68" s="2"/>
      <c r="X68" s="3"/>
    </row>
    <row r="69" spans="1:24" x14ac:dyDescent="0.4">
      <c r="A69">
        <v>85</v>
      </c>
      <c r="B69" t="s">
        <v>20</v>
      </c>
      <c r="C69">
        <v>1</v>
      </c>
      <c r="E69" t="s">
        <v>232</v>
      </c>
      <c r="F69" s="1">
        <v>45877</v>
      </c>
      <c r="G69" s="1">
        <v>45877</v>
      </c>
      <c r="H69" t="s">
        <v>233</v>
      </c>
      <c r="I69" t="s">
        <v>234</v>
      </c>
      <c r="J69" t="s">
        <v>48</v>
      </c>
      <c r="K69" t="s">
        <v>557</v>
      </c>
      <c r="L69" t="s">
        <v>48</v>
      </c>
      <c r="M69" s="4">
        <v>43.138249999999999</v>
      </c>
      <c r="N69" s="4">
        <v>-3.1680833333333331</v>
      </c>
      <c r="O69" t="b">
        <v>1</v>
      </c>
      <c r="Q69">
        <f t="shared" si="1"/>
        <v>1</v>
      </c>
      <c r="U69" s="2"/>
      <c r="V69" s="2"/>
      <c r="W69" s="2"/>
      <c r="X69" s="3"/>
    </row>
    <row r="70" spans="1:24" x14ac:dyDescent="0.4">
      <c r="A70">
        <v>87</v>
      </c>
      <c r="B70" t="s">
        <v>20</v>
      </c>
      <c r="C70">
        <v>1</v>
      </c>
      <c r="E70" t="s">
        <v>235</v>
      </c>
      <c r="F70" s="1">
        <v>45877</v>
      </c>
      <c r="G70" s="1">
        <v>45877</v>
      </c>
      <c r="H70" t="s">
        <v>236</v>
      </c>
      <c r="I70" t="s">
        <v>237</v>
      </c>
      <c r="J70" t="s">
        <v>66</v>
      </c>
      <c r="K70" t="s">
        <v>288</v>
      </c>
      <c r="L70" t="s">
        <v>1395</v>
      </c>
      <c r="O70" t="b">
        <v>1</v>
      </c>
      <c r="Q70">
        <f t="shared" si="1"/>
        <v>5</v>
      </c>
      <c r="U70" s="2"/>
      <c r="V70" s="2"/>
      <c r="W70" s="2"/>
      <c r="X70" s="3"/>
    </row>
    <row r="71" spans="1:24" x14ac:dyDescent="0.4">
      <c r="A71">
        <v>88</v>
      </c>
      <c r="B71" t="s">
        <v>20</v>
      </c>
      <c r="C71">
        <v>1</v>
      </c>
      <c r="E71" t="s">
        <v>238</v>
      </c>
      <c r="F71" s="1">
        <v>45878</v>
      </c>
      <c r="G71" s="1">
        <v>45878</v>
      </c>
      <c r="H71" t="s">
        <v>239</v>
      </c>
      <c r="I71" t="s">
        <v>240</v>
      </c>
      <c r="J71" t="s">
        <v>48</v>
      </c>
      <c r="K71" t="s">
        <v>557</v>
      </c>
      <c r="L71" t="s">
        <v>48</v>
      </c>
      <c r="M71" s="4">
        <v>43.132916666666667</v>
      </c>
      <c r="N71" s="4">
        <v>-3.118638888888889</v>
      </c>
      <c r="O71" t="b">
        <v>1</v>
      </c>
      <c r="Q71">
        <f t="shared" si="1"/>
        <v>1</v>
      </c>
      <c r="U71" s="2"/>
      <c r="V71" s="2"/>
      <c r="W71" s="2"/>
      <c r="X71" s="3"/>
    </row>
    <row r="72" spans="1:24" x14ac:dyDescent="0.4">
      <c r="A72">
        <v>89</v>
      </c>
      <c r="B72" t="s">
        <v>40</v>
      </c>
      <c r="C72">
        <v>1</v>
      </c>
      <c r="E72" t="s">
        <v>241</v>
      </c>
      <c r="F72" s="1">
        <v>45878</v>
      </c>
      <c r="G72" s="1">
        <v>45878</v>
      </c>
      <c r="H72" t="s">
        <v>242</v>
      </c>
      <c r="I72" t="s">
        <v>242</v>
      </c>
      <c r="J72" t="s">
        <v>192</v>
      </c>
      <c r="K72" t="s">
        <v>557</v>
      </c>
      <c r="L72" t="s">
        <v>28</v>
      </c>
      <c r="M72" s="4">
        <v>42.970277777777781</v>
      </c>
      <c r="N72" s="4">
        <v>-3.0022500000000001</v>
      </c>
      <c r="O72" t="b">
        <v>1</v>
      </c>
      <c r="Q72">
        <f t="shared" si="1"/>
        <v>1</v>
      </c>
      <c r="U72" s="2"/>
      <c r="V72" s="2"/>
      <c r="W72" s="2"/>
      <c r="X72" s="3"/>
    </row>
    <row r="73" spans="1:24" x14ac:dyDescent="0.4">
      <c r="A73">
        <v>90</v>
      </c>
      <c r="B73" t="s">
        <v>15</v>
      </c>
      <c r="C73">
        <v>1</v>
      </c>
      <c r="E73" t="s">
        <v>243</v>
      </c>
      <c r="F73" s="1">
        <v>45878</v>
      </c>
      <c r="G73" s="1">
        <v>45878</v>
      </c>
      <c r="H73" t="s">
        <v>244</v>
      </c>
      <c r="I73" t="s">
        <v>245</v>
      </c>
      <c r="J73" t="s">
        <v>28</v>
      </c>
      <c r="K73" t="s">
        <v>557</v>
      </c>
      <c r="L73" t="s">
        <v>28</v>
      </c>
      <c r="M73" s="4">
        <v>43.055944444444442</v>
      </c>
      <c r="N73" s="4">
        <v>-3.0191944444444445</v>
      </c>
      <c r="O73" t="b">
        <v>1</v>
      </c>
      <c r="Q73">
        <f t="shared" si="1"/>
        <v>1</v>
      </c>
      <c r="U73" s="2"/>
      <c r="V73" s="2"/>
      <c r="W73" s="2"/>
      <c r="X73" s="3"/>
    </row>
    <row r="74" spans="1:24" x14ac:dyDescent="0.4">
      <c r="A74">
        <v>91</v>
      </c>
      <c r="B74" t="s">
        <v>20</v>
      </c>
      <c r="C74">
        <v>1</v>
      </c>
      <c r="E74" t="s">
        <v>246</v>
      </c>
      <c r="F74" s="1">
        <v>45878</v>
      </c>
      <c r="G74" s="1">
        <v>45878</v>
      </c>
      <c r="H74" t="s">
        <v>90</v>
      </c>
      <c r="I74" t="s">
        <v>90</v>
      </c>
      <c r="J74" t="s">
        <v>36</v>
      </c>
      <c r="K74" t="s">
        <v>557</v>
      </c>
      <c r="L74" t="s">
        <v>1363</v>
      </c>
      <c r="M74" s="4">
        <v>43.076583333333339</v>
      </c>
      <c r="N74" s="4">
        <v>-3.0528055555555556</v>
      </c>
      <c r="O74" t="b">
        <v>1</v>
      </c>
      <c r="Q74">
        <f t="shared" si="1"/>
        <v>1</v>
      </c>
      <c r="U74" s="2"/>
      <c r="V74" s="2"/>
      <c r="W74" s="2"/>
      <c r="X74" s="3"/>
    </row>
    <row r="75" spans="1:24" x14ac:dyDescent="0.4">
      <c r="A75">
        <v>92</v>
      </c>
      <c r="B75" t="s">
        <v>20</v>
      </c>
      <c r="C75">
        <v>1</v>
      </c>
      <c r="E75" t="s">
        <v>247</v>
      </c>
      <c r="F75" s="1">
        <v>45879</v>
      </c>
      <c r="G75" s="1">
        <v>45879</v>
      </c>
      <c r="H75" t="s">
        <v>248</v>
      </c>
      <c r="I75" t="s">
        <v>239</v>
      </c>
      <c r="J75" t="s">
        <v>48</v>
      </c>
      <c r="K75" t="s">
        <v>557</v>
      </c>
      <c r="L75" t="s">
        <v>48</v>
      </c>
      <c r="M75" s="4">
        <v>43.122500000000002</v>
      </c>
      <c r="N75" s="4">
        <v>-3.1364166666666669</v>
      </c>
      <c r="O75" t="b">
        <v>1</v>
      </c>
      <c r="Q75">
        <f t="shared" si="1"/>
        <v>1</v>
      </c>
      <c r="U75" s="2"/>
      <c r="V75" s="2"/>
      <c r="W75" s="2"/>
      <c r="X75" s="3"/>
    </row>
    <row r="76" spans="1:24" x14ac:dyDescent="0.4">
      <c r="A76">
        <v>94</v>
      </c>
      <c r="B76" t="s">
        <v>15</v>
      </c>
      <c r="C76">
        <v>1</v>
      </c>
      <c r="E76" t="s">
        <v>249</v>
      </c>
      <c r="F76" s="1">
        <v>45879</v>
      </c>
      <c r="G76" s="1">
        <v>45879</v>
      </c>
      <c r="H76" t="s">
        <v>250</v>
      </c>
      <c r="I76" t="s">
        <v>250</v>
      </c>
      <c r="J76" t="s">
        <v>36</v>
      </c>
      <c r="K76" t="s">
        <v>557</v>
      </c>
      <c r="L76" t="s">
        <v>1363</v>
      </c>
      <c r="M76" s="4">
        <v>43.078222222222223</v>
      </c>
      <c r="N76" s="4">
        <v>-3.0533611111111112</v>
      </c>
      <c r="O76" t="b">
        <v>1</v>
      </c>
      <c r="Q76">
        <f t="shared" si="1"/>
        <v>1</v>
      </c>
      <c r="U76" s="2"/>
      <c r="V76" s="2"/>
      <c r="W76" s="2"/>
      <c r="X76" s="3"/>
    </row>
    <row r="77" spans="1:24" x14ac:dyDescent="0.4">
      <c r="A77">
        <v>95</v>
      </c>
      <c r="B77" t="s">
        <v>20</v>
      </c>
      <c r="C77">
        <v>1</v>
      </c>
      <c r="E77" t="s">
        <v>251</v>
      </c>
      <c r="F77" s="1">
        <v>45880</v>
      </c>
      <c r="G77" s="1">
        <v>45880</v>
      </c>
      <c r="H77" t="s">
        <v>252</v>
      </c>
      <c r="I77" t="s">
        <v>253</v>
      </c>
      <c r="J77" t="s">
        <v>76</v>
      </c>
      <c r="K77" t="s">
        <v>557</v>
      </c>
      <c r="L77" t="s">
        <v>1364</v>
      </c>
      <c r="M77" s="4">
        <v>43.155722222222224</v>
      </c>
      <c r="N77" s="4">
        <v>-3.036972222222222</v>
      </c>
      <c r="O77" t="b">
        <v>1</v>
      </c>
      <c r="Q77">
        <f t="shared" si="1"/>
        <v>1</v>
      </c>
      <c r="U77" s="2"/>
      <c r="V77" s="2"/>
      <c r="W77" s="2"/>
      <c r="X77" s="3"/>
    </row>
    <row r="78" spans="1:24" x14ac:dyDescent="0.4">
      <c r="A78">
        <v>97</v>
      </c>
      <c r="B78" t="s">
        <v>20</v>
      </c>
      <c r="C78">
        <v>1</v>
      </c>
      <c r="E78" t="s">
        <v>254</v>
      </c>
      <c r="F78" s="1">
        <v>45880</v>
      </c>
      <c r="G78" s="1">
        <v>45880</v>
      </c>
      <c r="H78" t="s">
        <v>255</v>
      </c>
      <c r="I78" t="s">
        <v>256</v>
      </c>
      <c r="J78" t="s">
        <v>257</v>
      </c>
      <c r="K78" t="s">
        <v>214</v>
      </c>
      <c r="L78" t="s">
        <v>258</v>
      </c>
      <c r="M78" s="4">
        <v>42.841888888888889</v>
      </c>
      <c r="N78" s="4">
        <v>-2.5205833333333332</v>
      </c>
      <c r="O78" t="b">
        <v>1</v>
      </c>
      <c r="Q78">
        <f t="shared" si="1"/>
        <v>3</v>
      </c>
      <c r="U78" s="2"/>
      <c r="V78" s="2"/>
      <c r="W78" s="2"/>
      <c r="X78" s="3"/>
    </row>
    <row r="79" spans="1:24" x14ac:dyDescent="0.4">
      <c r="A79">
        <v>98</v>
      </c>
      <c r="B79" t="s">
        <v>20</v>
      </c>
      <c r="C79">
        <v>1</v>
      </c>
      <c r="E79" t="s">
        <v>259</v>
      </c>
      <c r="F79" s="1">
        <v>45880</v>
      </c>
      <c r="G79" s="1">
        <v>45880</v>
      </c>
      <c r="H79" t="s">
        <v>260</v>
      </c>
      <c r="I79" t="s">
        <v>261</v>
      </c>
      <c r="J79" t="s">
        <v>196</v>
      </c>
      <c r="K79" t="s">
        <v>288</v>
      </c>
      <c r="L79" t="s">
        <v>196</v>
      </c>
      <c r="M79" s="4">
        <v>42.661055555555556</v>
      </c>
      <c r="N79" s="4">
        <v>-2.8875277777777777</v>
      </c>
      <c r="O79" t="b">
        <v>1</v>
      </c>
      <c r="Q79">
        <f t="shared" si="1"/>
        <v>5</v>
      </c>
      <c r="U79" s="2"/>
      <c r="V79" s="2"/>
      <c r="W79" s="2"/>
      <c r="X79" s="3"/>
    </row>
    <row r="80" spans="1:24" x14ac:dyDescent="0.4">
      <c r="A80">
        <v>99</v>
      </c>
      <c r="B80" t="s">
        <v>32</v>
      </c>
      <c r="C80">
        <v>2</v>
      </c>
      <c r="D80">
        <v>3</v>
      </c>
      <c r="E80" t="s">
        <v>262</v>
      </c>
      <c r="F80" s="1">
        <v>45880</v>
      </c>
      <c r="G80" s="1">
        <v>45880</v>
      </c>
      <c r="H80" t="s">
        <v>263</v>
      </c>
      <c r="I80" t="s">
        <v>264</v>
      </c>
      <c r="J80" t="s">
        <v>265</v>
      </c>
      <c r="K80" t="s">
        <v>288</v>
      </c>
      <c r="L80" t="s">
        <v>196</v>
      </c>
      <c r="M80" s="4">
        <v>42.672527777777773</v>
      </c>
      <c r="N80" s="4">
        <v>-2.8544722222222223</v>
      </c>
      <c r="O80" t="b">
        <v>1</v>
      </c>
      <c r="Q80">
        <f t="shared" si="1"/>
        <v>5</v>
      </c>
      <c r="U80" s="2"/>
      <c r="V80" s="2"/>
      <c r="W80" s="2"/>
      <c r="X80" s="3"/>
    </row>
    <row r="81" spans="1:24" x14ac:dyDescent="0.4">
      <c r="A81">
        <v>100</v>
      </c>
      <c r="B81" t="s">
        <v>20</v>
      </c>
      <c r="C81">
        <v>1</v>
      </c>
      <c r="E81" t="s">
        <v>266</v>
      </c>
      <c r="F81" s="1">
        <v>45880</v>
      </c>
      <c r="G81" s="1">
        <v>45880</v>
      </c>
      <c r="H81" t="s">
        <v>90</v>
      </c>
      <c r="I81" t="s">
        <v>90</v>
      </c>
      <c r="J81" t="s">
        <v>36</v>
      </c>
      <c r="K81" t="s">
        <v>557</v>
      </c>
      <c r="L81" t="s">
        <v>1363</v>
      </c>
      <c r="M81" s="4">
        <v>43.076583333333339</v>
      </c>
      <c r="N81" s="4">
        <v>-3.0547499999999999</v>
      </c>
      <c r="O81" t="b">
        <v>1</v>
      </c>
      <c r="Q81">
        <f t="shared" si="1"/>
        <v>1</v>
      </c>
      <c r="U81" s="2"/>
      <c r="V81" s="2"/>
      <c r="W81" s="2"/>
      <c r="X81" s="3"/>
    </row>
    <row r="82" spans="1:24" x14ac:dyDescent="0.4">
      <c r="A82">
        <v>101</v>
      </c>
      <c r="B82" t="s">
        <v>15</v>
      </c>
      <c r="C82">
        <v>2</v>
      </c>
      <c r="D82">
        <v>1</v>
      </c>
      <c r="E82" t="s">
        <v>267</v>
      </c>
      <c r="F82" s="1">
        <v>45880</v>
      </c>
      <c r="G82" s="1">
        <v>45880</v>
      </c>
      <c r="H82" t="s">
        <v>268</v>
      </c>
      <c r="I82" t="s">
        <v>269</v>
      </c>
      <c r="J82" t="s">
        <v>270</v>
      </c>
      <c r="K82" t="s">
        <v>557</v>
      </c>
      <c r="L82" t="s">
        <v>1363</v>
      </c>
      <c r="M82" s="4">
        <v>43.059333333333328</v>
      </c>
      <c r="N82" s="4">
        <v>-3.0216944444444445</v>
      </c>
      <c r="O82" t="b">
        <v>1</v>
      </c>
      <c r="Q82">
        <f t="shared" si="1"/>
        <v>1</v>
      </c>
      <c r="U82" s="2"/>
      <c r="V82" s="2"/>
      <c r="W82" s="2"/>
      <c r="X82" s="3"/>
    </row>
    <row r="83" spans="1:24" x14ac:dyDescent="0.4">
      <c r="A83">
        <v>102</v>
      </c>
      <c r="B83" t="s">
        <v>20</v>
      </c>
      <c r="C83">
        <v>1</v>
      </c>
      <c r="E83" t="s">
        <v>271</v>
      </c>
      <c r="F83" s="1">
        <v>45880</v>
      </c>
      <c r="G83" s="1">
        <v>45880</v>
      </c>
      <c r="H83" t="s">
        <v>272</v>
      </c>
      <c r="I83" t="s">
        <v>273</v>
      </c>
      <c r="J83" t="s">
        <v>56</v>
      </c>
      <c r="K83" t="s">
        <v>288</v>
      </c>
      <c r="L83" t="s">
        <v>1398</v>
      </c>
      <c r="M83" s="4">
        <v>42.80994444444444</v>
      </c>
      <c r="N83" s="4">
        <v>-3.0553055555555555</v>
      </c>
      <c r="O83" t="b">
        <v>1</v>
      </c>
      <c r="Q83">
        <f t="shared" si="1"/>
        <v>5</v>
      </c>
      <c r="U83" s="2"/>
      <c r="V83" s="2"/>
      <c r="W83" s="2"/>
      <c r="X83" s="3"/>
    </row>
    <row r="84" spans="1:24" x14ac:dyDescent="0.4">
      <c r="A84">
        <v>103</v>
      </c>
      <c r="B84" t="s">
        <v>20</v>
      </c>
      <c r="C84">
        <v>1</v>
      </c>
      <c r="E84" t="s">
        <v>274</v>
      </c>
      <c r="F84" s="1">
        <v>45880</v>
      </c>
      <c r="G84" s="1">
        <v>45880</v>
      </c>
      <c r="H84" t="s">
        <v>275</v>
      </c>
      <c r="I84" t="s">
        <v>276</v>
      </c>
      <c r="J84" t="s">
        <v>277</v>
      </c>
      <c r="K84" t="s">
        <v>288</v>
      </c>
      <c r="L84" t="s">
        <v>1398</v>
      </c>
      <c r="M84" s="4">
        <v>42.809305555555554</v>
      </c>
      <c r="N84" s="4">
        <v>-3.1055833333333336</v>
      </c>
      <c r="O84" t="b">
        <v>1</v>
      </c>
      <c r="Q84">
        <f t="shared" si="1"/>
        <v>5</v>
      </c>
      <c r="U84" s="2"/>
      <c r="V84" s="2"/>
      <c r="W84" s="2"/>
      <c r="X84" s="3"/>
    </row>
    <row r="85" spans="1:24" x14ac:dyDescent="0.4">
      <c r="A85">
        <v>104</v>
      </c>
      <c r="B85" t="s">
        <v>20</v>
      </c>
      <c r="C85">
        <v>1</v>
      </c>
      <c r="E85" t="s">
        <v>278</v>
      </c>
      <c r="F85" s="1">
        <v>45881</v>
      </c>
      <c r="G85" s="1">
        <v>45881</v>
      </c>
      <c r="H85" t="s">
        <v>279</v>
      </c>
      <c r="I85" t="s">
        <v>280</v>
      </c>
      <c r="J85" t="s">
        <v>28</v>
      </c>
      <c r="K85" t="s">
        <v>557</v>
      </c>
      <c r="L85" t="s">
        <v>28</v>
      </c>
      <c r="M85" s="4">
        <v>43.068666666666672</v>
      </c>
      <c r="N85" s="4">
        <v>-3.0058611111111113</v>
      </c>
      <c r="O85" t="b">
        <v>1</v>
      </c>
      <c r="Q85">
        <f t="shared" si="1"/>
        <v>1</v>
      </c>
      <c r="U85" s="2"/>
      <c r="V85" s="2"/>
      <c r="W85" s="2"/>
      <c r="X85" s="3"/>
    </row>
    <row r="86" spans="1:24" x14ac:dyDescent="0.4">
      <c r="A86">
        <v>105</v>
      </c>
      <c r="B86" t="s">
        <v>20</v>
      </c>
      <c r="C86">
        <v>1</v>
      </c>
      <c r="E86" t="s">
        <v>281</v>
      </c>
      <c r="F86" s="1">
        <v>45881</v>
      </c>
      <c r="G86" s="1">
        <v>45881</v>
      </c>
      <c r="H86" t="s">
        <v>282</v>
      </c>
      <c r="I86" t="s">
        <v>283</v>
      </c>
      <c r="J86" t="s">
        <v>36</v>
      </c>
      <c r="K86" t="s">
        <v>557</v>
      </c>
      <c r="L86" t="s">
        <v>1363</v>
      </c>
      <c r="M86" s="4">
        <v>43.077666666666673</v>
      </c>
      <c r="N86" s="4">
        <v>-3.056138888888889</v>
      </c>
      <c r="O86" t="b">
        <v>1</v>
      </c>
      <c r="Q86">
        <f t="shared" si="1"/>
        <v>1</v>
      </c>
      <c r="U86" s="2"/>
      <c r="V86" s="2"/>
      <c r="W86" s="2"/>
      <c r="X86" s="3"/>
    </row>
    <row r="87" spans="1:24" x14ac:dyDescent="0.4">
      <c r="A87">
        <v>106</v>
      </c>
      <c r="B87" t="s">
        <v>20</v>
      </c>
      <c r="C87">
        <v>1</v>
      </c>
      <c r="E87" t="s">
        <v>284</v>
      </c>
      <c r="F87" s="1">
        <v>45881</v>
      </c>
      <c r="G87" s="1">
        <v>45881</v>
      </c>
      <c r="H87" t="s">
        <v>285</v>
      </c>
      <c r="I87" t="s">
        <v>286</v>
      </c>
      <c r="J87" t="s">
        <v>287</v>
      </c>
      <c r="K87" t="s">
        <v>288</v>
      </c>
      <c r="L87" t="s">
        <v>288</v>
      </c>
      <c r="M87" s="4">
        <v>42.710888888888888</v>
      </c>
      <c r="N87" s="4">
        <v>-2.9397499999999996</v>
      </c>
      <c r="O87" t="b">
        <v>1</v>
      </c>
      <c r="Q87">
        <f t="shared" si="1"/>
        <v>5</v>
      </c>
      <c r="U87" s="2"/>
      <c r="V87" s="2"/>
      <c r="W87" s="2"/>
      <c r="X87" s="3"/>
    </row>
    <row r="88" spans="1:24" x14ac:dyDescent="0.4">
      <c r="A88">
        <v>107</v>
      </c>
      <c r="B88" t="s">
        <v>15</v>
      </c>
      <c r="C88">
        <v>2</v>
      </c>
      <c r="D88">
        <v>1</v>
      </c>
      <c r="E88" t="s">
        <v>289</v>
      </c>
      <c r="F88" s="1">
        <v>45881</v>
      </c>
      <c r="G88" s="1">
        <v>45881</v>
      </c>
      <c r="H88" t="s">
        <v>290</v>
      </c>
      <c r="I88" t="s">
        <v>291</v>
      </c>
      <c r="J88" t="s">
        <v>179</v>
      </c>
      <c r="K88" t="s">
        <v>557</v>
      </c>
      <c r="L88" t="s">
        <v>1363</v>
      </c>
      <c r="M88" s="4">
        <v>43.098750000000003</v>
      </c>
      <c r="N88" s="4">
        <v>-3.0066944444444443</v>
      </c>
      <c r="O88" t="b">
        <v>1</v>
      </c>
      <c r="Q88">
        <f t="shared" si="1"/>
        <v>1</v>
      </c>
      <c r="U88" s="2"/>
      <c r="V88" s="2"/>
      <c r="W88" s="2"/>
      <c r="X88" s="3"/>
    </row>
    <row r="89" spans="1:24" x14ac:dyDescent="0.4">
      <c r="A89">
        <v>108</v>
      </c>
      <c r="B89" t="s">
        <v>20</v>
      </c>
      <c r="C89">
        <v>1</v>
      </c>
      <c r="E89" t="s">
        <v>292</v>
      </c>
      <c r="F89" s="1">
        <v>45881</v>
      </c>
      <c r="G89" s="1">
        <v>45881</v>
      </c>
      <c r="H89" t="s">
        <v>242</v>
      </c>
      <c r="I89" t="s">
        <v>293</v>
      </c>
      <c r="J89" t="s">
        <v>192</v>
      </c>
      <c r="K89" t="s">
        <v>557</v>
      </c>
      <c r="L89" t="s">
        <v>28</v>
      </c>
      <c r="M89" s="4">
        <v>42.968611111111116</v>
      </c>
      <c r="N89" s="4">
        <v>-3.0069722222222222</v>
      </c>
      <c r="O89" t="b">
        <v>1</v>
      </c>
      <c r="Q89">
        <f t="shared" si="1"/>
        <v>1</v>
      </c>
      <c r="U89" s="2"/>
      <c r="V89" s="2"/>
      <c r="W89" s="2"/>
      <c r="X89" s="3"/>
    </row>
    <row r="90" spans="1:24" x14ac:dyDescent="0.4">
      <c r="A90">
        <v>109</v>
      </c>
      <c r="B90" t="s">
        <v>20</v>
      </c>
      <c r="C90">
        <v>1</v>
      </c>
      <c r="E90" t="s">
        <v>294</v>
      </c>
      <c r="F90" s="1">
        <v>45881</v>
      </c>
      <c r="G90" s="1">
        <v>45881</v>
      </c>
      <c r="H90" t="s">
        <v>295</v>
      </c>
      <c r="I90" t="s">
        <v>296</v>
      </c>
      <c r="J90" t="s">
        <v>196</v>
      </c>
      <c r="K90" t="s">
        <v>288</v>
      </c>
      <c r="L90" t="s">
        <v>196</v>
      </c>
      <c r="M90" s="4">
        <v>42.664583333333333</v>
      </c>
      <c r="N90" s="4">
        <v>-2.8905833333333333</v>
      </c>
      <c r="O90" t="b">
        <v>1</v>
      </c>
      <c r="Q90">
        <f t="shared" si="1"/>
        <v>5</v>
      </c>
      <c r="U90" s="2"/>
      <c r="V90" s="2"/>
      <c r="W90" s="2"/>
      <c r="X90" s="3"/>
    </row>
    <row r="91" spans="1:24" x14ac:dyDescent="0.4">
      <c r="A91">
        <v>110</v>
      </c>
      <c r="B91" t="s">
        <v>20</v>
      </c>
      <c r="C91">
        <v>1</v>
      </c>
      <c r="E91" t="s">
        <v>297</v>
      </c>
      <c r="F91" s="1">
        <v>45881</v>
      </c>
      <c r="G91" s="1">
        <v>45881</v>
      </c>
      <c r="H91" t="s">
        <v>298</v>
      </c>
      <c r="I91" t="s">
        <v>299</v>
      </c>
      <c r="J91" t="s">
        <v>277</v>
      </c>
      <c r="K91" t="s">
        <v>288</v>
      </c>
      <c r="L91" t="s">
        <v>1398</v>
      </c>
      <c r="M91" s="4">
        <v>42.8095</v>
      </c>
      <c r="N91" s="4">
        <v>-3.1075277777777779</v>
      </c>
      <c r="O91" t="b">
        <v>1</v>
      </c>
      <c r="Q91">
        <f t="shared" si="1"/>
        <v>5</v>
      </c>
      <c r="U91" s="2"/>
      <c r="V91" s="2"/>
      <c r="W91" s="2"/>
      <c r="X91" s="3"/>
    </row>
    <row r="92" spans="1:24" x14ac:dyDescent="0.4">
      <c r="A92">
        <v>111</v>
      </c>
      <c r="B92" t="s">
        <v>40</v>
      </c>
      <c r="C92">
        <v>1</v>
      </c>
      <c r="E92" t="s">
        <v>300</v>
      </c>
      <c r="F92" s="1">
        <v>45881</v>
      </c>
      <c r="G92" s="1">
        <v>45881</v>
      </c>
      <c r="H92" t="s">
        <v>301</v>
      </c>
      <c r="I92" t="s">
        <v>302</v>
      </c>
      <c r="J92" t="s">
        <v>56</v>
      </c>
      <c r="K92" t="s">
        <v>288</v>
      </c>
      <c r="L92" t="s">
        <v>1398</v>
      </c>
      <c r="M92" s="4">
        <v>42.809972222222221</v>
      </c>
      <c r="N92" s="4">
        <v>-3.0578055555555554</v>
      </c>
      <c r="O92" t="b">
        <v>1</v>
      </c>
      <c r="Q92">
        <f t="shared" si="1"/>
        <v>5</v>
      </c>
      <c r="U92" s="2"/>
      <c r="V92" s="2"/>
      <c r="W92" s="2"/>
      <c r="X92" s="3"/>
    </row>
    <row r="93" spans="1:24" x14ac:dyDescent="0.4">
      <c r="A93">
        <v>112</v>
      </c>
      <c r="B93" t="s">
        <v>20</v>
      </c>
      <c r="C93">
        <v>1</v>
      </c>
      <c r="E93" t="s">
        <v>303</v>
      </c>
      <c r="F93" s="1">
        <v>45881</v>
      </c>
      <c r="G93" s="1">
        <v>45881</v>
      </c>
      <c r="H93" t="s">
        <v>304</v>
      </c>
      <c r="I93" t="s">
        <v>305</v>
      </c>
      <c r="J93" t="s">
        <v>306</v>
      </c>
      <c r="K93" t="s">
        <v>1409</v>
      </c>
      <c r="L93" t="s">
        <v>307</v>
      </c>
      <c r="M93" s="4">
        <v>42.97602777777778</v>
      </c>
      <c r="N93" s="4">
        <v>-2.6914166666666666</v>
      </c>
      <c r="O93" t="b">
        <v>1</v>
      </c>
      <c r="Q93">
        <f t="shared" si="1"/>
        <v>4</v>
      </c>
      <c r="U93" s="2"/>
      <c r="V93" s="2"/>
      <c r="W93" s="2"/>
      <c r="X93" s="3"/>
    </row>
    <row r="94" spans="1:24" x14ac:dyDescent="0.4">
      <c r="A94">
        <v>113</v>
      </c>
      <c r="B94" t="s">
        <v>20</v>
      </c>
      <c r="C94">
        <v>1</v>
      </c>
      <c r="E94" t="s">
        <v>308</v>
      </c>
      <c r="F94" s="1">
        <v>45881</v>
      </c>
      <c r="G94" s="1">
        <v>45881</v>
      </c>
      <c r="H94" t="s">
        <v>309</v>
      </c>
      <c r="I94" t="s">
        <v>310</v>
      </c>
      <c r="J94" t="s">
        <v>48</v>
      </c>
      <c r="K94" t="s">
        <v>557</v>
      </c>
      <c r="L94" t="s">
        <v>48</v>
      </c>
      <c r="M94" s="4">
        <v>43.116722222222222</v>
      </c>
      <c r="N94" s="4">
        <v>-3.1583611111111112</v>
      </c>
      <c r="O94" t="b">
        <v>1</v>
      </c>
      <c r="Q94">
        <f t="shared" si="1"/>
        <v>1</v>
      </c>
      <c r="U94" s="2"/>
      <c r="V94" s="2"/>
      <c r="W94" s="2"/>
      <c r="X94" s="3"/>
    </row>
    <row r="95" spans="1:24" x14ac:dyDescent="0.4">
      <c r="A95">
        <v>114</v>
      </c>
      <c r="B95" t="s">
        <v>20</v>
      </c>
      <c r="C95">
        <v>1</v>
      </c>
      <c r="E95" t="s">
        <v>311</v>
      </c>
      <c r="F95" s="1">
        <v>45882</v>
      </c>
      <c r="G95" s="1">
        <v>45882</v>
      </c>
      <c r="H95" t="s">
        <v>312</v>
      </c>
      <c r="I95" t="s">
        <v>296</v>
      </c>
      <c r="J95" t="s">
        <v>257</v>
      </c>
      <c r="K95" t="s">
        <v>214</v>
      </c>
      <c r="L95" t="s">
        <v>258</v>
      </c>
      <c r="M95" s="4">
        <v>42.842194444444445</v>
      </c>
      <c r="N95" s="4">
        <v>-2.5253055555555557</v>
      </c>
      <c r="O95" t="b">
        <v>1</v>
      </c>
      <c r="Q95">
        <f t="shared" si="1"/>
        <v>3</v>
      </c>
      <c r="U95" s="2"/>
      <c r="V95" s="2"/>
      <c r="W95" s="2"/>
      <c r="X95" s="3"/>
    </row>
    <row r="96" spans="1:24" x14ac:dyDescent="0.4">
      <c r="A96">
        <v>115</v>
      </c>
      <c r="B96" t="s">
        <v>20</v>
      </c>
      <c r="C96">
        <v>2</v>
      </c>
      <c r="D96">
        <v>8</v>
      </c>
      <c r="E96" t="s">
        <v>313</v>
      </c>
      <c r="F96" s="1">
        <v>45881</v>
      </c>
      <c r="G96" s="1">
        <v>45881</v>
      </c>
      <c r="H96" t="s">
        <v>314</v>
      </c>
      <c r="I96" t="s">
        <v>315</v>
      </c>
      <c r="J96" t="s">
        <v>316</v>
      </c>
      <c r="K96" t="s">
        <v>557</v>
      </c>
      <c r="L96" t="s">
        <v>1363</v>
      </c>
      <c r="M96" s="4">
        <v>43.133416666666669</v>
      </c>
      <c r="N96" s="4">
        <v>-2.9922500000000003</v>
      </c>
      <c r="O96" t="b">
        <v>1</v>
      </c>
      <c r="Q96">
        <f t="shared" si="1"/>
        <v>1</v>
      </c>
      <c r="U96" s="2"/>
      <c r="V96" s="2"/>
      <c r="W96" s="2"/>
      <c r="X96" s="3"/>
    </row>
    <row r="97" spans="1:24" x14ac:dyDescent="0.4">
      <c r="A97">
        <v>116</v>
      </c>
      <c r="B97" t="s">
        <v>20</v>
      </c>
      <c r="C97">
        <v>2</v>
      </c>
      <c r="D97">
        <v>18</v>
      </c>
      <c r="E97" t="s">
        <v>317</v>
      </c>
      <c r="F97" s="1">
        <v>45881</v>
      </c>
      <c r="G97" s="1">
        <v>45881</v>
      </c>
      <c r="H97" t="s">
        <v>318</v>
      </c>
      <c r="I97" t="s">
        <v>319</v>
      </c>
      <c r="J97" t="s">
        <v>316</v>
      </c>
      <c r="K97" t="s">
        <v>557</v>
      </c>
      <c r="L97" t="s">
        <v>1363</v>
      </c>
      <c r="M97" s="4">
        <v>43.133416666666669</v>
      </c>
      <c r="N97" s="4">
        <v>-2.9925277777777777</v>
      </c>
      <c r="O97" t="b">
        <v>1</v>
      </c>
      <c r="Q97">
        <f t="shared" si="1"/>
        <v>1</v>
      </c>
      <c r="U97" s="2"/>
      <c r="V97" s="2"/>
      <c r="W97" s="2"/>
      <c r="X97" s="3"/>
    </row>
    <row r="98" spans="1:24" x14ac:dyDescent="0.4">
      <c r="A98">
        <v>117</v>
      </c>
      <c r="B98" t="s">
        <v>20</v>
      </c>
      <c r="C98">
        <v>2</v>
      </c>
      <c r="D98">
        <v>8</v>
      </c>
      <c r="E98" t="s">
        <v>320</v>
      </c>
      <c r="F98" s="1">
        <v>45882</v>
      </c>
      <c r="G98" s="1">
        <v>45882</v>
      </c>
      <c r="H98" t="s">
        <v>321</v>
      </c>
      <c r="I98" t="s">
        <v>322</v>
      </c>
      <c r="J98" t="s">
        <v>323</v>
      </c>
      <c r="K98" t="s">
        <v>557</v>
      </c>
      <c r="L98" t="s">
        <v>1363</v>
      </c>
      <c r="M98" s="4">
        <v>43.14297222222222</v>
      </c>
      <c r="N98" s="4">
        <v>-2.9761388888888889</v>
      </c>
      <c r="O98" t="b">
        <v>1</v>
      </c>
      <c r="Q98">
        <f t="shared" si="1"/>
        <v>1</v>
      </c>
      <c r="U98" s="2"/>
      <c r="V98" s="2"/>
      <c r="W98" s="2"/>
      <c r="X98" s="3"/>
    </row>
    <row r="99" spans="1:24" x14ac:dyDescent="0.4">
      <c r="A99">
        <v>119</v>
      </c>
      <c r="B99" t="s">
        <v>15</v>
      </c>
      <c r="C99">
        <v>2</v>
      </c>
      <c r="D99">
        <v>1</v>
      </c>
      <c r="E99" t="s">
        <v>324</v>
      </c>
      <c r="F99" s="1">
        <v>45882</v>
      </c>
      <c r="G99" s="1">
        <v>45882</v>
      </c>
      <c r="H99" t="s">
        <v>325</v>
      </c>
      <c r="I99" t="s">
        <v>326</v>
      </c>
      <c r="J99" t="s">
        <v>28</v>
      </c>
      <c r="K99" t="s">
        <v>557</v>
      </c>
      <c r="L99" t="s">
        <v>28</v>
      </c>
      <c r="M99" s="4">
        <v>43.059888888888885</v>
      </c>
      <c r="N99" s="4">
        <v>-3.0097499999999999</v>
      </c>
      <c r="O99" t="b">
        <v>1</v>
      </c>
      <c r="Q99">
        <f t="shared" si="1"/>
        <v>1</v>
      </c>
      <c r="U99" s="2"/>
      <c r="V99" s="2"/>
      <c r="W99" s="2"/>
      <c r="X99" s="3"/>
    </row>
    <row r="100" spans="1:24" x14ac:dyDescent="0.4">
      <c r="A100">
        <v>120</v>
      </c>
      <c r="B100" t="s">
        <v>40</v>
      </c>
      <c r="C100">
        <v>2</v>
      </c>
      <c r="D100">
        <v>2</v>
      </c>
      <c r="E100" t="s">
        <v>327</v>
      </c>
      <c r="F100" s="1">
        <v>45882</v>
      </c>
      <c r="G100" s="1">
        <v>45882</v>
      </c>
      <c r="H100" t="s">
        <v>328</v>
      </c>
      <c r="I100" t="s">
        <v>328</v>
      </c>
      <c r="J100" t="s">
        <v>329</v>
      </c>
      <c r="K100" t="s">
        <v>557</v>
      </c>
      <c r="L100" t="s">
        <v>28</v>
      </c>
      <c r="M100" s="4">
        <v>43.046027777777773</v>
      </c>
      <c r="N100" s="4">
        <v>-2.9100277777777777</v>
      </c>
      <c r="O100" t="b">
        <v>1</v>
      </c>
      <c r="Q100">
        <f t="shared" si="1"/>
        <v>1</v>
      </c>
      <c r="U100" s="2"/>
      <c r="V100" s="2"/>
      <c r="W100" s="2"/>
      <c r="X100" s="3"/>
    </row>
    <row r="101" spans="1:24" x14ac:dyDescent="0.4">
      <c r="A101">
        <v>121</v>
      </c>
      <c r="B101" t="s">
        <v>20</v>
      </c>
      <c r="C101">
        <v>1</v>
      </c>
      <c r="E101" t="s">
        <v>330</v>
      </c>
      <c r="F101" s="1">
        <v>45875</v>
      </c>
      <c r="G101" s="1">
        <v>45875</v>
      </c>
      <c r="H101" t="s">
        <v>331</v>
      </c>
      <c r="I101" t="s">
        <v>332</v>
      </c>
      <c r="J101" t="s">
        <v>192</v>
      </c>
      <c r="K101" t="s">
        <v>557</v>
      </c>
      <c r="L101" t="s">
        <v>28</v>
      </c>
      <c r="M101" s="4">
        <v>42.97013888888889</v>
      </c>
      <c r="N101" s="4">
        <v>-3.0103055555555556</v>
      </c>
      <c r="O101" t="b">
        <v>1</v>
      </c>
      <c r="Q101">
        <f t="shared" si="1"/>
        <v>1</v>
      </c>
      <c r="U101" s="2"/>
      <c r="V101" s="2"/>
      <c r="W101" s="2"/>
      <c r="X101" s="3"/>
    </row>
    <row r="102" spans="1:24" x14ac:dyDescent="0.4">
      <c r="A102">
        <v>122</v>
      </c>
      <c r="B102" t="s">
        <v>20</v>
      </c>
      <c r="C102">
        <v>1</v>
      </c>
      <c r="E102" t="s">
        <v>333</v>
      </c>
      <c r="F102" s="1">
        <v>45876</v>
      </c>
      <c r="G102" s="1">
        <v>45876</v>
      </c>
      <c r="H102" t="s">
        <v>334</v>
      </c>
      <c r="I102" t="s">
        <v>335</v>
      </c>
      <c r="J102" t="s">
        <v>192</v>
      </c>
      <c r="K102" t="s">
        <v>557</v>
      </c>
      <c r="L102" t="s">
        <v>28</v>
      </c>
      <c r="M102" s="4">
        <v>42.97013888888889</v>
      </c>
      <c r="N102" s="4">
        <v>-3.0105833333333334</v>
      </c>
      <c r="O102" t="b">
        <v>1</v>
      </c>
      <c r="Q102">
        <f t="shared" si="1"/>
        <v>1</v>
      </c>
      <c r="U102" s="2"/>
      <c r="V102" s="2"/>
      <c r="W102" s="2"/>
      <c r="X102" s="3"/>
    </row>
    <row r="103" spans="1:24" x14ac:dyDescent="0.4">
      <c r="A103">
        <v>123</v>
      </c>
      <c r="B103" t="s">
        <v>20</v>
      </c>
      <c r="C103">
        <v>1</v>
      </c>
      <c r="E103" t="s">
        <v>336</v>
      </c>
      <c r="F103" s="1">
        <v>45877</v>
      </c>
      <c r="G103" s="1">
        <v>45877</v>
      </c>
      <c r="H103" t="s">
        <v>337</v>
      </c>
      <c r="I103" t="s">
        <v>338</v>
      </c>
      <c r="J103" t="s">
        <v>192</v>
      </c>
      <c r="K103" t="s">
        <v>557</v>
      </c>
      <c r="L103" t="s">
        <v>28</v>
      </c>
      <c r="M103" s="4">
        <v>42.97013888888889</v>
      </c>
      <c r="N103" s="4">
        <v>-3.0108611111111112</v>
      </c>
      <c r="O103" t="b">
        <v>1</v>
      </c>
      <c r="Q103">
        <f t="shared" si="1"/>
        <v>1</v>
      </c>
      <c r="U103" s="2"/>
      <c r="V103" s="2"/>
      <c r="W103" s="2"/>
      <c r="X103" s="3"/>
    </row>
    <row r="104" spans="1:24" x14ac:dyDescent="0.4">
      <c r="A104">
        <v>124</v>
      </c>
      <c r="B104" t="s">
        <v>20</v>
      </c>
      <c r="C104">
        <v>1</v>
      </c>
      <c r="E104" t="s">
        <v>339</v>
      </c>
      <c r="F104" s="1">
        <v>45877</v>
      </c>
      <c r="G104" s="1">
        <v>45877</v>
      </c>
      <c r="H104" t="s">
        <v>340</v>
      </c>
      <c r="I104" t="s">
        <v>261</v>
      </c>
      <c r="J104" t="s">
        <v>48</v>
      </c>
      <c r="K104" t="s">
        <v>557</v>
      </c>
      <c r="L104" t="s">
        <v>48</v>
      </c>
      <c r="M104" s="4">
        <v>43.122083333333336</v>
      </c>
      <c r="N104" s="4">
        <v>-3.1444722222222223</v>
      </c>
      <c r="O104" t="b">
        <v>1</v>
      </c>
      <c r="Q104">
        <f t="shared" si="1"/>
        <v>1</v>
      </c>
      <c r="U104" s="2"/>
      <c r="V104" s="2"/>
      <c r="W104" s="2"/>
      <c r="X104" s="3"/>
    </row>
    <row r="105" spans="1:24" x14ac:dyDescent="0.4">
      <c r="A105">
        <v>125</v>
      </c>
      <c r="B105" t="s">
        <v>20</v>
      </c>
      <c r="C105">
        <v>1</v>
      </c>
      <c r="E105" t="s">
        <v>341</v>
      </c>
      <c r="F105" s="1">
        <v>45881</v>
      </c>
      <c r="G105" s="1">
        <v>45881</v>
      </c>
      <c r="H105" t="s">
        <v>342</v>
      </c>
      <c r="I105" t="s">
        <v>343</v>
      </c>
      <c r="J105" t="s">
        <v>43</v>
      </c>
      <c r="K105" t="s">
        <v>214</v>
      </c>
      <c r="L105" t="s">
        <v>1385</v>
      </c>
      <c r="M105" s="4">
        <v>42.849916666666672</v>
      </c>
      <c r="N105" s="4">
        <v>-2.4114166666666668</v>
      </c>
      <c r="O105" t="b">
        <v>1</v>
      </c>
      <c r="Q105">
        <f t="shared" si="1"/>
        <v>3</v>
      </c>
      <c r="U105" s="2"/>
      <c r="V105" s="2"/>
      <c r="W105" s="2"/>
      <c r="X105" s="3"/>
    </row>
    <row r="106" spans="1:24" x14ac:dyDescent="0.4">
      <c r="A106">
        <v>126</v>
      </c>
      <c r="B106" t="s">
        <v>20</v>
      </c>
      <c r="C106">
        <v>2</v>
      </c>
      <c r="D106">
        <v>8</v>
      </c>
      <c r="E106" t="s">
        <v>344</v>
      </c>
      <c r="F106" s="1">
        <v>45875</v>
      </c>
      <c r="G106" s="1">
        <v>45875</v>
      </c>
      <c r="H106" t="s">
        <v>108</v>
      </c>
      <c r="I106" t="s">
        <v>345</v>
      </c>
      <c r="J106" t="s">
        <v>28</v>
      </c>
      <c r="K106" t="s">
        <v>557</v>
      </c>
      <c r="L106" t="s">
        <v>28</v>
      </c>
      <c r="M106" s="4">
        <v>43.05244444444444</v>
      </c>
      <c r="N106" s="4">
        <v>-3.0283611111111113</v>
      </c>
      <c r="O106" t="b">
        <v>1</v>
      </c>
      <c r="Q106">
        <f t="shared" si="1"/>
        <v>1</v>
      </c>
      <c r="U106" s="2"/>
      <c r="V106" s="2"/>
      <c r="W106" s="2"/>
      <c r="X106" s="3"/>
    </row>
    <row r="107" spans="1:24" x14ac:dyDescent="0.4">
      <c r="A107">
        <v>127</v>
      </c>
      <c r="B107" t="s">
        <v>20</v>
      </c>
      <c r="C107">
        <v>2</v>
      </c>
      <c r="D107">
        <v>8</v>
      </c>
      <c r="E107" t="s">
        <v>346</v>
      </c>
      <c r="F107" s="1">
        <v>45876</v>
      </c>
      <c r="G107" s="1">
        <v>45876</v>
      </c>
      <c r="H107" t="s">
        <v>108</v>
      </c>
      <c r="I107" t="s">
        <v>345</v>
      </c>
      <c r="J107" t="s">
        <v>28</v>
      </c>
      <c r="K107" t="s">
        <v>557</v>
      </c>
      <c r="L107" t="s">
        <v>28</v>
      </c>
      <c r="M107" s="4">
        <v>43.050138888888888</v>
      </c>
      <c r="N107" s="4">
        <v>-3.0286388888888891</v>
      </c>
      <c r="O107" t="b">
        <v>1</v>
      </c>
      <c r="Q107">
        <f t="shared" si="1"/>
        <v>1</v>
      </c>
      <c r="U107" s="2"/>
      <c r="V107" s="2"/>
      <c r="W107" s="2"/>
      <c r="X107" s="3"/>
    </row>
    <row r="108" spans="1:24" x14ac:dyDescent="0.4">
      <c r="A108">
        <v>128</v>
      </c>
      <c r="B108" t="s">
        <v>20</v>
      </c>
      <c r="C108">
        <v>2</v>
      </c>
      <c r="D108">
        <v>9</v>
      </c>
      <c r="E108" t="s">
        <v>347</v>
      </c>
      <c r="F108" s="1">
        <v>45877</v>
      </c>
      <c r="G108" s="1">
        <v>45877</v>
      </c>
      <c r="H108" t="s">
        <v>348</v>
      </c>
      <c r="I108" t="s">
        <v>349</v>
      </c>
      <c r="J108" t="s">
        <v>28</v>
      </c>
      <c r="K108" t="s">
        <v>557</v>
      </c>
      <c r="L108" t="s">
        <v>28</v>
      </c>
      <c r="M108" s="4">
        <v>43.048416666666668</v>
      </c>
      <c r="N108" s="4">
        <v>-3.0289166666666665</v>
      </c>
      <c r="O108" t="b">
        <v>1</v>
      </c>
      <c r="Q108">
        <f t="shared" si="1"/>
        <v>1</v>
      </c>
      <c r="U108" s="2"/>
      <c r="V108" s="2"/>
      <c r="W108" s="2"/>
      <c r="X108" s="3"/>
    </row>
    <row r="109" spans="1:24" x14ac:dyDescent="0.4">
      <c r="A109">
        <v>129</v>
      </c>
      <c r="B109" t="s">
        <v>20</v>
      </c>
      <c r="C109">
        <v>2</v>
      </c>
      <c r="D109">
        <v>9</v>
      </c>
      <c r="E109" t="s">
        <v>350</v>
      </c>
      <c r="F109" s="1">
        <v>45880</v>
      </c>
      <c r="G109" s="1">
        <v>45880</v>
      </c>
      <c r="H109" t="s">
        <v>351</v>
      </c>
      <c r="I109" t="s">
        <v>349</v>
      </c>
      <c r="J109" t="s">
        <v>76</v>
      </c>
      <c r="K109" t="s">
        <v>557</v>
      </c>
      <c r="L109" t="s">
        <v>1364</v>
      </c>
      <c r="M109" s="4">
        <v>43.14308333333333</v>
      </c>
      <c r="N109" s="4">
        <v>-2.9791944444444445</v>
      </c>
      <c r="O109" t="b">
        <v>1</v>
      </c>
      <c r="Q109">
        <f t="shared" si="1"/>
        <v>1</v>
      </c>
      <c r="U109" s="2"/>
      <c r="V109" s="2"/>
      <c r="W109" s="2"/>
      <c r="X109" s="3"/>
    </row>
    <row r="110" spans="1:24" x14ac:dyDescent="0.4">
      <c r="A110">
        <v>130</v>
      </c>
      <c r="B110" t="s">
        <v>20</v>
      </c>
      <c r="C110">
        <v>2</v>
      </c>
      <c r="D110">
        <v>8</v>
      </c>
      <c r="E110" t="s">
        <v>352</v>
      </c>
      <c r="F110" s="1">
        <v>45880</v>
      </c>
      <c r="G110" s="1">
        <v>45880</v>
      </c>
      <c r="H110" t="s">
        <v>353</v>
      </c>
      <c r="I110" t="s">
        <v>345</v>
      </c>
      <c r="J110" t="s">
        <v>76</v>
      </c>
      <c r="K110" t="s">
        <v>557</v>
      </c>
      <c r="L110" t="s">
        <v>1364</v>
      </c>
      <c r="M110" s="4">
        <v>43.143916666666669</v>
      </c>
      <c r="N110" s="4">
        <v>-2.9794722222222223</v>
      </c>
      <c r="O110" t="b">
        <v>1</v>
      </c>
      <c r="Q110">
        <f t="shared" si="1"/>
        <v>1</v>
      </c>
      <c r="U110" s="2"/>
      <c r="V110" s="2"/>
      <c r="W110" s="2"/>
      <c r="X110" s="3"/>
    </row>
    <row r="111" spans="1:24" x14ac:dyDescent="0.4">
      <c r="A111">
        <v>131</v>
      </c>
      <c r="B111" t="s">
        <v>20</v>
      </c>
      <c r="C111">
        <v>2</v>
      </c>
      <c r="D111">
        <v>10</v>
      </c>
      <c r="E111" t="s">
        <v>354</v>
      </c>
      <c r="F111" s="1">
        <v>45881</v>
      </c>
      <c r="G111" s="1">
        <v>45881</v>
      </c>
      <c r="H111" t="s">
        <v>355</v>
      </c>
      <c r="I111" t="s">
        <v>356</v>
      </c>
      <c r="J111" t="s">
        <v>28</v>
      </c>
      <c r="K111" t="s">
        <v>557</v>
      </c>
      <c r="L111" t="s">
        <v>28</v>
      </c>
      <c r="M111" s="4">
        <v>43.056555555555555</v>
      </c>
      <c r="N111" s="4">
        <v>-3.0297499999999999</v>
      </c>
      <c r="O111" t="b">
        <v>1</v>
      </c>
      <c r="Q111">
        <f t="shared" si="1"/>
        <v>1</v>
      </c>
      <c r="U111" s="2"/>
      <c r="V111" s="2"/>
      <c r="W111" s="2"/>
      <c r="X111" s="3"/>
    </row>
    <row r="112" spans="1:24" x14ac:dyDescent="0.4">
      <c r="A112">
        <v>132</v>
      </c>
      <c r="B112" t="s">
        <v>20</v>
      </c>
      <c r="C112">
        <v>2</v>
      </c>
      <c r="D112">
        <v>10</v>
      </c>
      <c r="E112" t="s">
        <v>357</v>
      </c>
      <c r="F112" s="1">
        <v>45881</v>
      </c>
      <c r="G112" s="1">
        <v>45881</v>
      </c>
      <c r="H112" t="s">
        <v>358</v>
      </c>
      <c r="I112" t="s">
        <v>356</v>
      </c>
      <c r="J112" t="s">
        <v>43</v>
      </c>
      <c r="K112" t="s">
        <v>214</v>
      </c>
      <c r="L112" t="s">
        <v>1385</v>
      </c>
      <c r="M112" s="4">
        <v>42.853472222222223</v>
      </c>
      <c r="N112" s="4">
        <v>-2.4133611111111111</v>
      </c>
      <c r="O112" t="b">
        <v>1</v>
      </c>
      <c r="Q112">
        <f t="shared" si="1"/>
        <v>3</v>
      </c>
      <c r="U112" s="2"/>
      <c r="V112" s="2"/>
      <c r="W112" s="2"/>
      <c r="X112" s="3"/>
    </row>
    <row r="113" spans="1:24" x14ac:dyDescent="0.4">
      <c r="A113">
        <v>133</v>
      </c>
      <c r="B113" t="s">
        <v>20</v>
      </c>
      <c r="C113">
        <v>2</v>
      </c>
      <c r="D113">
        <v>10</v>
      </c>
      <c r="E113" t="s">
        <v>359</v>
      </c>
      <c r="F113" s="1">
        <v>45881</v>
      </c>
      <c r="G113" s="1">
        <v>45881</v>
      </c>
      <c r="H113" t="s">
        <v>360</v>
      </c>
      <c r="I113" t="s">
        <v>356</v>
      </c>
      <c r="J113" t="s">
        <v>361</v>
      </c>
      <c r="K113" t="s">
        <v>288</v>
      </c>
      <c r="L113" t="s">
        <v>1395</v>
      </c>
      <c r="M113" s="4">
        <v>42.710027777777782</v>
      </c>
      <c r="N113" s="4">
        <v>-2.9469722222222221</v>
      </c>
      <c r="O113" t="b">
        <v>1</v>
      </c>
      <c r="Q113">
        <f t="shared" si="1"/>
        <v>5</v>
      </c>
      <c r="U113" s="2"/>
      <c r="V113" s="2"/>
      <c r="W113" s="2"/>
      <c r="X113" s="3"/>
    </row>
    <row r="114" spans="1:24" x14ac:dyDescent="0.4">
      <c r="A114">
        <v>134</v>
      </c>
      <c r="B114" t="s">
        <v>20</v>
      </c>
      <c r="C114">
        <v>1</v>
      </c>
      <c r="E114" t="s">
        <v>362</v>
      </c>
      <c r="F114" s="1">
        <v>45883</v>
      </c>
      <c r="G114" s="1">
        <v>45883</v>
      </c>
      <c r="H114" t="s">
        <v>363</v>
      </c>
      <c r="I114" t="s">
        <v>363</v>
      </c>
      <c r="J114" t="s">
        <v>364</v>
      </c>
      <c r="K114" t="s">
        <v>557</v>
      </c>
      <c r="L114" t="s">
        <v>1363</v>
      </c>
      <c r="M114" s="4">
        <v>43.058</v>
      </c>
      <c r="N114" s="4">
        <v>-3.1472500000000001</v>
      </c>
      <c r="O114" t="b">
        <v>1</v>
      </c>
      <c r="Q114">
        <f t="shared" si="1"/>
        <v>1</v>
      </c>
      <c r="U114" s="2"/>
      <c r="V114" s="2"/>
      <c r="W114" s="2"/>
      <c r="X114" s="3"/>
    </row>
    <row r="115" spans="1:24" x14ac:dyDescent="0.4">
      <c r="A115">
        <v>135</v>
      </c>
      <c r="B115" t="s">
        <v>15</v>
      </c>
      <c r="C115">
        <v>1</v>
      </c>
      <c r="E115" t="s">
        <v>365</v>
      </c>
      <c r="F115" s="1">
        <v>45883</v>
      </c>
      <c r="G115" s="1">
        <v>45883</v>
      </c>
      <c r="H115" t="s">
        <v>366</v>
      </c>
      <c r="I115" t="s">
        <v>367</v>
      </c>
      <c r="J115" t="s">
        <v>92</v>
      </c>
      <c r="K115" t="s">
        <v>557</v>
      </c>
      <c r="L115" t="s">
        <v>1363</v>
      </c>
      <c r="M115" s="4">
        <v>43.08763888888889</v>
      </c>
      <c r="N115" s="4">
        <v>-3.0641944444444444</v>
      </c>
      <c r="O115" t="b">
        <v>1</v>
      </c>
      <c r="Q115">
        <f t="shared" si="1"/>
        <v>1</v>
      </c>
      <c r="U115" s="2"/>
      <c r="V115" s="2"/>
      <c r="W115" s="2"/>
      <c r="X115" s="3"/>
    </row>
    <row r="116" spans="1:24" x14ac:dyDescent="0.4">
      <c r="A116">
        <v>136</v>
      </c>
      <c r="B116" t="s">
        <v>40</v>
      </c>
      <c r="C116">
        <v>2</v>
      </c>
      <c r="D116">
        <v>2</v>
      </c>
      <c r="E116" t="s">
        <v>368</v>
      </c>
      <c r="F116" s="1">
        <v>45883</v>
      </c>
      <c r="G116" s="1">
        <v>45883</v>
      </c>
      <c r="H116" t="s">
        <v>369</v>
      </c>
      <c r="I116" t="s">
        <v>369</v>
      </c>
      <c r="J116" t="s">
        <v>370</v>
      </c>
      <c r="K116" t="s">
        <v>557</v>
      </c>
      <c r="L116" t="s">
        <v>1417</v>
      </c>
      <c r="M116" s="4">
        <v>43.134722222222223</v>
      </c>
      <c r="N116" s="4">
        <v>-2.9978055555555558</v>
      </c>
      <c r="O116" t="b">
        <v>1</v>
      </c>
      <c r="Q116" t="e">
        <f t="shared" si="1"/>
        <v>#N/A</v>
      </c>
      <c r="U116" s="2"/>
      <c r="V116" s="2"/>
      <c r="W116" s="2"/>
      <c r="X116" s="3"/>
    </row>
    <row r="117" spans="1:24" x14ac:dyDescent="0.4">
      <c r="A117">
        <v>137</v>
      </c>
      <c r="B117" t="s">
        <v>15</v>
      </c>
      <c r="C117">
        <v>2</v>
      </c>
      <c r="D117">
        <v>1</v>
      </c>
      <c r="E117" t="s">
        <v>371</v>
      </c>
      <c r="F117" s="1">
        <v>45883</v>
      </c>
      <c r="G117" s="1">
        <v>45883</v>
      </c>
      <c r="H117" t="s">
        <v>372</v>
      </c>
      <c r="I117" t="s">
        <v>373</v>
      </c>
      <c r="J117" t="s">
        <v>76</v>
      </c>
      <c r="K117" t="s">
        <v>557</v>
      </c>
      <c r="L117" t="s">
        <v>1364</v>
      </c>
      <c r="M117" s="4">
        <v>43.14147222222222</v>
      </c>
      <c r="N117" s="4">
        <v>-2.981416666666667</v>
      </c>
      <c r="O117" t="b">
        <v>1</v>
      </c>
      <c r="Q117">
        <f t="shared" si="1"/>
        <v>1</v>
      </c>
      <c r="U117" s="2"/>
      <c r="V117" s="2"/>
      <c r="W117" s="2"/>
      <c r="X117" s="3"/>
    </row>
    <row r="118" spans="1:24" x14ac:dyDescent="0.4">
      <c r="A118">
        <v>138</v>
      </c>
      <c r="B118" t="s">
        <v>20</v>
      </c>
      <c r="C118">
        <v>1</v>
      </c>
      <c r="E118" t="s">
        <v>374</v>
      </c>
      <c r="F118" s="1">
        <v>45883</v>
      </c>
      <c r="G118" s="1">
        <v>45883</v>
      </c>
      <c r="H118" t="s">
        <v>375</v>
      </c>
      <c r="I118" t="s">
        <v>376</v>
      </c>
      <c r="J118" t="s">
        <v>48</v>
      </c>
      <c r="K118" t="s">
        <v>557</v>
      </c>
      <c r="L118" t="s">
        <v>48</v>
      </c>
      <c r="M118" s="4">
        <v>43.117555555555555</v>
      </c>
      <c r="N118" s="4">
        <v>-3.1483611111111109</v>
      </c>
      <c r="O118" t="b">
        <v>1</v>
      </c>
      <c r="Q118">
        <f t="shared" si="1"/>
        <v>1</v>
      </c>
      <c r="U118" s="2"/>
      <c r="V118" s="2"/>
      <c r="W118" s="2"/>
      <c r="X118" s="3"/>
    </row>
    <row r="119" spans="1:24" x14ac:dyDescent="0.4">
      <c r="A119">
        <v>139</v>
      </c>
      <c r="B119" t="s">
        <v>20</v>
      </c>
      <c r="C119">
        <v>1</v>
      </c>
      <c r="E119" t="s">
        <v>377</v>
      </c>
      <c r="F119" s="1">
        <v>45883</v>
      </c>
      <c r="G119" s="1">
        <v>45883</v>
      </c>
      <c r="H119" t="s">
        <v>378</v>
      </c>
      <c r="I119" t="s">
        <v>379</v>
      </c>
      <c r="J119" t="s">
        <v>164</v>
      </c>
      <c r="K119" t="s">
        <v>214</v>
      </c>
      <c r="L119" t="s">
        <v>1385</v>
      </c>
      <c r="M119" s="4">
        <v>42.84963888888889</v>
      </c>
      <c r="N119" s="4">
        <v>-2.4153055555555554</v>
      </c>
      <c r="O119" t="b">
        <v>1</v>
      </c>
      <c r="Q119">
        <f t="shared" si="1"/>
        <v>3</v>
      </c>
      <c r="U119" s="2"/>
      <c r="V119" s="2"/>
      <c r="W119" s="2"/>
      <c r="X119" s="3"/>
    </row>
    <row r="120" spans="1:24" x14ac:dyDescent="0.4">
      <c r="A120">
        <v>140</v>
      </c>
      <c r="B120" t="s">
        <v>40</v>
      </c>
      <c r="C120">
        <v>1</v>
      </c>
      <c r="E120" t="s">
        <v>380</v>
      </c>
      <c r="F120" s="1">
        <v>45882</v>
      </c>
      <c r="G120" s="1">
        <v>45882</v>
      </c>
      <c r="H120" t="s">
        <v>381</v>
      </c>
      <c r="I120" t="s">
        <v>273</v>
      </c>
      <c r="J120" t="s">
        <v>382</v>
      </c>
      <c r="K120" t="s">
        <v>557</v>
      </c>
      <c r="L120" t="s">
        <v>1363</v>
      </c>
      <c r="M120" s="4">
        <v>43.05855555555555</v>
      </c>
      <c r="N120" s="4">
        <v>-3.1489166666666666</v>
      </c>
      <c r="O120" t="b">
        <v>1</v>
      </c>
      <c r="Q120">
        <f t="shared" si="1"/>
        <v>1</v>
      </c>
      <c r="U120" s="2"/>
      <c r="V120" s="2"/>
      <c r="W120" s="2"/>
      <c r="X120" s="3"/>
    </row>
    <row r="121" spans="1:24" x14ac:dyDescent="0.4">
      <c r="A121">
        <v>141</v>
      </c>
      <c r="B121" t="s">
        <v>20</v>
      </c>
      <c r="C121">
        <v>2</v>
      </c>
      <c r="D121">
        <v>10</v>
      </c>
      <c r="E121" t="s">
        <v>383</v>
      </c>
      <c r="F121" s="1">
        <v>45882</v>
      </c>
      <c r="G121" s="1">
        <v>45882</v>
      </c>
      <c r="H121" t="s">
        <v>384</v>
      </c>
      <c r="I121" t="s">
        <v>385</v>
      </c>
      <c r="J121" t="s">
        <v>386</v>
      </c>
      <c r="K121" t="s">
        <v>288</v>
      </c>
      <c r="L121" t="s">
        <v>387</v>
      </c>
      <c r="M121" s="4">
        <v>42.87788888888889</v>
      </c>
      <c r="N121" s="4">
        <v>-2.915861111111111</v>
      </c>
      <c r="O121" t="b">
        <v>1</v>
      </c>
      <c r="Q121">
        <f t="shared" si="1"/>
        <v>5</v>
      </c>
      <c r="U121" s="2"/>
      <c r="V121" s="2"/>
      <c r="W121" s="2"/>
      <c r="X121" s="3"/>
    </row>
    <row r="122" spans="1:24" x14ac:dyDescent="0.4">
      <c r="A122">
        <v>142</v>
      </c>
      <c r="B122" t="s">
        <v>20</v>
      </c>
      <c r="C122">
        <v>2</v>
      </c>
      <c r="D122">
        <v>10</v>
      </c>
      <c r="E122" t="s">
        <v>388</v>
      </c>
      <c r="F122" s="1">
        <v>45882</v>
      </c>
      <c r="G122" s="1">
        <v>45882</v>
      </c>
      <c r="H122" t="s">
        <v>389</v>
      </c>
      <c r="I122" t="s">
        <v>390</v>
      </c>
      <c r="J122" t="s">
        <v>391</v>
      </c>
      <c r="K122" t="s">
        <v>1409</v>
      </c>
      <c r="L122" t="s">
        <v>392</v>
      </c>
      <c r="M122" s="4">
        <v>42.960055555555556</v>
      </c>
      <c r="N122" s="4">
        <v>-2.616138888888889</v>
      </c>
      <c r="O122" t="b">
        <v>1</v>
      </c>
      <c r="Q122">
        <f t="shared" si="1"/>
        <v>4</v>
      </c>
      <c r="U122" s="2"/>
      <c r="V122" s="2"/>
      <c r="W122" s="2"/>
      <c r="X122" s="3"/>
    </row>
    <row r="123" spans="1:24" x14ac:dyDescent="0.4">
      <c r="A123">
        <v>143</v>
      </c>
      <c r="B123" t="s">
        <v>20</v>
      </c>
      <c r="C123">
        <v>2</v>
      </c>
      <c r="D123">
        <v>10</v>
      </c>
      <c r="E123" t="s">
        <v>393</v>
      </c>
      <c r="F123" s="1">
        <v>45882</v>
      </c>
      <c r="G123" s="1">
        <v>45882</v>
      </c>
      <c r="H123" t="s">
        <v>394</v>
      </c>
      <c r="I123" t="s">
        <v>395</v>
      </c>
      <c r="J123" t="s">
        <v>396</v>
      </c>
      <c r="K123" t="s">
        <v>214</v>
      </c>
      <c r="L123" t="s">
        <v>1385</v>
      </c>
      <c r="M123" s="4">
        <v>42.84986111111111</v>
      </c>
      <c r="N123" s="4">
        <v>-2.4164166666666667</v>
      </c>
      <c r="O123" t="b">
        <v>1</v>
      </c>
      <c r="Q123">
        <f t="shared" si="1"/>
        <v>3</v>
      </c>
      <c r="U123" s="2"/>
      <c r="V123" s="2"/>
      <c r="W123" s="2"/>
      <c r="X123" s="3"/>
    </row>
    <row r="124" spans="1:24" x14ac:dyDescent="0.4">
      <c r="A124">
        <v>144</v>
      </c>
      <c r="B124" t="s">
        <v>20</v>
      </c>
      <c r="C124">
        <v>2</v>
      </c>
      <c r="D124">
        <v>10</v>
      </c>
      <c r="E124" t="s">
        <v>397</v>
      </c>
      <c r="F124" s="1">
        <v>45882</v>
      </c>
      <c r="G124" s="1">
        <v>45882</v>
      </c>
      <c r="H124" t="s">
        <v>398</v>
      </c>
      <c r="I124" t="s">
        <v>385</v>
      </c>
      <c r="J124" t="s">
        <v>105</v>
      </c>
      <c r="K124" t="s">
        <v>1412</v>
      </c>
      <c r="L124" t="s">
        <v>399</v>
      </c>
      <c r="M124" s="4">
        <v>42.749222222222222</v>
      </c>
      <c r="N124" s="4">
        <v>-2.4333611111111111</v>
      </c>
      <c r="O124" t="b">
        <v>1</v>
      </c>
      <c r="Q124">
        <f t="shared" si="1"/>
        <v>6</v>
      </c>
      <c r="U124" s="2"/>
      <c r="V124" s="2"/>
      <c r="W124" s="2"/>
      <c r="X124" s="3"/>
    </row>
    <row r="125" spans="1:24" x14ac:dyDescent="0.4">
      <c r="A125">
        <v>145</v>
      </c>
      <c r="B125" t="s">
        <v>20</v>
      </c>
      <c r="C125">
        <v>2</v>
      </c>
      <c r="D125">
        <v>10</v>
      </c>
      <c r="E125" t="s">
        <v>400</v>
      </c>
      <c r="F125" s="1">
        <v>45882</v>
      </c>
      <c r="G125" s="1">
        <v>45882</v>
      </c>
      <c r="H125" t="s">
        <v>401</v>
      </c>
      <c r="I125" t="s">
        <v>385</v>
      </c>
      <c r="J125" t="s">
        <v>402</v>
      </c>
      <c r="K125" t="s">
        <v>1412</v>
      </c>
      <c r="L125" t="s">
        <v>1399</v>
      </c>
      <c r="M125" s="4">
        <v>42.693249999999999</v>
      </c>
      <c r="N125" s="4">
        <v>-2.4169722222222223</v>
      </c>
      <c r="O125" t="b">
        <v>1</v>
      </c>
      <c r="Q125">
        <f t="shared" si="1"/>
        <v>6</v>
      </c>
      <c r="U125" s="2"/>
      <c r="V125" s="2"/>
      <c r="W125" s="2"/>
      <c r="X125" s="3"/>
    </row>
    <row r="126" spans="1:24" x14ac:dyDescent="0.4">
      <c r="A126">
        <v>146</v>
      </c>
      <c r="B126" t="s">
        <v>20</v>
      </c>
      <c r="C126">
        <v>2</v>
      </c>
      <c r="D126">
        <v>10</v>
      </c>
      <c r="E126" t="s">
        <v>403</v>
      </c>
      <c r="F126" s="1">
        <v>45882</v>
      </c>
      <c r="G126" s="1">
        <v>45882</v>
      </c>
      <c r="H126" t="s">
        <v>404</v>
      </c>
      <c r="I126" t="s">
        <v>385</v>
      </c>
      <c r="J126" t="s">
        <v>405</v>
      </c>
      <c r="K126" t="s">
        <v>1419</v>
      </c>
      <c r="L126" t="s">
        <v>1404</v>
      </c>
      <c r="M126" s="4">
        <v>42.85702777777778</v>
      </c>
      <c r="N126" s="4">
        <v>-2.5839166666666666</v>
      </c>
      <c r="O126" t="b">
        <v>1</v>
      </c>
      <c r="Q126" t="e">
        <f t="shared" si="1"/>
        <v>#N/A</v>
      </c>
      <c r="U126" s="2"/>
      <c r="V126" s="2"/>
      <c r="W126" s="2"/>
      <c r="X126" s="3"/>
    </row>
    <row r="127" spans="1:24" x14ac:dyDescent="0.4">
      <c r="A127">
        <v>147</v>
      </c>
      <c r="B127" t="s">
        <v>15</v>
      </c>
      <c r="C127">
        <v>2</v>
      </c>
      <c r="D127">
        <v>1</v>
      </c>
      <c r="E127" t="s">
        <v>406</v>
      </c>
      <c r="F127" s="1">
        <v>45882</v>
      </c>
      <c r="G127" s="1">
        <v>45882</v>
      </c>
      <c r="H127" t="s">
        <v>407</v>
      </c>
      <c r="I127" t="s">
        <v>408</v>
      </c>
      <c r="J127" t="s">
        <v>48</v>
      </c>
      <c r="K127" t="s">
        <v>557</v>
      </c>
      <c r="L127" t="s">
        <v>48</v>
      </c>
      <c r="M127" s="4">
        <v>43.121361111111113</v>
      </c>
      <c r="N127" s="4">
        <v>-3.1508611111111113</v>
      </c>
      <c r="O127" t="b">
        <v>1</v>
      </c>
      <c r="Q127">
        <f t="shared" si="1"/>
        <v>1</v>
      </c>
      <c r="U127" s="2"/>
      <c r="V127" s="2"/>
      <c r="W127" s="2"/>
      <c r="X127" s="3"/>
    </row>
    <row r="128" spans="1:24" x14ac:dyDescent="0.4">
      <c r="A128">
        <v>148</v>
      </c>
      <c r="B128" t="s">
        <v>20</v>
      </c>
      <c r="C128">
        <v>1</v>
      </c>
      <c r="E128" t="s">
        <v>409</v>
      </c>
      <c r="F128" s="1">
        <v>45883</v>
      </c>
      <c r="G128" s="1">
        <v>45883</v>
      </c>
      <c r="H128" t="s">
        <v>410</v>
      </c>
      <c r="I128" t="s">
        <v>411</v>
      </c>
      <c r="J128" t="s">
        <v>76</v>
      </c>
      <c r="K128" t="s">
        <v>557</v>
      </c>
      <c r="L128" t="s">
        <v>1364</v>
      </c>
      <c r="M128" s="4">
        <v>43.147694444444447</v>
      </c>
      <c r="N128" s="4">
        <v>-3.0011388888888888</v>
      </c>
      <c r="O128" t="b">
        <v>1</v>
      </c>
      <c r="Q128">
        <f t="shared" si="1"/>
        <v>1</v>
      </c>
      <c r="U128" s="2"/>
      <c r="V128" s="2"/>
      <c r="W128" s="2"/>
      <c r="X128" s="3"/>
    </row>
    <row r="129" spans="1:24" x14ac:dyDescent="0.4">
      <c r="A129">
        <v>149</v>
      </c>
      <c r="B129" t="s">
        <v>20</v>
      </c>
      <c r="C129">
        <v>1</v>
      </c>
      <c r="E129" t="s">
        <v>412</v>
      </c>
      <c r="F129" s="1">
        <v>45883</v>
      </c>
      <c r="G129" s="1">
        <v>45883</v>
      </c>
      <c r="H129" t="s">
        <v>413</v>
      </c>
      <c r="I129" t="s">
        <v>414</v>
      </c>
      <c r="J129" t="s">
        <v>76</v>
      </c>
      <c r="K129" t="s">
        <v>557</v>
      </c>
      <c r="L129" t="s">
        <v>1364</v>
      </c>
      <c r="M129" s="4">
        <v>43.143833333333333</v>
      </c>
      <c r="N129" s="4">
        <v>-2.98475</v>
      </c>
      <c r="O129" t="b">
        <v>1</v>
      </c>
      <c r="Q129">
        <f t="shared" si="1"/>
        <v>1</v>
      </c>
      <c r="U129" s="2"/>
      <c r="V129" s="2"/>
      <c r="W129" s="2"/>
      <c r="X129" s="3"/>
    </row>
    <row r="130" spans="1:24" x14ac:dyDescent="0.4">
      <c r="A130">
        <v>150</v>
      </c>
      <c r="B130" t="s">
        <v>15</v>
      </c>
      <c r="C130">
        <v>2</v>
      </c>
      <c r="D130">
        <v>1</v>
      </c>
      <c r="E130" t="s">
        <v>415</v>
      </c>
      <c r="F130" s="1">
        <v>45883</v>
      </c>
      <c r="G130" s="1">
        <v>45883</v>
      </c>
      <c r="H130" t="s">
        <v>416</v>
      </c>
      <c r="I130" t="s">
        <v>417</v>
      </c>
      <c r="J130" t="s">
        <v>48</v>
      </c>
      <c r="K130" t="s">
        <v>557</v>
      </c>
      <c r="L130" t="s">
        <v>48</v>
      </c>
      <c r="M130" s="4">
        <v>43.122750000000003</v>
      </c>
      <c r="N130" s="4">
        <v>-3.1516944444444444</v>
      </c>
      <c r="O130" t="b">
        <v>1</v>
      </c>
      <c r="Q130">
        <f t="shared" si="1"/>
        <v>1</v>
      </c>
      <c r="U130" s="2"/>
      <c r="V130" s="2"/>
      <c r="W130" s="2"/>
      <c r="X130" s="3"/>
    </row>
    <row r="131" spans="1:24" x14ac:dyDescent="0.4">
      <c r="A131">
        <v>151</v>
      </c>
      <c r="B131" t="s">
        <v>20</v>
      </c>
      <c r="C131">
        <v>1</v>
      </c>
      <c r="E131" t="s">
        <v>418</v>
      </c>
      <c r="F131" s="1">
        <v>45883</v>
      </c>
      <c r="G131" s="1">
        <v>45883</v>
      </c>
      <c r="H131" t="s">
        <v>419</v>
      </c>
      <c r="I131" t="s">
        <v>420</v>
      </c>
      <c r="J131" t="s">
        <v>421</v>
      </c>
      <c r="K131" t="s">
        <v>288</v>
      </c>
      <c r="L131" t="s">
        <v>387</v>
      </c>
      <c r="M131" s="4">
        <v>42.87188888888889</v>
      </c>
      <c r="N131" s="4">
        <v>-2.951972222222222</v>
      </c>
      <c r="O131" t="b">
        <v>1</v>
      </c>
      <c r="Q131">
        <f t="shared" ref="Q131:Q194" si="2">VLOOKUP(L131,$V$2:$W$253,2,FALSE)</f>
        <v>5</v>
      </c>
      <c r="U131" s="2"/>
      <c r="V131" s="2"/>
      <c r="W131" s="2"/>
      <c r="X131" s="3"/>
    </row>
    <row r="132" spans="1:24" x14ac:dyDescent="0.4">
      <c r="A132">
        <v>152</v>
      </c>
      <c r="B132" t="s">
        <v>20</v>
      </c>
      <c r="C132">
        <v>2</v>
      </c>
      <c r="D132">
        <v>14</v>
      </c>
      <c r="E132" t="s">
        <v>422</v>
      </c>
      <c r="F132" s="1">
        <v>45883</v>
      </c>
      <c r="G132" s="1">
        <v>45883</v>
      </c>
      <c r="H132" t="s">
        <v>423</v>
      </c>
      <c r="I132" t="s">
        <v>424</v>
      </c>
      <c r="J132" t="s">
        <v>391</v>
      </c>
      <c r="K132" t="s">
        <v>1409</v>
      </c>
      <c r="L132" t="s">
        <v>392</v>
      </c>
      <c r="M132" s="4">
        <v>42.958194444444445</v>
      </c>
      <c r="N132" s="4">
        <v>-2.6189166666666668</v>
      </c>
      <c r="O132" t="b">
        <v>1</v>
      </c>
      <c r="Q132">
        <f t="shared" si="2"/>
        <v>4</v>
      </c>
      <c r="U132" s="2"/>
      <c r="V132" s="2"/>
      <c r="W132" s="2"/>
      <c r="X132" s="3"/>
    </row>
    <row r="133" spans="1:24" x14ac:dyDescent="0.4">
      <c r="A133">
        <v>153</v>
      </c>
      <c r="B133" t="s">
        <v>20</v>
      </c>
      <c r="C133">
        <v>2</v>
      </c>
      <c r="D133">
        <v>14</v>
      </c>
      <c r="E133" t="s">
        <v>425</v>
      </c>
      <c r="F133" s="1">
        <v>45883</v>
      </c>
      <c r="G133" s="1">
        <v>45883</v>
      </c>
      <c r="H133" t="s">
        <v>426</v>
      </c>
      <c r="I133" t="s">
        <v>426</v>
      </c>
      <c r="J133" t="s">
        <v>306</v>
      </c>
      <c r="K133" t="s">
        <v>1409</v>
      </c>
      <c r="L133" t="s">
        <v>307</v>
      </c>
      <c r="M133" s="4">
        <v>42.976083333333335</v>
      </c>
      <c r="N133" s="4">
        <v>-2.7025277777777776</v>
      </c>
      <c r="O133" t="b">
        <v>1</v>
      </c>
      <c r="Q133">
        <f t="shared" si="2"/>
        <v>4</v>
      </c>
      <c r="U133" s="2"/>
      <c r="V133" s="2"/>
      <c r="W133" s="2"/>
      <c r="X133" s="3"/>
    </row>
    <row r="134" spans="1:24" x14ac:dyDescent="0.4">
      <c r="A134">
        <v>154</v>
      </c>
      <c r="B134" t="s">
        <v>20</v>
      </c>
      <c r="C134">
        <v>1</v>
      </c>
      <c r="E134" t="s">
        <v>427</v>
      </c>
      <c r="F134" s="1">
        <v>45883</v>
      </c>
      <c r="G134" s="1">
        <v>45883</v>
      </c>
      <c r="H134" t="s">
        <v>428</v>
      </c>
      <c r="I134" t="s">
        <v>429</v>
      </c>
      <c r="J134" t="s">
        <v>76</v>
      </c>
      <c r="K134" t="s">
        <v>557</v>
      </c>
      <c r="L134" t="s">
        <v>1364</v>
      </c>
      <c r="M134" s="4">
        <v>43.147194444444445</v>
      </c>
      <c r="N134" s="4">
        <v>-3.0028055555555557</v>
      </c>
      <c r="O134" t="b">
        <v>1</v>
      </c>
      <c r="Q134">
        <f t="shared" si="2"/>
        <v>1</v>
      </c>
      <c r="U134" s="2"/>
      <c r="V134" s="2"/>
      <c r="W134" s="2"/>
      <c r="X134" s="3"/>
    </row>
    <row r="135" spans="1:24" x14ac:dyDescent="0.4">
      <c r="A135">
        <v>155</v>
      </c>
      <c r="B135" t="s">
        <v>15</v>
      </c>
      <c r="C135">
        <v>2</v>
      </c>
      <c r="D135">
        <v>1</v>
      </c>
      <c r="E135" t="s">
        <v>430</v>
      </c>
      <c r="F135" s="1">
        <v>45883</v>
      </c>
      <c r="G135" s="1">
        <v>45883</v>
      </c>
      <c r="H135" t="s">
        <v>431</v>
      </c>
      <c r="I135" t="s">
        <v>432</v>
      </c>
      <c r="J135" t="s">
        <v>52</v>
      </c>
      <c r="K135" t="s">
        <v>557</v>
      </c>
      <c r="L135" t="s">
        <v>28</v>
      </c>
      <c r="M135" s="4">
        <v>43.060499999999998</v>
      </c>
      <c r="N135" s="4">
        <v>-2.9697500000000003</v>
      </c>
      <c r="O135" t="b">
        <v>1</v>
      </c>
      <c r="Q135">
        <f t="shared" si="2"/>
        <v>1</v>
      </c>
      <c r="U135" s="2"/>
      <c r="V135" s="2"/>
      <c r="W135" s="2"/>
      <c r="X135" s="3"/>
    </row>
    <row r="136" spans="1:24" x14ac:dyDescent="0.4">
      <c r="A136">
        <v>156</v>
      </c>
      <c r="B136" t="s">
        <v>15</v>
      </c>
      <c r="C136">
        <v>1</v>
      </c>
      <c r="E136" t="s">
        <v>433</v>
      </c>
      <c r="F136" s="1">
        <v>45884</v>
      </c>
      <c r="G136" s="1">
        <v>45884</v>
      </c>
      <c r="H136" t="s">
        <v>434</v>
      </c>
      <c r="I136" t="s">
        <v>434</v>
      </c>
      <c r="J136" t="s">
        <v>28</v>
      </c>
      <c r="K136" t="s">
        <v>557</v>
      </c>
      <c r="L136" t="s">
        <v>28</v>
      </c>
      <c r="M136" s="4">
        <v>43.052944444444442</v>
      </c>
      <c r="N136" s="4">
        <v>-3.0366944444444446</v>
      </c>
      <c r="O136" t="b">
        <v>1</v>
      </c>
      <c r="Q136">
        <f t="shared" si="2"/>
        <v>1</v>
      </c>
      <c r="U136" s="2"/>
      <c r="V136" s="2"/>
      <c r="W136" s="2"/>
      <c r="X136" s="3"/>
    </row>
    <row r="137" spans="1:24" x14ac:dyDescent="0.4">
      <c r="A137">
        <v>157</v>
      </c>
      <c r="B137" t="s">
        <v>20</v>
      </c>
      <c r="C137">
        <v>1</v>
      </c>
      <c r="E137" t="s">
        <v>435</v>
      </c>
      <c r="F137" s="1">
        <v>45884</v>
      </c>
      <c r="G137" s="1">
        <v>45884</v>
      </c>
      <c r="H137" t="s">
        <v>436</v>
      </c>
      <c r="I137" t="s">
        <v>437</v>
      </c>
      <c r="J137" t="s">
        <v>85</v>
      </c>
      <c r="K137" t="s">
        <v>557</v>
      </c>
      <c r="L137" t="s">
        <v>48</v>
      </c>
      <c r="M137" s="4">
        <v>43.112277777777777</v>
      </c>
      <c r="N137" s="4">
        <v>-3.1536388888888891</v>
      </c>
      <c r="O137" t="b">
        <v>1</v>
      </c>
      <c r="Q137">
        <f t="shared" si="2"/>
        <v>1</v>
      </c>
      <c r="U137" s="2"/>
      <c r="V137" s="2"/>
      <c r="W137" s="2"/>
      <c r="X137" s="3"/>
    </row>
    <row r="138" spans="1:24" x14ac:dyDescent="0.4">
      <c r="A138">
        <v>158</v>
      </c>
      <c r="B138" t="s">
        <v>15</v>
      </c>
      <c r="C138">
        <v>1</v>
      </c>
      <c r="E138" t="s">
        <v>438</v>
      </c>
      <c r="F138" s="1">
        <v>45884</v>
      </c>
      <c r="G138" s="1">
        <v>45884</v>
      </c>
      <c r="H138" t="s">
        <v>439</v>
      </c>
      <c r="I138" t="s">
        <v>440</v>
      </c>
      <c r="J138" t="s">
        <v>28</v>
      </c>
      <c r="K138" t="s">
        <v>557</v>
      </c>
      <c r="L138" t="s">
        <v>28</v>
      </c>
      <c r="M138" s="4">
        <v>43.052833333333332</v>
      </c>
      <c r="N138" s="4">
        <v>-3.0372499999999998</v>
      </c>
      <c r="O138" t="b">
        <v>1</v>
      </c>
      <c r="Q138">
        <f t="shared" si="2"/>
        <v>1</v>
      </c>
      <c r="U138" s="2"/>
      <c r="V138" s="2"/>
      <c r="W138" s="2"/>
      <c r="X138" s="3"/>
    </row>
    <row r="139" spans="1:24" x14ac:dyDescent="0.4">
      <c r="A139">
        <v>159</v>
      </c>
      <c r="B139" t="s">
        <v>20</v>
      </c>
      <c r="C139">
        <v>1</v>
      </c>
      <c r="E139" t="s">
        <v>441</v>
      </c>
      <c r="F139" s="1">
        <v>45884</v>
      </c>
      <c r="G139" s="1">
        <v>45884</v>
      </c>
      <c r="H139" t="s">
        <v>442</v>
      </c>
      <c r="I139" t="s">
        <v>443</v>
      </c>
      <c r="J139" t="s">
        <v>444</v>
      </c>
      <c r="K139" t="s">
        <v>557</v>
      </c>
      <c r="L139" t="s">
        <v>1363</v>
      </c>
      <c r="M139" s="4">
        <v>43.091444444444448</v>
      </c>
      <c r="N139" s="4">
        <v>-3.1375277777777777</v>
      </c>
      <c r="O139" t="b">
        <v>1</v>
      </c>
      <c r="Q139">
        <f t="shared" si="2"/>
        <v>1</v>
      </c>
      <c r="U139" s="2"/>
      <c r="V139" s="2"/>
      <c r="W139" s="2"/>
      <c r="X139" s="3"/>
    </row>
    <row r="140" spans="1:24" x14ac:dyDescent="0.4">
      <c r="A140">
        <v>160</v>
      </c>
      <c r="B140" t="s">
        <v>20</v>
      </c>
      <c r="C140">
        <v>1</v>
      </c>
      <c r="E140" t="s">
        <v>445</v>
      </c>
      <c r="F140" s="1">
        <v>45885</v>
      </c>
      <c r="G140" s="1">
        <v>45885</v>
      </c>
      <c r="H140" t="s">
        <v>446</v>
      </c>
      <c r="I140" t="s">
        <v>447</v>
      </c>
      <c r="J140" t="s">
        <v>76</v>
      </c>
      <c r="K140" t="s">
        <v>557</v>
      </c>
      <c r="L140" t="s">
        <v>1364</v>
      </c>
      <c r="M140" s="4">
        <v>43.142277777777778</v>
      </c>
      <c r="N140" s="4">
        <v>-2.9878055555555556</v>
      </c>
      <c r="O140" t="b">
        <v>1</v>
      </c>
      <c r="Q140">
        <f t="shared" si="2"/>
        <v>1</v>
      </c>
      <c r="U140" s="2"/>
      <c r="V140" s="2"/>
      <c r="W140" s="2"/>
      <c r="X140" s="3"/>
    </row>
    <row r="141" spans="1:24" x14ac:dyDescent="0.4">
      <c r="A141">
        <v>161</v>
      </c>
      <c r="B141" t="s">
        <v>20</v>
      </c>
      <c r="C141">
        <v>1</v>
      </c>
      <c r="E141" t="s">
        <v>448</v>
      </c>
      <c r="F141" s="1">
        <v>45885</v>
      </c>
      <c r="G141" s="1">
        <v>45885</v>
      </c>
      <c r="H141" t="s">
        <v>449</v>
      </c>
      <c r="I141" t="s">
        <v>449</v>
      </c>
      <c r="J141" t="s">
        <v>450</v>
      </c>
      <c r="K141" t="s">
        <v>557</v>
      </c>
      <c r="L141" t="s">
        <v>28</v>
      </c>
      <c r="M141" s="4">
        <v>43.121305555555558</v>
      </c>
      <c r="N141" s="4">
        <v>-3.1547499999999999</v>
      </c>
      <c r="O141" t="b">
        <v>1</v>
      </c>
      <c r="Q141">
        <f t="shared" si="2"/>
        <v>1</v>
      </c>
      <c r="U141" s="2"/>
      <c r="V141" s="2"/>
      <c r="W141" s="2"/>
      <c r="X141" s="3"/>
    </row>
    <row r="142" spans="1:24" x14ac:dyDescent="0.4">
      <c r="A142">
        <v>162</v>
      </c>
      <c r="B142" t="s">
        <v>15</v>
      </c>
      <c r="C142">
        <v>1</v>
      </c>
      <c r="E142" t="s">
        <v>451</v>
      </c>
      <c r="F142" s="1">
        <v>45885</v>
      </c>
      <c r="G142" s="1">
        <v>45885</v>
      </c>
      <c r="H142" t="s">
        <v>452</v>
      </c>
      <c r="I142" t="s">
        <v>452</v>
      </c>
      <c r="J142" t="s">
        <v>76</v>
      </c>
      <c r="K142" t="s">
        <v>557</v>
      </c>
      <c r="L142" t="s">
        <v>1364</v>
      </c>
      <c r="M142" s="4">
        <v>43.140472222222222</v>
      </c>
      <c r="N142" s="4">
        <v>-3.0050277777777779</v>
      </c>
      <c r="O142" t="b">
        <v>1</v>
      </c>
      <c r="Q142">
        <f t="shared" si="2"/>
        <v>1</v>
      </c>
      <c r="U142" s="2"/>
      <c r="V142" s="2"/>
      <c r="W142" s="2"/>
      <c r="X142" s="3"/>
    </row>
    <row r="143" spans="1:24" x14ac:dyDescent="0.4">
      <c r="A143">
        <v>163</v>
      </c>
      <c r="B143" t="s">
        <v>20</v>
      </c>
      <c r="C143">
        <v>1</v>
      </c>
      <c r="E143" t="s">
        <v>453</v>
      </c>
      <c r="F143" s="1">
        <v>45886</v>
      </c>
      <c r="G143" s="1">
        <v>45886</v>
      </c>
      <c r="H143" t="s">
        <v>454</v>
      </c>
      <c r="I143" t="s">
        <v>454</v>
      </c>
      <c r="J143" t="s">
        <v>24</v>
      </c>
      <c r="K143" t="s">
        <v>557</v>
      </c>
      <c r="L143" t="s">
        <v>1363</v>
      </c>
      <c r="M143" s="4">
        <v>43.075055555555558</v>
      </c>
      <c r="N143" s="4">
        <v>-3.138638888888889</v>
      </c>
      <c r="O143" t="b">
        <v>1</v>
      </c>
      <c r="Q143">
        <f t="shared" si="2"/>
        <v>1</v>
      </c>
      <c r="U143" s="2"/>
      <c r="V143" s="2"/>
      <c r="W143" s="2"/>
      <c r="X143" s="3"/>
    </row>
    <row r="144" spans="1:24" x14ac:dyDescent="0.4">
      <c r="A144">
        <v>164</v>
      </c>
      <c r="B144" t="s">
        <v>15</v>
      </c>
      <c r="C144">
        <v>1</v>
      </c>
      <c r="E144" t="s">
        <v>455</v>
      </c>
      <c r="F144" s="1">
        <v>45886</v>
      </c>
      <c r="G144" s="1">
        <v>45886</v>
      </c>
      <c r="H144" t="s">
        <v>439</v>
      </c>
      <c r="I144" t="s">
        <v>440</v>
      </c>
      <c r="J144" t="s">
        <v>28</v>
      </c>
      <c r="K144" t="s">
        <v>557</v>
      </c>
      <c r="L144" t="s">
        <v>28</v>
      </c>
      <c r="M144" s="4">
        <v>43.05394444444444</v>
      </c>
      <c r="N144" s="4">
        <v>-3.0389166666666667</v>
      </c>
      <c r="O144" t="b">
        <v>1</v>
      </c>
      <c r="Q144">
        <f t="shared" si="2"/>
        <v>1</v>
      </c>
      <c r="U144" s="2"/>
      <c r="V144" s="2"/>
      <c r="W144" s="2"/>
      <c r="X144" s="3"/>
    </row>
    <row r="145" spans="1:24" x14ac:dyDescent="0.4">
      <c r="A145">
        <v>165</v>
      </c>
      <c r="B145" t="s">
        <v>20</v>
      </c>
      <c r="C145">
        <v>1</v>
      </c>
      <c r="E145" t="s">
        <v>456</v>
      </c>
      <c r="F145" s="1">
        <v>45887</v>
      </c>
      <c r="G145" s="1">
        <v>45887</v>
      </c>
      <c r="H145" t="s">
        <v>454</v>
      </c>
      <c r="I145" t="s">
        <v>454</v>
      </c>
      <c r="J145" t="s">
        <v>457</v>
      </c>
      <c r="K145" t="s">
        <v>557</v>
      </c>
      <c r="L145" t="s">
        <v>1363</v>
      </c>
      <c r="M145" s="4">
        <v>43.075194444444449</v>
      </c>
      <c r="N145" s="4">
        <v>-3.1391944444444446</v>
      </c>
      <c r="O145" t="b">
        <v>1</v>
      </c>
      <c r="Q145">
        <f t="shared" si="2"/>
        <v>1</v>
      </c>
      <c r="U145" s="2"/>
      <c r="V145" s="2"/>
      <c r="W145" s="2"/>
      <c r="X145" s="3"/>
    </row>
    <row r="146" spans="1:24" x14ac:dyDescent="0.4">
      <c r="A146">
        <v>166</v>
      </c>
      <c r="B146" t="s">
        <v>20</v>
      </c>
      <c r="C146">
        <v>1</v>
      </c>
      <c r="E146" t="s">
        <v>458</v>
      </c>
      <c r="F146" s="1">
        <v>45887</v>
      </c>
      <c r="G146" s="1">
        <v>45887</v>
      </c>
      <c r="H146" t="s">
        <v>449</v>
      </c>
      <c r="I146" t="s">
        <v>459</v>
      </c>
      <c r="J146" t="s">
        <v>450</v>
      </c>
      <c r="K146" t="s">
        <v>557</v>
      </c>
      <c r="L146" t="s">
        <v>28</v>
      </c>
      <c r="M146" s="4">
        <v>43.121305555555558</v>
      </c>
      <c r="N146" s="4">
        <v>-3.156138888888889</v>
      </c>
      <c r="O146" t="b">
        <v>1</v>
      </c>
      <c r="Q146">
        <f t="shared" si="2"/>
        <v>1</v>
      </c>
      <c r="U146" s="2"/>
      <c r="V146" s="2"/>
      <c r="W146" s="2"/>
      <c r="X146" s="3"/>
    </row>
    <row r="147" spans="1:24" x14ac:dyDescent="0.4">
      <c r="A147">
        <v>169</v>
      </c>
      <c r="B147" t="s">
        <v>15</v>
      </c>
      <c r="C147">
        <v>2</v>
      </c>
      <c r="D147">
        <v>1</v>
      </c>
      <c r="E147" t="s">
        <v>460</v>
      </c>
      <c r="F147" s="1">
        <v>45887</v>
      </c>
      <c r="G147" s="1">
        <v>45887</v>
      </c>
      <c r="H147" t="s">
        <v>461</v>
      </c>
      <c r="I147" t="s">
        <v>462</v>
      </c>
      <c r="J147" t="s">
        <v>76</v>
      </c>
      <c r="K147" t="s">
        <v>557</v>
      </c>
      <c r="L147" t="s">
        <v>1364</v>
      </c>
      <c r="M147" s="4">
        <v>43.138222222222218</v>
      </c>
      <c r="N147" s="4">
        <v>-2.9897500000000004</v>
      </c>
      <c r="O147" t="b">
        <v>1</v>
      </c>
      <c r="Q147">
        <f t="shared" si="2"/>
        <v>1</v>
      </c>
      <c r="U147" s="2"/>
      <c r="V147" s="2"/>
      <c r="W147" s="2"/>
      <c r="X147" s="3"/>
    </row>
    <row r="148" spans="1:24" x14ac:dyDescent="0.4">
      <c r="A148">
        <v>170</v>
      </c>
      <c r="B148" t="s">
        <v>20</v>
      </c>
      <c r="C148">
        <v>1</v>
      </c>
      <c r="E148" t="s">
        <v>463</v>
      </c>
      <c r="F148" s="1">
        <v>45887</v>
      </c>
      <c r="G148" s="1">
        <v>45887</v>
      </c>
      <c r="H148" t="s">
        <v>464</v>
      </c>
      <c r="I148" t="s">
        <v>465</v>
      </c>
      <c r="J148" t="s">
        <v>196</v>
      </c>
      <c r="K148" t="s">
        <v>288</v>
      </c>
      <c r="L148" t="s">
        <v>196</v>
      </c>
      <c r="M148" s="4">
        <v>42.661527777777778</v>
      </c>
      <c r="N148" s="4">
        <v>-2.9066944444444447</v>
      </c>
      <c r="O148" t="b">
        <v>1</v>
      </c>
      <c r="Q148">
        <f t="shared" si="2"/>
        <v>5</v>
      </c>
      <c r="U148" s="2"/>
      <c r="V148" s="2"/>
      <c r="W148" s="2"/>
      <c r="X148" s="3"/>
    </row>
    <row r="149" spans="1:24" x14ac:dyDescent="0.4">
      <c r="A149">
        <v>171</v>
      </c>
      <c r="B149" t="s">
        <v>20</v>
      </c>
      <c r="C149">
        <v>2</v>
      </c>
      <c r="D149">
        <v>8</v>
      </c>
      <c r="E149" t="s">
        <v>466</v>
      </c>
      <c r="F149" s="1">
        <v>45887</v>
      </c>
      <c r="G149" s="1">
        <v>45887</v>
      </c>
      <c r="H149" t="s">
        <v>467</v>
      </c>
      <c r="I149" t="s">
        <v>468</v>
      </c>
      <c r="J149" t="s">
        <v>28</v>
      </c>
      <c r="K149" t="s">
        <v>557</v>
      </c>
      <c r="L149" t="s">
        <v>28</v>
      </c>
      <c r="M149" s="4">
        <v>43.049916666666668</v>
      </c>
      <c r="N149" s="4">
        <v>-3.0236388888888888</v>
      </c>
      <c r="O149" t="b">
        <v>1</v>
      </c>
      <c r="Q149">
        <f t="shared" si="2"/>
        <v>1</v>
      </c>
      <c r="U149" s="2"/>
      <c r="V149" s="2"/>
      <c r="W149" s="2"/>
      <c r="X149" s="3"/>
    </row>
    <row r="150" spans="1:24" x14ac:dyDescent="0.4">
      <c r="A150">
        <v>172</v>
      </c>
      <c r="B150" t="s">
        <v>20</v>
      </c>
      <c r="C150">
        <v>1</v>
      </c>
      <c r="E150" t="s">
        <v>469</v>
      </c>
      <c r="F150" s="1">
        <v>45888</v>
      </c>
      <c r="G150" s="1">
        <v>45888</v>
      </c>
      <c r="H150" t="s">
        <v>470</v>
      </c>
      <c r="I150" t="s">
        <v>470</v>
      </c>
      <c r="J150" t="s">
        <v>196</v>
      </c>
      <c r="K150" t="s">
        <v>288</v>
      </c>
      <c r="L150" t="s">
        <v>196</v>
      </c>
      <c r="M150" s="4">
        <v>42.664055555555557</v>
      </c>
      <c r="N150" s="4">
        <v>-2.9072499999999999</v>
      </c>
      <c r="O150" t="b">
        <v>1</v>
      </c>
      <c r="Q150">
        <f t="shared" si="2"/>
        <v>5</v>
      </c>
      <c r="U150" s="2"/>
      <c r="V150" s="2"/>
      <c r="W150" s="2"/>
      <c r="X150" s="3"/>
    </row>
    <row r="151" spans="1:24" x14ac:dyDescent="0.4">
      <c r="A151">
        <v>173</v>
      </c>
      <c r="B151" t="s">
        <v>20</v>
      </c>
      <c r="C151">
        <v>1</v>
      </c>
      <c r="E151" t="s">
        <v>471</v>
      </c>
      <c r="F151" s="1">
        <v>45888</v>
      </c>
      <c r="G151" s="1">
        <v>45888</v>
      </c>
      <c r="H151" t="s">
        <v>472</v>
      </c>
      <c r="I151" t="s">
        <v>473</v>
      </c>
      <c r="J151" t="s">
        <v>474</v>
      </c>
      <c r="K151" t="s">
        <v>557</v>
      </c>
      <c r="L151" t="s">
        <v>1363</v>
      </c>
      <c r="M151" s="4">
        <v>43.077500000000001</v>
      </c>
      <c r="N151" s="4">
        <v>-3.1408611111111111</v>
      </c>
      <c r="O151" t="b">
        <v>1</v>
      </c>
      <c r="Q151">
        <f t="shared" si="2"/>
        <v>1</v>
      </c>
      <c r="U151" s="2"/>
      <c r="V151" s="2"/>
      <c r="W151" s="2"/>
      <c r="X151" s="3"/>
    </row>
    <row r="152" spans="1:24" x14ac:dyDescent="0.4">
      <c r="A152">
        <v>174</v>
      </c>
      <c r="B152" t="s">
        <v>20</v>
      </c>
      <c r="C152">
        <v>2</v>
      </c>
      <c r="D152">
        <v>1</v>
      </c>
      <c r="E152" t="s">
        <v>475</v>
      </c>
      <c r="F152" s="1">
        <v>45888</v>
      </c>
      <c r="G152" s="1">
        <v>45888</v>
      </c>
      <c r="H152" t="s">
        <v>476</v>
      </c>
      <c r="I152" t="s">
        <v>477</v>
      </c>
      <c r="J152" t="s">
        <v>478</v>
      </c>
      <c r="K152" t="s">
        <v>288</v>
      </c>
      <c r="L152" t="s">
        <v>1398</v>
      </c>
      <c r="M152" s="4">
        <v>42.875500000000002</v>
      </c>
      <c r="N152" s="4">
        <v>-3.1744722222222221</v>
      </c>
      <c r="O152" t="b">
        <v>1</v>
      </c>
      <c r="Q152">
        <f t="shared" si="2"/>
        <v>5</v>
      </c>
      <c r="U152" s="2"/>
      <c r="V152" s="2"/>
      <c r="W152" s="2"/>
      <c r="X152" s="3"/>
    </row>
    <row r="153" spans="1:24" x14ac:dyDescent="0.4">
      <c r="A153">
        <v>175</v>
      </c>
      <c r="B153" t="s">
        <v>32</v>
      </c>
      <c r="C153">
        <v>2</v>
      </c>
      <c r="D153">
        <v>3</v>
      </c>
      <c r="E153" t="s">
        <v>479</v>
      </c>
      <c r="F153" s="1">
        <v>45888</v>
      </c>
      <c r="G153" s="1">
        <v>45888</v>
      </c>
      <c r="H153" t="s">
        <v>480</v>
      </c>
      <c r="I153" t="s">
        <v>481</v>
      </c>
      <c r="J153" t="s">
        <v>482</v>
      </c>
      <c r="K153" t="s">
        <v>1409</v>
      </c>
      <c r="L153" t="s">
        <v>392</v>
      </c>
      <c r="M153" s="4">
        <v>42.890166666666666</v>
      </c>
      <c r="N153" s="4">
        <v>-2.67475</v>
      </c>
      <c r="O153" t="b">
        <v>1</v>
      </c>
      <c r="Q153">
        <f t="shared" si="2"/>
        <v>4</v>
      </c>
      <c r="U153" s="2"/>
      <c r="V153" s="2"/>
      <c r="W153" s="2"/>
      <c r="X153" s="3"/>
    </row>
    <row r="154" spans="1:24" x14ac:dyDescent="0.4">
      <c r="A154">
        <v>176</v>
      </c>
      <c r="B154" t="s">
        <v>20</v>
      </c>
      <c r="C154">
        <v>2</v>
      </c>
      <c r="D154">
        <v>8</v>
      </c>
      <c r="E154" t="s">
        <v>483</v>
      </c>
      <c r="F154" s="1">
        <v>45888</v>
      </c>
      <c r="G154" s="1">
        <v>45888</v>
      </c>
      <c r="H154" t="s">
        <v>484</v>
      </c>
      <c r="I154" t="s">
        <v>485</v>
      </c>
      <c r="J154" t="s">
        <v>76</v>
      </c>
      <c r="K154" t="s">
        <v>557</v>
      </c>
      <c r="L154" t="s">
        <v>1364</v>
      </c>
      <c r="M154" s="4">
        <v>43.137138888888892</v>
      </c>
      <c r="N154" s="4">
        <v>-2.9916944444444447</v>
      </c>
      <c r="O154" t="b">
        <v>1</v>
      </c>
      <c r="Q154">
        <f t="shared" si="2"/>
        <v>1</v>
      </c>
      <c r="U154" s="2"/>
      <c r="V154" s="2"/>
      <c r="W154" s="2"/>
      <c r="X154" s="3"/>
    </row>
    <row r="155" spans="1:24" x14ac:dyDescent="0.4">
      <c r="A155">
        <v>177</v>
      </c>
      <c r="B155" t="s">
        <v>32</v>
      </c>
      <c r="C155">
        <v>2</v>
      </c>
      <c r="D155">
        <v>3</v>
      </c>
      <c r="E155" t="s">
        <v>486</v>
      </c>
      <c r="F155" s="1">
        <v>45888</v>
      </c>
      <c r="G155" s="1">
        <v>45888</v>
      </c>
      <c r="H155" t="s">
        <v>487</v>
      </c>
      <c r="I155" t="s">
        <v>488</v>
      </c>
      <c r="J155" t="s">
        <v>489</v>
      </c>
      <c r="K155" t="s">
        <v>557</v>
      </c>
      <c r="L155" t="s">
        <v>1363</v>
      </c>
      <c r="M155" s="4">
        <v>43.06111111111111</v>
      </c>
      <c r="N155" s="4">
        <v>-3.0753055555555555</v>
      </c>
      <c r="O155" t="b">
        <v>1</v>
      </c>
      <c r="Q155">
        <f t="shared" si="2"/>
        <v>1</v>
      </c>
      <c r="U155" s="2"/>
      <c r="V155" s="2"/>
      <c r="W155" s="2"/>
      <c r="X155" s="3"/>
    </row>
    <row r="156" spans="1:24" x14ac:dyDescent="0.4">
      <c r="A156">
        <v>178</v>
      </c>
      <c r="B156" t="s">
        <v>32</v>
      </c>
      <c r="C156">
        <v>2</v>
      </c>
      <c r="D156">
        <v>3</v>
      </c>
      <c r="E156" t="s">
        <v>490</v>
      </c>
      <c r="F156" s="1">
        <v>45888</v>
      </c>
      <c r="G156" s="1">
        <v>45888</v>
      </c>
      <c r="H156" t="s">
        <v>491</v>
      </c>
      <c r="I156" t="s">
        <v>491</v>
      </c>
      <c r="J156" t="s">
        <v>492</v>
      </c>
      <c r="K156" t="s">
        <v>557</v>
      </c>
      <c r="L156" t="s">
        <v>28</v>
      </c>
      <c r="M156" s="4">
        <v>42.984194444444448</v>
      </c>
      <c r="N156" s="4">
        <v>-3.0089166666666669</v>
      </c>
      <c r="O156" t="b">
        <v>1</v>
      </c>
      <c r="Q156">
        <f t="shared" si="2"/>
        <v>1</v>
      </c>
      <c r="U156" s="2"/>
      <c r="V156" s="2"/>
      <c r="W156" s="2"/>
      <c r="X156" s="3"/>
    </row>
    <row r="157" spans="1:24" x14ac:dyDescent="0.4">
      <c r="A157">
        <v>179</v>
      </c>
      <c r="B157" t="s">
        <v>20</v>
      </c>
      <c r="C157">
        <v>1</v>
      </c>
      <c r="E157" t="s">
        <v>493</v>
      </c>
      <c r="F157" s="1">
        <v>45889</v>
      </c>
      <c r="G157" s="1">
        <v>45889</v>
      </c>
      <c r="H157" t="s">
        <v>494</v>
      </c>
      <c r="I157" t="s">
        <v>495</v>
      </c>
      <c r="J157" t="s">
        <v>164</v>
      </c>
      <c r="K157" t="s">
        <v>214</v>
      </c>
      <c r="L157" t="s">
        <v>1385</v>
      </c>
      <c r="M157" s="4">
        <v>42.82866666666667</v>
      </c>
      <c r="N157" s="4">
        <v>-2.392527777777778</v>
      </c>
      <c r="O157" t="b">
        <v>1</v>
      </c>
      <c r="Q157">
        <f t="shared" si="2"/>
        <v>3</v>
      </c>
      <c r="U157" s="2"/>
      <c r="V157" s="2"/>
      <c r="W157" s="2"/>
      <c r="X157" s="3"/>
    </row>
    <row r="158" spans="1:24" x14ac:dyDescent="0.4">
      <c r="A158">
        <v>180</v>
      </c>
      <c r="B158" t="s">
        <v>20</v>
      </c>
      <c r="C158">
        <v>1</v>
      </c>
      <c r="E158" t="s">
        <v>496</v>
      </c>
      <c r="F158" s="1">
        <v>45889</v>
      </c>
      <c r="G158" s="1">
        <v>45889</v>
      </c>
      <c r="H158" t="s">
        <v>497</v>
      </c>
      <c r="I158" t="s">
        <v>498</v>
      </c>
      <c r="J158" t="s">
        <v>66</v>
      </c>
      <c r="K158" t="s">
        <v>288</v>
      </c>
      <c r="L158" t="s">
        <v>1395</v>
      </c>
      <c r="M158" s="4">
        <v>42.708555555555556</v>
      </c>
      <c r="N158" s="4">
        <v>-2.9594722222222223</v>
      </c>
      <c r="O158" t="b">
        <v>1</v>
      </c>
      <c r="Q158">
        <f t="shared" si="2"/>
        <v>5</v>
      </c>
      <c r="U158" s="2"/>
      <c r="V158" s="2"/>
      <c r="W158" s="2"/>
      <c r="X158" s="3"/>
    </row>
    <row r="159" spans="1:24" x14ac:dyDescent="0.4">
      <c r="A159">
        <v>181</v>
      </c>
      <c r="B159" t="s">
        <v>20</v>
      </c>
      <c r="C159">
        <v>1</v>
      </c>
      <c r="E159" t="s">
        <v>499</v>
      </c>
      <c r="F159" s="1">
        <v>45889</v>
      </c>
      <c r="G159" s="1">
        <v>45889</v>
      </c>
      <c r="H159" t="s">
        <v>500</v>
      </c>
      <c r="I159" t="s">
        <v>501</v>
      </c>
      <c r="J159" t="s">
        <v>28</v>
      </c>
      <c r="K159" t="s">
        <v>557</v>
      </c>
      <c r="L159" t="s">
        <v>28</v>
      </c>
      <c r="M159" s="4">
        <v>43.053055555555552</v>
      </c>
      <c r="N159" s="4">
        <v>-3.0430833333333331</v>
      </c>
      <c r="O159" t="b">
        <v>1</v>
      </c>
      <c r="Q159">
        <f t="shared" si="2"/>
        <v>1</v>
      </c>
      <c r="U159" s="2"/>
      <c r="V159" s="2"/>
      <c r="W159" s="2"/>
      <c r="X159" s="3"/>
    </row>
    <row r="160" spans="1:24" x14ac:dyDescent="0.4">
      <c r="A160">
        <v>182</v>
      </c>
      <c r="B160" t="s">
        <v>20</v>
      </c>
      <c r="C160">
        <v>2</v>
      </c>
      <c r="D160">
        <v>8</v>
      </c>
      <c r="E160" t="s">
        <v>502</v>
      </c>
      <c r="F160" s="1">
        <v>45889</v>
      </c>
      <c r="G160" s="1">
        <v>45889</v>
      </c>
      <c r="H160" t="s">
        <v>503</v>
      </c>
      <c r="I160" t="s">
        <v>504</v>
      </c>
      <c r="J160" t="s">
        <v>76</v>
      </c>
      <c r="K160" t="s">
        <v>557</v>
      </c>
      <c r="L160" t="s">
        <v>1364</v>
      </c>
      <c r="M160" s="4">
        <v>43.137194444444447</v>
      </c>
      <c r="N160" s="4">
        <v>-2.9933611111111111</v>
      </c>
      <c r="O160" t="b">
        <v>1</v>
      </c>
      <c r="Q160">
        <f t="shared" si="2"/>
        <v>1</v>
      </c>
      <c r="U160" s="2"/>
      <c r="V160" s="2"/>
      <c r="W160" s="2"/>
      <c r="X160" s="3"/>
    </row>
    <row r="161" spans="1:24" x14ac:dyDescent="0.4">
      <c r="A161">
        <v>183</v>
      </c>
      <c r="B161" t="s">
        <v>20</v>
      </c>
      <c r="C161">
        <v>2</v>
      </c>
      <c r="D161">
        <v>8</v>
      </c>
      <c r="E161" t="s">
        <v>505</v>
      </c>
      <c r="F161" s="1">
        <v>45889</v>
      </c>
      <c r="G161" s="1">
        <v>45889</v>
      </c>
      <c r="H161" t="s">
        <v>503</v>
      </c>
      <c r="I161" t="s">
        <v>504</v>
      </c>
      <c r="J161" t="s">
        <v>76</v>
      </c>
      <c r="K161" t="s">
        <v>557</v>
      </c>
      <c r="L161" t="s">
        <v>1364</v>
      </c>
      <c r="M161" s="4">
        <v>43.141888888888886</v>
      </c>
      <c r="N161" s="4">
        <v>-2.993638888888889</v>
      </c>
      <c r="O161" t="b">
        <v>1</v>
      </c>
      <c r="Q161">
        <f t="shared" si="2"/>
        <v>1</v>
      </c>
      <c r="U161" s="2"/>
      <c r="V161" s="2"/>
      <c r="W161" s="2"/>
      <c r="X161" s="3"/>
    </row>
    <row r="162" spans="1:24" x14ac:dyDescent="0.4">
      <c r="A162">
        <v>184</v>
      </c>
      <c r="B162" t="s">
        <v>32</v>
      </c>
      <c r="C162">
        <v>2</v>
      </c>
      <c r="D162">
        <v>3</v>
      </c>
      <c r="E162" t="s">
        <v>506</v>
      </c>
      <c r="F162" s="1">
        <v>45889</v>
      </c>
      <c r="G162" s="1">
        <v>45889</v>
      </c>
      <c r="H162" t="s">
        <v>507</v>
      </c>
      <c r="I162" t="s">
        <v>508</v>
      </c>
      <c r="J162" t="s">
        <v>509</v>
      </c>
      <c r="K162" t="s">
        <v>214</v>
      </c>
      <c r="L162" t="s">
        <v>1383</v>
      </c>
      <c r="M162" s="4">
        <v>42.84952777777778</v>
      </c>
      <c r="N162" s="4">
        <v>-2.5772499999999998</v>
      </c>
      <c r="O162" t="b">
        <v>1</v>
      </c>
      <c r="Q162">
        <f t="shared" si="2"/>
        <v>3</v>
      </c>
      <c r="U162" s="2"/>
      <c r="V162" s="2"/>
      <c r="W162" s="2"/>
      <c r="X162" s="3"/>
    </row>
    <row r="163" spans="1:24" x14ac:dyDescent="0.4">
      <c r="A163">
        <v>186</v>
      </c>
      <c r="B163" t="s">
        <v>32</v>
      </c>
      <c r="C163">
        <v>2</v>
      </c>
      <c r="D163">
        <v>3</v>
      </c>
      <c r="E163" t="s">
        <v>510</v>
      </c>
      <c r="F163" s="1">
        <v>45889</v>
      </c>
      <c r="G163" s="1">
        <v>45889</v>
      </c>
      <c r="H163" t="s">
        <v>511</v>
      </c>
      <c r="I163" t="s">
        <v>508</v>
      </c>
      <c r="J163" t="s">
        <v>512</v>
      </c>
      <c r="K163" t="s">
        <v>288</v>
      </c>
      <c r="L163" t="s">
        <v>1398</v>
      </c>
      <c r="M163" s="4">
        <v>42.884472222222222</v>
      </c>
      <c r="N163" s="4">
        <v>-3.2775277777777778</v>
      </c>
      <c r="O163" t="b">
        <v>1</v>
      </c>
      <c r="Q163">
        <f t="shared" si="2"/>
        <v>5</v>
      </c>
      <c r="U163" s="2"/>
      <c r="V163" s="2"/>
      <c r="W163" s="2"/>
      <c r="X163" s="3"/>
    </row>
    <row r="164" spans="1:24" x14ac:dyDescent="0.4">
      <c r="A164">
        <v>187</v>
      </c>
      <c r="B164" t="s">
        <v>32</v>
      </c>
      <c r="C164">
        <v>2</v>
      </c>
      <c r="D164">
        <v>3</v>
      </c>
      <c r="E164" t="s">
        <v>513</v>
      </c>
      <c r="F164" s="1">
        <v>45889</v>
      </c>
      <c r="G164" s="1">
        <v>45889</v>
      </c>
      <c r="H164" t="s">
        <v>514</v>
      </c>
      <c r="I164" t="s">
        <v>515</v>
      </c>
      <c r="J164" t="s">
        <v>192</v>
      </c>
      <c r="K164" t="s">
        <v>557</v>
      </c>
      <c r="L164" t="s">
        <v>28</v>
      </c>
      <c r="M164" s="4">
        <v>42.969972222222225</v>
      </c>
      <c r="N164" s="4">
        <v>-3.0278055555555556</v>
      </c>
      <c r="O164" t="b">
        <v>1</v>
      </c>
      <c r="Q164">
        <f t="shared" si="2"/>
        <v>1</v>
      </c>
      <c r="U164" s="2"/>
      <c r="V164" s="2"/>
      <c r="W164" s="2"/>
      <c r="X164" s="3"/>
    </row>
    <row r="165" spans="1:24" x14ac:dyDescent="0.4">
      <c r="A165">
        <v>188</v>
      </c>
      <c r="B165" t="s">
        <v>20</v>
      </c>
      <c r="C165">
        <v>1</v>
      </c>
      <c r="E165" t="s">
        <v>516</v>
      </c>
      <c r="F165" s="1">
        <v>45889</v>
      </c>
      <c r="G165" s="1">
        <v>45889</v>
      </c>
      <c r="H165" t="s">
        <v>517</v>
      </c>
      <c r="I165" t="s">
        <v>296</v>
      </c>
      <c r="J165" t="s">
        <v>421</v>
      </c>
      <c r="K165" t="s">
        <v>288</v>
      </c>
      <c r="L165" t="s">
        <v>387</v>
      </c>
      <c r="M165" s="4">
        <v>42.87188888888889</v>
      </c>
      <c r="N165" s="4">
        <v>-2.9614166666666666</v>
      </c>
      <c r="O165" t="b">
        <v>1</v>
      </c>
      <c r="Q165">
        <f t="shared" si="2"/>
        <v>5</v>
      </c>
      <c r="U165" s="2"/>
      <c r="V165" s="2"/>
      <c r="W165" s="2"/>
      <c r="X165" s="3"/>
    </row>
    <row r="166" spans="1:24" x14ac:dyDescent="0.4">
      <c r="A166">
        <v>189</v>
      </c>
      <c r="B166" t="s">
        <v>20</v>
      </c>
      <c r="C166">
        <v>1</v>
      </c>
      <c r="E166" t="s">
        <v>518</v>
      </c>
      <c r="F166" s="1">
        <v>45890</v>
      </c>
      <c r="G166" s="1">
        <v>45890</v>
      </c>
      <c r="H166" t="s">
        <v>519</v>
      </c>
      <c r="I166" t="s">
        <v>296</v>
      </c>
      <c r="J166" t="s">
        <v>124</v>
      </c>
      <c r="K166" t="s">
        <v>1412</v>
      </c>
      <c r="L166" t="s">
        <v>399</v>
      </c>
      <c r="M166" s="4">
        <v>42.739111111111114</v>
      </c>
      <c r="N166" s="4">
        <v>-2.4783611111111115</v>
      </c>
      <c r="O166" t="b">
        <v>1</v>
      </c>
      <c r="Q166">
        <f t="shared" si="2"/>
        <v>6</v>
      </c>
      <c r="U166" s="2"/>
      <c r="V166" s="2"/>
      <c r="W166" s="2"/>
      <c r="X166" s="3"/>
    </row>
    <row r="167" spans="1:24" x14ac:dyDescent="0.4">
      <c r="A167">
        <v>190</v>
      </c>
      <c r="B167" t="s">
        <v>20</v>
      </c>
      <c r="C167">
        <v>1</v>
      </c>
      <c r="E167" t="s">
        <v>520</v>
      </c>
      <c r="F167" s="1">
        <v>45890</v>
      </c>
      <c r="G167" s="1">
        <v>45890</v>
      </c>
      <c r="H167" t="s">
        <v>521</v>
      </c>
      <c r="I167" t="s">
        <v>522</v>
      </c>
      <c r="J167" t="s">
        <v>523</v>
      </c>
      <c r="K167" t="s">
        <v>288</v>
      </c>
      <c r="L167" t="s">
        <v>524</v>
      </c>
      <c r="M167" s="4">
        <v>42.80255555555555</v>
      </c>
      <c r="N167" s="4">
        <v>-3.0286388888888891</v>
      </c>
      <c r="O167" t="b">
        <v>1</v>
      </c>
      <c r="Q167">
        <f t="shared" si="2"/>
        <v>5</v>
      </c>
      <c r="U167" s="2"/>
      <c r="V167" s="2"/>
      <c r="W167" s="2"/>
      <c r="X167" s="3"/>
    </row>
    <row r="168" spans="1:24" x14ac:dyDescent="0.4">
      <c r="A168">
        <v>191</v>
      </c>
      <c r="B168" t="s">
        <v>32</v>
      </c>
      <c r="C168">
        <v>2</v>
      </c>
      <c r="D168">
        <v>3</v>
      </c>
      <c r="E168" t="s">
        <v>525</v>
      </c>
      <c r="F168" s="1">
        <v>45890</v>
      </c>
      <c r="G168" s="1">
        <v>45890</v>
      </c>
      <c r="H168" t="s">
        <v>526</v>
      </c>
      <c r="I168" t="s">
        <v>527</v>
      </c>
      <c r="J168" t="s">
        <v>528</v>
      </c>
      <c r="K168" t="s">
        <v>288</v>
      </c>
      <c r="L168" t="s">
        <v>1395</v>
      </c>
      <c r="M168" s="4">
        <v>42.756972222222224</v>
      </c>
      <c r="N168" s="4">
        <v>-2.96225</v>
      </c>
      <c r="O168" t="b">
        <v>1</v>
      </c>
      <c r="Q168">
        <f t="shared" si="2"/>
        <v>5</v>
      </c>
      <c r="U168" s="2"/>
      <c r="V168" s="2"/>
      <c r="W168" s="2"/>
      <c r="X168" s="3"/>
    </row>
    <row r="169" spans="1:24" x14ac:dyDescent="0.4">
      <c r="A169">
        <v>192</v>
      </c>
      <c r="B169" t="s">
        <v>32</v>
      </c>
      <c r="C169">
        <v>2</v>
      </c>
      <c r="D169">
        <v>3</v>
      </c>
      <c r="E169" t="s">
        <v>529</v>
      </c>
      <c r="F169" s="1">
        <v>45890</v>
      </c>
      <c r="G169" s="1">
        <v>45890</v>
      </c>
      <c r="H169" t="s">
        <v>530</v>
      </c>
      <c r="I169" t="s">
        <v>531</v>
      </c>
      <c r="J169" t="s">
        <v>48</v>
      </c>
      <c r="K169" t="s">
        <v>557</v>
      </c>
      <c r="L169" t="s">
        <v>48</v>
      </c>
      <c r="M169" s="4">
        <v>43.122750000000003</v>
      </c>
      <c r="N169" s="4">
        <v>-3.1625277777777776</v>
      </c>
      <c r="O169" t="b">
        <v>1</v>
      </c>
      <c r="Q169">
        <f t="shared" si="2"/>
        <v>1</v>
      </c>
      <c r="U169" s="2"/>
      <c r="V169" s="2"/>
      <c r="W169" s="2"/>
      <c r="X169" s="3"/>
    </row>
    <row r="170" spans="1:24" x14ac:dyDescent="0.4">
      <c r="A170">
        <v>193</v>
      </c>
      <c r="B170" t="s">
        <v>20</v>
      </c>
      <c r="C170">
        <v>1</v>
      </c>
      <c r="E170" t="s">
        <v>532</v>
      </c>
      <c r="F170" s="1">
        <v>45890</v>
      </c>
      <c r="G170" s="1">
        <v>45890</v>
      </c>
      <c r="H170" t="s">
        <v>533</v>
      </c>
      <c r="I170" t="s">
        <v>534</v>
      </c>
      <c r="J170" t="s">
        <v>28</v>
      </c>
      <c r="K170" t="s">
        <v>557</v>
      </c>
      <c r="L170" t="s">
        <v>28</v>
      </c>
      <c r="M170" s="4">
        <v>43.14147222222222</v>
      </c>
      <c r="N170" s="4">
        <v>-2.9961388888888889</v>
      </c>
      <c r="O170" t="b">
        <v>1</v>
      </c>
      <c r="Q170">
        <f t="shared" si="2"/>
        <v>1</v>
      </c>
      <c r="U170" s="2"/>
      <c r="V170" s="2"/>
      <c r="W170" s="2"/>
      <c r="X170" s="3"/>
    </row>
    <row r="171" spans="1:24" x14ac:dyDescent="0.4">
      <c r="A171">
        <v>194</v>
      </c>
      <c r="B171" t="s">
        <v>20</v>
      </c>
      <c r="C171">
        <v>1</v>
      </c>
      <c r="E171" t="s">
        <v>535</v>
      </c>
      <c r="F171" s="1">
        <v>45890</v>
      </c>
      <c r="G171" s="1">
        <v>45890</v>
      </c>
      <c r="H171" t="s">
        <v>536</v>
      </c>
      <c r="I171" t="s">
        <v>293</v>
      </c>
      <c r="J171" t="s">
        <v>537</v>
      </c>
      <c r="K171" t="s">
        <v>557</v>
      </c>
      <c r="L171" t="s">
        <v>1363</v>
      </c>
      <c r="M171" s="4">
        <v>43.096444444444444</v>
      </c>
      <c r="N171" s="4">
        <v>-3.1130833333333334</v>
      </c>
      <c r="O171" t="b">
        <v>1</v>
      </c>
      <c r="Q171">
        <f t="shared" si="2"/>
        <v>1</v>
      </c>
      <c r="U171" s="2"/>
      <c r="V171" s="2"/>
      <c r="W171" s="2"/>
      <c r="X171" s="3"/>
    </row>
    <row r="172" spans="1:24" x14ac:dyDescent="0.4">
      <c r="A172">
        <v>195</v>
      </c>
      <c r="B172" t="s">
        <v>20</v>
      </c>
      <c r="C172">
        <v>1</v>
      </c>
      <c r="E172" t="s">
        <v>538</v>
      </c>
      <c r="F172" s="1">
        <v>45890</v>
      </c>
      <c r="G172" s="1">
        <v>45891</v>
      </c>
      <c r="H172" t="s">
        <v>539</v>
      </c>
      <c r="I172" t="s">
        <v>540</v>
      </c>
      <c r="J172" t="s">
        <v>43</v>
      </c>
      <c r="K172" t="s">
        <v>214</v>
      </c>
      <c r="L172" t="s">
        <v>1385</v>
      </c>
      <c r="M172" s="4">
        <v>42.856027777777783</v>
      </c>
      <c r="N172" s="4">
        <v>-2.4466944444444443</v>
      </c>
      <c r="O172" t="b">
        <v>1</v>
      </c>
      <c r="Q172">
        <f t="shared" si="2"/>
        <v>3</v>
      </c>
      <c r="U172" s="2"/>
      <c r="V172" s="2"/>
      <c r="W172" s="2"/>
      <c r="X172" s="3"/>
    </row>
    <row r="173" spans="1:24" x14ac:dyDescent="0.4">
      <c r="A173">
        <v>196</v>
      </c>
      <c r="B173" t="s">
        <v>20</v>
      </c>
      <c r="C173">
        <v>1</v>
      </c>
      <c r="E173" t="s">
        <v>541</v>
      </c>
      <c r="F173" s="1">
        <v>45891</v>
      </c>
      <c r="G173" s="1">
        <v>45891</v>
      </c>
      <c r="H173" t="s">
        <v>542</v>
      </c>
      <c r="I173" t="s">
        <v>543</v>
      </c>
      <c r="J173" t="s">
        <v>128</v>
      </c>
      <c r="K173" t="s">
        <v>288</v>
      </c>
      <c r="L173" t="s">
        <v>1394</v>
      </c>
      <c r="M173" s="4">
        <v>42.75138888888889</v>
      </c>
      <c r="N173" s="4">
        <v>-3.0803055555555554</v>
      </c>
      <c r="O173" t="b">
        <v>1</v>
      </c>
      <c r="Q173">
        <f t="shared" si="2"/>
        <v>5</v>
      </c>
      <c r="U173" s="2"/>
      <c r="V173" s="2"/>
      <c r="W173" s="2"/>
      <c r="X173" s="3"/>
    </row>
    <row r="174" spans="1:24" x14ac:dyDescent="0.4">
      <c r="A174">
        <v>197</v>
      </c>
      <c r="B174" t="s">
        <v>20</v>
      </c>
      <c r="C174">
        <v>2</v>
      </c>
      <c r="D174">
        <v>8</v>
      </c>
      <c r="E174" t="s">
        <v>544</v>
      </c>
      <c r="F174" s="1">
        <v>45891</v>
      </c>
      <c r="G174" s="1">
        <v>45891</v>
      </c>
      <c r="H174" t="s">
        <v>545</v>
      </c>
      <c r="I174" t="s">
        <v>504</v>
      </c>
      <c r="J174" t="s">
        <v>546</v>
      </c>
      <c r="K174" t="s">
        <v>288</v>
      </c>
      <c r="L174" t="s">
        <v>1395</v>
      </c>
      <c r="M174" s="4">
        <v>42.771277777777776</v>
      </c>
      <c r="N174" s="4">
        <v>-2.9139166666666667</v>
      </c>
      <c r="O174" t="b">
        <v>1</v>
      </c>
      <c r="Q174">
        <f t="shared" si="2"/>
        <v>5</v>
      </c>
      <c r="U174" s="2"/>
      <c r="V174" s="2"/>
      <c r="W174" s="2"/>
      <c r="X174" s="3"/>
    </row>
    <row r="175" spans="1:24" x14ac:dyDescent="0.4">
      <c r="A175">
        <v>198</v>
      </c>
      <c r="B175" t="s">
        <v>20</v>
      </c>
      <c r="C175">
        <v>2</v>
      </c>
      <c r="D175">
        <v>8</v>
      </c>
      <c r="E175" t="s">
        <v>547</v>
      </c>
      <c r="F175" s="1">
        <v>45891</v>
      </c>
      <c r="G175" s="1">
        <v>45891</v>
      </c>
      <c r="H175" t="s">
        <v>548</v>
      </c>
      <c r="I175" t="s">
        <v>504</v>
      </c>
      <c r="J175" t="s">
        <v>549</v>
      </c>
      <c r="K175" t="s">
        <v>288</v>
      </c>
      <c r="L175" t="s">
        <v>1395</v>
      </c>
      <c r="M175" s="4">
        <v>42.801222222222222</v>
      </c>
      <c r="N175" s="4">
        <v>-2.9308611111111111</v>
      </c>
      <c r="O175" t="b">
        <v>1</v>
      </c>
      <c r="Q175">
        <f t="shared" si="2"/>
        <v>5</v>
      </c>
      <c r="U175" s="2"/>
      <c r="V175" s="2"/>
      <c r="W175" s="2"/>
      <c r="X175" s="3"/>
    </row>
    <row r="176" spans="1:24" x14ac:dyDescent="0.4">
      <c r="A176">
        <v>199</v>
      </c>
      <c r="B176" t="s">
        <v>32</v>
      </c>
      <c r="C176">
        <v>2</v>
      </c>
      <c r="D176">
        <v>3</v>
      </c>
      <c r="E176" t="s">
        <v>550</v>
      </c>
      <c r="F176" s="1">
        <v>45891</v>
      </c>
      <c r="G176" s="1">
        <v>45891</v>
      </c>
      <c r="H176" t="s">
        <v>551</v>
      </c>
      <c r="I176" t="s">
        <v>552</v>
      </c>
      <c r="J176" t="s">
        <v>553</v>
      </c>
      <c r="K176" t="s">
        <v>288</v>
      </c>
      <c r="L176" t="s">
        <v>1395</v>
      </c>
      <c r="M176" s="4">
        <v>42.805</v>
      </c>
      <c r="N176" s="4">
        <v>-2.9644722222222222</v>
      </c>
      <c r="O176" t="b">
        <v>1</v>
      </c>
      <c r="Q176">
        <f t="shared" si="2"/>
        <v>5</v>
      </c>
      <c r="U176" s="2"/>
      <c r="V176" s="2"/>
      <c r="W176" s="2"/>
      <c r="X176" s="3"/>
    </row>
    <row r="177" spans="1:24" x14ac:dyDescent="0.4">
      <c r="A177">
        <v>201</v>
      </c>
      <c r="B177" t="s">
        <v>40</v>
      </c>
      <c r="C177">
        <v>2</v>
      </c>
      <c r="D177">
        <v>2</v>
      </c>
      <c r="E177" t="s">
        <v>554</v>
      </c>
      <c r="F177" s="1">
        <v>45891</v>
      </c>
      <c r="G177" s="1">
        <v>45891</v>
      </c>
      <c r="H177" t="s">
        <v>555</v>
      </c>
      <c r="I177" t="s">
        <v>555</v>
      </c>
      <c r="J177" t="s">
        <v>556</v>
      </c>
      <c r="K177" t="s">
        <v>557</v>
      </c>
      <c r="L177" t="s">
        <v>1417</v>
      </c>
      <c r="M177" s="4">
        <v>42.984027777777776</v>
      </c>
      <c r="N177" s="4">
        <v>-3.0147500000000003</v>
      </c>
      <c r="O177" t="b">
        <v>1</v>
      </c>
      <c r="Q177" t="e">
        <f t="shared" si="2"/>
        <v>#N/A</v>
      </c>
      <c r="U177" s="2"/>
      <c r="V177" s="2"/>
      <c r="W177" s="2"/>
      <c r="X177" s="3"/>
    </row>
    <row r="178" spans="1:24" x14ac:dyDescent="0.4">
      <c r="A178">
        <v>202</v>
      </c>
      <c r="B178" t="s">
        <v>20</v>
      </c>
      <c r="C178">
        <v>1</v>
      </c>
      <c r="E178" t="s">
        <v>558</v>
      </c>
      <c r="F178" s="1">
        <v>45891</v>
      </c>
      <c r="G178" s="1">
        <v>45891</v>
      </c>
      <c r="H178" t="s">
        <v>559</v>
      </c>
      <c r="I178" t="s">
        <v>559</v>
      </c>
      <c r="J178" t="s">
        <v>192</v>
      </c>
      <c r="K178" t="s">
        <v>557</v>
      </c>
      <c r="L178" t="s">
        <v>28</v>
      </c>
      <c r="M178" s="4">
        <v>42.969555555555559</v>
      </c>
      <c r="N178" s="4">
        <v>-3.0316944444444447</v>
      </c>
      <c r="O178" t="b">
        <v>1</v>
      </c>
      <c r="Q178">
        <f t="shared" si="2"/>
        <v>1</v>
      </c>
      <c r="U178" s="2"/>
      <c r="V178" s="2"/>
      <c r="W178" s="2"/>
      <c r="X178" s="3"/>
    </row>
    <row r="179" spans="1:24" x14ac:dyDescent="0.4">
      <c r="A179">
        <v>203</v>
      </c>
      <c r="B179" t="s">
        <v>15</v>
      </c>
      <c r="C179">
        <v>1</v>
      </c>
      <c r="E179" t="s">
        <v>560</v>
      </c>
      <c r="F179" s="1">
        <v>45891</v>
      </c>
      <c r="G179" s="1">
        <v>45891</v>
      </c>
      <c r="H179" t="s">
        <v>561</v>
      </c>
      <c r="I179" t="s">
        <v>561</v>
      </c>
      <c r="J179" t="s">
        <v>179</v>
      </c>
      <c r="K179" t="s">
        <v>557</v>
      </c>
      <c r="L179" t="s">
        <v>1363</v>
      </c>
      <c r="M179" s="4">
        <v>43.09963888888889</v>
      </c>
      <c r="N179" s="4">
        <v>-3.0319722222222221</v>
      </c>
      <c r="O179" t="b">
        <v>1</v>
      </c>
      <c r="Q179">
        <f t="shared" si="2"/>
        <v>1</v>
      </c>
      <c r="U179" s="2"/>
      <c r="V179" s="2"/>
      <c r="W179" s="2"/>
      <c r="X179" s="3"/>
    </row>
    <row r="180" spans="1:24" x14ac:dyDescent="0.4">
      <c r="A180">
        <v>204</v>
      </c>
      <c r="B180" t="s">
        <v>20</v>
      </c>
      <c r="C180">
        <v>1</v>
      </c>
      <c r="E180" t="s">
        <v>562</v>
      </c>
      <c r="F180" s="1">
        <v>45891</v>
      </c>
      <c r="G180" s="1">
        <v>45891</v>
      </c>
      <c r="H180" t="s">
        <v>563</v>
      </c>
      <c r="I180" t="s">
        <v>563</v>
      </c>
      <c r="J180" t="s">
        <v>43</v>
      </c>
      <c r="K180" t="s">
        <v>214</v>
      </c>
      <c r="L180" t="s">
        <v>1385</v>
      </c>
      <c r="M180" s="4">
        <v>42.856111111111112</v>
      </c>
      <c r="N180" s="4">
        <v>-2.4489166666666664</v>
      </c>
      <c r="O180" t="b">
        <v>1</v>
      </c>
      <c r="Q180">
        <f t="shared" si="2"/>
        <v>3</v>
      </c>
      <c r="U180" s="2"/>
      <c r="V180" s="2"/>
      <c r="W180" s="2"/>
      <c r="X180" s="3"/>
    </row>
    <row r="181" spans="1:24" x14ac:dyDescent="0.4">
      <c r="A181">
        <v>205</v>
      </c>
      <c r="B181" t="s">
        <v>20</v>
      </c>
      <c r="C181">
        <v>1</v>
      </c>
      <c r="E181" t="s">
        <v>564</v>
      </c>
      <c r="F181" s="1">
        <v>45888</v>
      </c>
      <c r="G181" s="1">
        <v>45888</v>
      </c>
      <c r="H181" t="s">
        <v>565</v>
      </c>
      <c r="I181" t="s">
        <v>565</v>
      </c>
      <c r="J181" t="s">
        <v>164</v>
      </c>
      <c r="K181" t="s">
        <v>214</v>
      </c>
      <c r="L181" t="s">
        <v>1385</v>
      </c>
      <c r="M181" s="4">
        <v>42.828055555555558</v>
      </c>
      <c r="N181" s="4">
        <v>-2.3991944444444444</v>
      </c>
      <c r="O181" t="b">
        <v>1</v>
      </c>
      <c r="Q181">
        <f t="shared" si="2"/>
        <v>3</v>
      </c>
      <c r="U181" s="2"/>
      <c r="V181" s="2"/>
      <c r="W181" s="2"/>
      <c r="X181" s="3"/>
    </row>
    <row r="182" spans="1:24" x14ac:dyDescent="0.4">
      <c r="A182">
        <v>206</v>
      </c>
      <c r="B182" t="s">
        <v>20</v>
      </c>
      <c r="C182">
        <v>1</v>
      </c>
      <c r="E182" t="s">
        <v>566</v>
      </c>
      <c r="F182" s="1">
        <v>45888</v>
      </c>
      <c r="G182" s="1">
        <v>45888</v>
      </c>
      <c r="H182" t="s">
        <v>567</v>
      </c>
      <c r="I182" t="s">
        <v>567</v>
      </c>
      <c r="J182" t="s">
        <v>568</v>
      </c>
      <c r="K182" t="s">
        <v>214</v>
      </c>
      <c r="L182" t="s">
        <v>1385</v>
      </c>
      <c r="M182" s="4">
        <v>42.820277777777783</v>
      </c>
      <c r="N182" s="4">
        <v>-2.4328055555555554</v>
      </c>
      <c r="O182" t="b">
        <v>1</v>
      </c>
      <c r="Q182">
        <f t="shared" si="2"/>
        <v>3</v>
      </c>
      <c r="U182" s="2"/>
      <c r="V182" s="2"/>
      <c r="W182" s="2"/>
      <c r="X182" s="3"/>
    </row>
    <row r="183" spans="1:24" x14ac:dyDescent="0.4">
      <c r="A183">
        <v>207</v>
      </c>
      <c r="B183" t="s">
        <v>20</v>
      </c>
      <c r="C183">
        <v>1</v>
      </c>
      <c r="E183" t="s">
        <v>569</v>
      </c>
      <c r="F183" s="1">
        <v>45888</v>
      </c>
      <c r="G183" s="1">
        <v>45888</v>
      </c>
      <c r="H183" t="s">
        <v>570</v>
      </c>
      <c r="I183" t="s">
        <v>571</v>
      </c>
      <c r="J183" t="s">
        <v>44</v>
      </c>
      <c r="K183" t="s">
        <v>214</v>
      </c>
      <c r="L183" t="s">
        <v>1385</v>
      </c>
      <c r="M183" s="4">
        <v>42.848555555555556</v>
      </c>
      <c r="N183" s="4">
        <v>-2.4330833333333333</v>
      </c>
      <c r="O183" t="b">
        <v>1</v>
      </c>
      <c r="Q183">
        <f t="shared" si="2"/>
        <v>3</v>
      </c>
      <c r="U183" s="2"/>
      <c r="V183" s="2"/>
      <c r="W183" s="2"/>
      <c r="X183" s="3"/>
    </row>
    <row r="184" spans="1:24" x14ac:dyDescent="0.4">
      <c r="A184">
        <v>208</v>
      </c>
      <c r="B184" t="s">
        <v>20</v>
      </c>
      <c r="C184">
        <v>1</v>
      </c>
      <c r="E184" t="s">
        <v>572</v>
      </c>
      <c r="F184" s="1">
        <v>45889</v>
      </c>
      <c r="G184" s="1">
        <v>45889</v>
      </c>
      <c r="H184" t="s">
        <v>573</v>
      </c>
      <c r="I184" t="s">
        <v>573</v>
      </c>
      <c r="J184" t="s">
        <v>574</v>
      </c>
      <c r="K184" t="s">
        <v>557</v>
      </c>
      <c r="L184" t="s">
        <v>1363</v>
      </c>
      <c r="M184" s="4">
        <v>43.051499999999997</v>
      </c>
      <c r="N184" s="4">
        <v>-3.1000277777777776</v>
      </c>
      <c r="O184" t="b">
        <v>1</v>
      </c>
      <c r="Q184">
        <f t="shared" si="2"/>
        <v>1</v>
      </c>
      <c r="U184" s="2"/>
      <c r="V184" s="2"/>
      <c r="W184" s="2"/>
      <c r="X184" s="3"/>
    </row>
    <row r="185" spans="1:24" x14ac:dyDescent="0.4">
      <c r="A185">
        <v>209</v>
      </c>
      <c r="B185" t="s">
        <v>15</v>
      </c>
      <c r="C185">
        <v>1</v>
      </c>
      <c r="E185" t="s">
        <v>575</v>
      </c>
      <c r="F185" s="1">
        <v>45890</v>
      </c>
      <c r="G185" s="1">
        <v>45890</v>
      </c>
      <c r="H185" t="s">
        <v>576</v>
      </c>
      <c r="I185" t="s">
        <v>577</v>
      </c>
      <c r="J185" t="s">
        <v>578</v>
      </c>
      <c r="K185" t="s">
        <v>557</v>
      </c>
      <c r="L185" t="s">
        <v>48</v>
      </c>
      <c r="M185" s="4">
        <v>43.114555555555555</v>
      </c>
      <c r="N185" s="4">
        <v>-3.2169722222222221</v>
      </c>
      <c r="O185" t="b">
        <v>1</v>
      </c>
      <c r="Q185">
        <f t="shared" si="2"/>
        <v>1</v>
      </c>
      <c r="U185" s="2"/>
      <c r="V185" s="2"/>
      <c r="W185" s="2"/>
      <c r="X185" s="3"/>
    </row>
    <row r="186" spans="1:24" x14ac:dyDescent="0.4">
      <c r="A186">
        <v>210</v>
      </c>
      <c r="B186" t="s">
        <v>32</v>
      </c>
      <c r="C186">
        <v>2</v>
      </c>
      <c r="D186">
        <v>3</v>
      </c>
      <c r="E186" t="s">
        <v>579</v>
      </c>
      <c r="F186" s="1">
        <v>45890</v>
      </c>
      <c r="G186" s="1">
        <v>45890</v>
      </c>
      <c r="H186" t="s">
        <v>580</v>
      </c>
      <c r="I186" t="s">
        <v>581</v>
      </c>
      <c r="J186" t="s">
        <v>512</v>
      </c>
      <c r="K186" t="s">
        <v>288</v>
      </c>
      <c r="L186" t="s">
        <v>1398</v>
      </c>
      <c r="M186" s="4">
        <v>42.884500000000003</v>
      </c>
      <c r="N186" s="4">
        <v>-3.2839166666666668</v>
      </c>
      <c r="O186" t="b">
        <v>1</v>
      </c>
      <c r="Q186">
        <f t="shared" si="2"/>
        <v>5</v>
      </c>
      <c r="U186" s="2"/>
      <c r="V186" s="2"/>
      <c r="W186" s="2"/>
      <c r="X186" s="3"/>
    </row>
    <row r="187" spans="1:24" x14ac:dyDescent="0.4">
      <c r="A187">
        <v>211</v>
      </c>
      <c r="B187" t="s">
        <v>15</v>
      </c>
      <c r="C187">
        <v>2</v>
      </c>
      <c r="D187">
        <v>1</v>
      </c>
      <c r="E187" t="s">
        <v>582</v>
      </c>
      <c r="F187" s="1">
        <v>45890</v>
      </c>
      <c r="G187" s="1">
        <v>45890</v>
      </c>
      <c r="H187" t="s">
        <v>583</v>
      </c>
      <c r="I187" t="s">
        <v>584</v>
      </c>
      <c r="J187" t="s">
        <v>585</v>
      </c>
      <c r="K187" t="s">
        <v>557</v>
      </c>
      <c r="L187" t="s">
        <v>1364</v>
      </c>
      <c r="M187" s="4">
        <v>43.147194444444445</v>
      </c>
      <c r="N187" s="4">
        <v>-3.017527777777778</v>
      </c>
      <c r="O187" t="b">
        <v>1</v>
      </c>
      <c r="Q187">
        <f t="shared" si="2"/>
        <v>1</v>
      </c>
      <c r="U187" s="2"/>
      <c r="V187" s="2"/>
      <c r="W187" s="2"/>
      <c r="X187" s="3"/>
    </row>
    <row r="188" spans="1:24" x14ac:dyDescent="0.4">
      <c r="A188">
        <v>212</v>
      </c>
      <c r="B188" t="s">
        <v>15</v>
      </c>
      <c r="C188">
        <v>1</v>
      </c>
      <c r="E188" t="s">
        <v>586</v>
      </c>
      <c r="F188" s="1">
        <v>45890</v>
      </c>
      <c r="G188" s="1">
        <v>45890</v>
      </c>
      <c r="H188" t="s">
        <v>587</v>
      </c>
      <c r="I188" t="s">
        <v>587</v>
      </c>
      <c r="J188" t="s">
        <v>196</v>
      </c>
      <c r="K188" t="s">
        <v>288</v>
      </c>
      <c r="L188" t="s">
        <v>196</v>
      </c>
      <c r="M188" s="4">
        <v>42.661166666666666</v>
      </c>
      <c r="N188" s="4">
        <v>-2.9178055555555558</v>
      </c>
      <c r="O188" t="b">
        <v>1</v>
      </c>
      <c r="Q188">
        <f t="shared" si="2"/>
        <v>5</v>
      </c>
      <c r="U188" s="2"/>
      <c r="V188" s="2"/>
      <c r="W188" s="2"/>
      <c r="X188" s="3"/>
    </row>
    <row r="189" spans="1:24" x14ac:dyDescent="0.4">
      <c r="A189">
        <v>213</v>
      </c>
      <c r="B189" t="s">
        <v>15</v>
      </c>
      <c r="C189">
        <v>2</v>
      </c>
      <c r="D189">
        <v>13</v>
      </c>
      <c r="E189" t="s">
        <v>588</v>
      </c>
      <c r="F189" s="1">
        <v>45890</v>
      </c>
      <c r="G189" s="1">
        <v>45890</v>
      </c>
      <c r="H189" t="s">
        <v>589</v>
      </c>
      <c r="I189" t="s">
        <v>589</v>
      </c>
      <c r="J189" t="s">
        <v>66</v>
      </c>
      <c r="K189" t="s">
        <v>288</v>
      </c>
      <c r="L189" t="s">
        <v>1395</v>
      </c>
      <c r="M189" s="4">
        <v>42.705694444444447</v>
      </c>
      <c r="N189" s="4">
        <v>-2.9680833333333334</v>
      </c>
      <c r="O189" t="b">
        <v>1</v>
      </c>
      <c r="Q189">
        <f t="shared" si="2"/>
        <v>5</v>
      </c>
      <c r="U189" s="2"/>
      <c r="V189" s="2"/>
      <c r="W189" s="2"/>
      <c r="X189" s="3"/>
    </row>
    <row r="190" spans="1:24" x14ac:dyDescent="0.4">
      <c r="A190">
        <v>215</v>
      </c>
      <c r="B190" t="s">
        <v>20</v>
      </c>
      <c r="C190">
        <v>1</v>
      </c>
      <c r="E190" t="s">
        <v>590</v>
      </c>
      <c r="F190" s="1">
        <v>45887</v>
      </c>
      <c r="G190" s="1">
        <v>45887</v>
      </c>
      <c r="H190" t="s">
        <v>591</v>
      </c>
      <c r="I190" t="s">
        <v>591</v>
      </c>
      <c r="J190" t="s">
        <v>592</v>
      </c>
      <c r="K190" t="s">
        <v>288</v>
      </c>
      <c r="L190" t="s">
        <v>288</v>
      </c>
      <c r="O190" t="b">
        <v>1</v>
      </c>
      <c r="Q190">
        <f t="shared" si="2"/>
        <v>5</v>
      </c>
      <c r="U190" s="2"/>
      <c r="V190" s="2"/>
      <c r="W190" s="2"/>
      <c r="X190" s="3"/>
    </row>
    <row r="191" spans="1:24" x14ac:dyDescent="0.4">
      <c r="A191">
        <v>216</v>
      </c>
      <c r="B191" t="s">
        <v>20</v>
      </c>
      <c r="C191">
        <v>1</v>
      </c>
      <c r="E191" t="s">
        <v>593</v>
      </c>
      <c r="F191" s="1">
        <v>45887</v>
      </c>
      <c r="G191" s="1">
        <v>45887</v>
      </c>
      <c r="H191" t="s">
        <v>594</v>
      </c>
      <c r="I191" t="s">
        <v>273</v>
      </c>
      <c r="J191" t="s">
        <v>391</v>
      </c>
      <c r="K191" t="s">
        <v>1409</v>
      </c>
      <c r="L191" t="s">
        <v>392</v>
      </c>
      <c r="O191" t="b">
        <v>1</v>
      </c>
      <c r="Q191">
        <f t="shared" si="2"/>
        <v>4</v>
      </c>
      <c r="U191" s="2"/>
      <c r="V191" s="2"/>
      <c r="W191" s="2"/>
      <c r="X191" s="3"/>
    </row>
    <row r="192" spans="1:24" x14ac:dyDescent="0.4">
      <c r="A192">
        <v>217</v>
      </c>
      <c r="B192" t="s">
        <v>20</v>
      </c>
      <c r="C192">
        <v>1</v>
      </c>
      <c r="E192" t="s">
        <v>595</v>
      </c>
      <c r="F192" s="1">
        <v>45887</v>
      </c>
      <c r="G192" s="1">
        <v>45887</v>
      </c>
      <c r="H192" t="s">
        <v>596</v>
      </c>
      <c r="I192" t="s">
        <v>597</v>
      </c>
      <c r="J192" t="s">
        <v>164</v>
      </c>
      <c r="K192" t="s">
        <v>214</v>
      </c>
      <c r="L192" t="s">
        <v>1385</v>
      </c>
      <c r="O192" t="b">
        <v>1</v>
      </c>
      <c r="Q192">
        <f t="shared" si="2"/>
        <v>3</v>
      </c>
      <c r="U192" s="2"/>
      <c r="V192" s="2"/>
      <c r="W192" s="2"/>
      <c r="X192" s="3"/>
    </row>
    <row r="193" spans="1:24" x14ac:dyDescent="0.4">
      <c r="A193">
        <v>218</v>
      </c>
      <c r="B193" t="s">
        <v>32</v>
      </c>
      <c r="C193">
        <v>2</v>
      </c>
      <c r="D193">
        <v>3</v>
      </c>
      <c r="E193" t="s">
        <v>598</v>
      </c>
      <c r="F193" s="1">
        <v>45891</v>
      </c>
      <c r="G193" s="1">
        <v>45891</v>
      </c>
      <c r="H193" t="s">
        <v>599</v>
      </c>
      <c r="I193" t="s">
        <v>599</v>
      </c>
      <c r="J193" t="s">
        <v>600</v>
      </c>
      <c r="K193" t="s">
        <v>288</v>
      </c>
      <c r="L193" t="s">
        <v>387</v>
      </c>
      <c r="M193" s="4">
        <v>42.871916666666664</v>
      </c>
      <c r="N193" s="4">
        <v>-2.9691944444444442</v>
      </c>
      <c r="O193" t="b">
        <v>1</v>
      </c>
      <c r="Q193">
        <f t="shared" si="2"/>
        <v>5</v>
      </c>
      <c r="U193" s="2"/>
      <c r="V193" s="2"/>
      <c r="W193" s="2"/>
      <c r="X193" s="3"/>
    </row>
    <row r="194" spans="1:24" x14ac:dyDescent="0.4">
      <c r="A194">
        <v>219</v>
      </c>
      <c r="B194" t="s">
        <v>20</v>
      </c>
      <c r="C194">
        <v>1</v>
      </c>
      <c r="E194" t="s">
        <v>601</v>
      </c>
      <c r="F194" s="1">
        <v>45892</v>
      </c>
      <c r="G194" s="1">
        <v>45892</v>
      </c>
      <c r="H194" t="s">
        <v>150</v>
      </c>
      <c r="I194" t="s">
        <v>150</v>
      </c>
      <c r="J194" t="s">
        <v>151</v>
      </c>
      <c r="K194" t="s">
        <v>557</v>
      </c>
      <c r="L194" t="s">
        <v>1363</v>
      </c>
      <c r="M194" s="4">
        <v>43.068416666666671</v>
      </c>
      <c r="N194" s="4">
        <v>-3.0528055555555556</v>
      </c>
      <c r="O194" t="b">
        <v>1</v>
      </c>
      <c r="Q194">
        <f t="shared" si="2"/>
        <v>1</v>
      </c>
      <c r="U194" s="2"/>
      <c r="V194" s="2"/>
      <c r="W194" s="2"/>
      <c r="X194" s="3"/>
    </row>
    <row r="195" spans="1:24" x14ac:dyDescent="0.4">
      <c r="A195">
        <v>220</v>
      </c>
      <c r="B195" t="s">
        <v>15</v>
      </c>
      <c r="C195">
        <v>1</v>
      </c>
      <c r="E195" t="s">
        <v>602</v>
      </c>
      <c r="F195" s="1">
        <v>45893</v>
      </c>
      <c r="G195" s="1">
        <v>45893</v>
      </c>
      <c r="H195" t="s">
        <v>603</v>
      </c>
      <c r="I195" t="s">
        <v>604</v>
      </c>
      <c r="J195" t="s">
        <v>605</v>
      </c>
      <c r="K195" t="s">
        <v>557</v>
      </c>
      <c r="L195" t="s">
        <v>1363</v>
      </c>
      <c r="M195" s="4">
        <v>43.076305555555557</v>
      </c>
      <c r="N195" s="4">
        <v>-3.06975</v>
      </c>
      <c r="O195" t="b">
        <v>1</v>
      </c>
      <c r="Q195">
        <f t="shared" ref="Q195:Q258" si="3">VLOOKUP(L195,$V$2:$W$253,2,FALSE)</f>
        <v>1</v>
      </c>
      <c r="U195" s="2"/>
      <c r="V195" s="2"/>
      <c r="W195" s="2"/>
      <c r="X195" s="3"/>
    </row>
    <row r="196" spans="1:24" x14ac:dyDescent="0.4">
      <c r="A196">
        <v>221</v>
      </c>
      <c r="B196" t="s">
        <v>20</v>
      </c>
      <c r="C196">
        <v>1</v>
      </c>
      <c r="E196" t="s">
        <v>606</v>
      </c>
      <c r="F196" s="1">
        <v>45895</v>
      </c>
      <c r="G196" s="1">
        <v>45895</v>
      </c>
      <c r="H196" t="s">
        <v>607</v>
      </c>
      <c r="I196" t="s">
        <v>607</v>
      </c>
      <c r="J196" t="s">
        <v>43</v>
      </c>
      <c r="K196" t="s">
        <v>214</v>
      </c>
      <c r="L196" t="s">
        <v>1385</v>
      </c>
      <c r="M196" s="4">
        <v>42.853444444444449</v>
      </c>
      <c r="N196" s="4">
        <v>-2.4366944444444445</v>
      </c>
      <c r="O196" t="b">
        <v>1</v>
      </c>
      <c r="Q196">
        <f t="shared" si="3"/>
        <v>3</v>
      </c>
      <c r="U196" s="2"/>
      <c r="V196" s="2"/>
      <c r="W196" s="2"/>
      <c r="X196" s="3"/>
    </row>
    <row r="197" spans="1:24" x14ac:dyDescent="0.4">
      <c r="A197">
        <v>222</v>
      </c>
      <c r="B197" t="s">
        <v>15</v>
      </c>
      <c r="C197">
        <v>1</v>
      </c>
      <c r="E197" t="s">
        <v>608</v>
      </c>
      <c r="F197" s="1">
        <v>45896</v>
      </c>
      <c r="G197" s="1">
        <v>45896</v>
      </c>
      <c r="H197" t="s">
        <v>609</v>
      </c>
      <c r="I197" t="s">
        <v>610</v>
      </c>
      <c r="J197" t="s">
        <v>28</v>
      </c>
      <c r="K197" t="s">
        <v>557</v>
      </c>
      <c r="L197" t="s">
        <v>28</v>
      </c>
      <c r="M197" s="4">
        <v>43.10552777777778</v>
      </c>
      <c r="N197" s="4">
        <v>-3.7036388888888889</v>
      </c>
      <c r="O197" t="b">
        <v>1</v>
      </c>
      <c r="Q197">
        <f t="shared" si="3"/>
        <v>1</v>
      </c>
      <c r="U197" s="2"/>
      <c r="V197" s="2"/>
      <c r="W197" s="2"/>
      <c r="X197" s="3"/>
    </row>
    <row r="198" spans="1:24" x14ac:dyDescent="0.4">
      <c r="A198">
        <v>223</v>
      </c>
      <c r="B198" t="s">
        <v>15</v>
      </c>
      <c r="C198">
        <v>1</v>
      </c>
      <c r="E198" t="s">
        <v>611</v>
      </c>
      <c r="F198" s="1">
        <v>45895</v>
      </c>
      <c r="G198" s="1">
        <v>45895</v>
      </c>
      <c r="H198" t="s">
        <v>612</v>
      </c>
      <c r="I198" t="s">
        <v>613</v>
      </c>
      <c r="J198" t="s">
        <v>164</v>
      </c>
      <c r="K198" t="s">
        <v>214</v>
      </c>
      <c r="L198" t="s">
        <v>1385</v>
      </c>
      <c r="M198" s="4">
        <v>42.827361111111117</v>
      </c>
      <c r="N198" s="4">
        <v>-2.4039166666666669</v>
      </c>
      <c r="O198" t="b">
        <v>1</v>
      </c>
      <c r="Q198">
        <f t="shared" si="3"/>
        <v>3</v>
      </c>
      <c r="U198" s="2"/>
      <c r="V198" s="2"/>
      <c r="W198" s="2"/>
      <c r="X198" s="3"/>
    </row>
    <row r="199" spans="1:24" x14ac:dyDescent="0.4">
      <c r="A199">
        <v>225</v>
      </c>
      <c r="B199" t="s">
        <v>32</v>
      </c>
      <c r="C199">
        <v>2</v>
      </c>
      <c r="D199">
        <v>3</v>
      </c>
      <c r="E199" t="s">
        <v>614</v>
      </c>
      <c r="F199" s="1">
        <v>45894</v>
      </c>
      <c r="G199" s="1">
        <v>45894</v>
      </c>
      <c r="H199" t="s">
        <v>615</v>
      </c>
      <c r="I199" t="s">
        <v>615</v>
      </c>
      <c r="J199" t="s">
        <v>48</v>
      </c>
      <c r="K199" t="s">
        <v>557</v>
      </c>
      <c r="L199" t="s">
        <v>48</v>
      </c>
      <c r="M199" s="4">
        <v>43.11911111111111</v>
      </c>
      <c r="N199" s="4">
        <v>-3.1708611111111114</v>
      </c>
      <c r="O199" t="b">
        <v>1</v>
      </c>
      <c r="Q199">
        <f t="shared" si="3"/>
        <v>1</v>
      </c>
      <c r="U199" s="2"/>
      <c r="V199" s="2"/>
      <c r="W199" s="2"/>
      <c r="X199" s="3"/>
    </row>
    <row r="200" spans="1:24" x14ac:dyDescent="0.4">
      <c r="A200">
        <v>226</v>
      </c>
      <c r="B200" t="s">
        <v>20</v>
      </c>
      <c r="C200">
        <v>2</v>
      </c>
      <c r="D200">
        <v>8</v>
      </c>
      <c r="E200" t="s">
        <v>616</v>
      </c>
      <c r="F200" s="1">
        <v>45894</v>
      </c>
      <c r="G200" s="1">
        <v>45894</v>
      </c>
      <c r="H200" t="s">
        <v>617</v>
      </c>
      <c r="I200" t="s">
        <v>618</v>
      </c>
      <c r="J200" t="s">
        <v>605</v>
      </c>
      <c r="K200" t="s">
        <v>557</v>
      </c>
      <c r="L200" t="s">
        <v>1363</v>
      </c>
      <c r="M200" s="4">
        <v>43.07566666666667</v>
      </c>
      <c r="N200" s="4">
        <v>-3.0711388888888886</v>
      </c>
      <c r="O200" t="b">
        <v>1</v>
      </c>
      <c r="Q200">
        <f t="shared" si="3"/>
        <v>1</v>
      </c>
      <c r="U200" s="2"/>
      <c r="V200" s="2"/>
      <c r="W200" s="2"/>
      <c r="X200" s="3"/>
    </row>
    <row r="201" spans="1:24" x14ac:dyDescent="0.4">
      <c r="A201">
        <v>227</v>
      </c>
      <c r="B201" t="s">
        <v>32</v>
      </c>
      <c r="C201">
        <v>2</v>
      </c>
      <c r="D201">
        <v>3</v>
      </c>
      <c r="E201" t="s">
        <v>619</v>
      </c>
      <c r="F201" s="1">
        <v>45895</v>
      </c>
      <c r="G201" s="1">
        <v>45895</v>
      </c>
      <c r="H201" t="s">
        <v>620</v>
      </c>
      <c r="I201" t="s">
        <v>620</v>
      </c>
      <c r="J201" t="s">
        <v>621</v>
      </c>
      <c r="K201" t="s">
        <v>214</v>
      </c>
      <c r="L201" t="s">
        <v>1383</v>
      </c>
      <c r="M201" s="4">
        <v>42.843444444444444</v>
      </c>
      <c r="N201" s="4">
        <v>-2.5880833333333331</v>
      </c>
      <c r="O201" t="b">
        <v>1</v>
      </c>
      <c r="Q201">
        <f t="shared" si="3"/>
        <v>3</v>
      </c>
      <c r="U201" s="2"/>
      <c r="V201" s="2"/>
      <c r="W201" s="2"/>
      <c r="X201" s="3"/>
    </row>
    <row r="202" spans="1:24" x14ac:dyDescent="0.4">
      <c r="A202">
        <v>228</v>
      </c>
      <c r="B202" t="s">
        <v>32</v>
      </c>
      <c r="C202">
        <v>2</v>
      </c>
      <c r="D202">
        <v>3</v>
      </c>
      <c r="E202" t="s">
        <v>622</v>
      </c>
      <c r="F202" s="1">
        <v>45896</v>
      </c>
      <c r="G202" s="1">
        <v>45896</v>
      </c>
      <c r="H202" t="s">
        <v>623</v>
      </c>
      <c r="I202" t="s">
        <v>623</v>
      </c>
      <c r="J202" t="s">
        <v>624</v>
      </c>
      <c r="K202" t="s">
        <v>288</v>
      </c>
      <c r="L202" t="s">
        <v>196</v>
      </c>
      <c r="M202" s="4">
        <v>42.672249999999998</v>
      </c>
      <c r="N202" s="4">
        <v>-2.8883611111111112</v>
      </c>
      <c r="O202" t="b">
        <v>1</v>
      </c>
      <c r="Q202">
        <f t="shared" si="3"/>
        <v>5</v>
      </c>
      <c r="U202" s="2"/>
      <c r="V202" s="2"/>
      <c r="W202" s="2"/>
      <c r="X202" s="3"/>
    </row>
    <row r="203" spans="1:24" x14ac:dyDescent="0.4">
      <c r="A203">
        <v>229</v>
      </c>
      <c r="B203" t="s">
        <v>20</v>
      </c>
      <c r="C203">
        <v>2</v>
      </c>
      <c r="D203">
        <v>8</v>
      </c>
      <c r="E203" t="s">
        <v>625</v>
      </c>
      <c r="F203" s="1">
        <v>45895</v>
      </c>
      <c r="G203" s="1">
        <v>45895</v>
      </c>
      <c r="H203" t="s">
        <v>626</v>
      </c>
      <c r="I203" t="s">
        <v>627</v>
      </c>
      <c r="J203" t="s">
        <v>43</v>
      </c>
      <c r="K203" t="s">
        <v>214</v>
      </c>
      <c r="L203" t="s">
        <v>1385</v>
      </c>
      <c r="M203" s="4">
        <v>42.849944444444446</v>
      </c>
      <c r="N203" s="4">
        <v>-2.4386388888888888</v>
      </c>
      <c r="O203" t="b">
        <v>1</v>
      </c>
      <c r="Q203">
        <f t="shared" si="3"/>
        <v>3</v>
      </c>
      <c r="U203" s="2"/>
      <c r="V203" s="2"/>
      <c r="W203" s="2"/>
      <c r="X203" s="3"/>
    </row>
    <row r="204" spans="1:24" x14ac:dyDescent="0.4">
      <c r="A204">
        <v>230</v>
      </c>
      <c r="B204" t="s">
        <v>20</v>
      </c>
      <c r="C204">
        <v>1</v>
      </c>
      <c r="E204" t="s">
        <v>628</v>
      </c>
      <c r="F204" s="1">
        <v>45894</v>
      </c>
      <c r="G204" s="1">
        <v>45894</v>
      </c>
      <c r="H204" t="s">
        <v>629</v>
      </c>
      <c r="I204" t="s">
        <v>629</v>
      </c>
      <c r="J204" t="s">
        <v>151</v>
      </c>
      <c r="K204" t="s">
        <v>557</v>
      </c>
      <c r="L204" t="s">
        <v>1363</v>
      </c>
      <c r="M204" s="4">
        <v>43.068361111111116</v>
      </c>
      <c r="N204" s="4">
        <v>-3.0555833333333333</v>
      </c>
      <c r="O204" t="b">
        <v>1</v>
      </c>
      <c r="Q204">
        <f t="shared" si="3"/>
        <v>1</v>
      </c>
      <c r="U204" s="2"/>
      <c r="V204" s="2"/>
      <c r="W204" s="2"/>
      <c r="X204" s="3"/>
    </row>
    <row r="205" spans="1:24" x14ac:dyDescent="0.4">
      <c r="A205">
        <v>231</v>
      </c>
      <c r="B205" t="s">
        <v>32</v>
      </c>
      <c r="C205">
        <v>2</v>
      </c>
      <c r="D205">
        <v>3</v>
      </c>
      <c r="E205" t="s">
        <v>630</v>
      </c>
      <c r="F205" s="1">
        <v>45895</v>
      </c>
      <c r="G205" s="1">
        <v>45895</v>
      </c>
      <c r="H205" t="s">
        <v>631</v>
      </c>
      <c r="I205" t="s">
        <v>631</v>
      </c>
      <c r="J205" t="s">
        <v>632</v>
      </c>
      <c r="K205" t="s">
        <v>557</v>
      </c>
      <c r="L205" t="s">
        <v>1363</v>
      </c>
      <c r="M205" s="4">
        <v>43.121055555555557</v>
      </c>
      <c r="N205" s="4">
        <v>-3.1725277777777778</v>
      </c>
      <c r="O205" t="b">
        <v>1</v>
      </c>
      <c r="Q205">
        <f t="shared" si="3"/>
        <v>1</v>
      </c>
      <c r="U205" s="2"/>
      <c r="V205" s="2"/>
      <c r="W205" s="2"/>
      <c r="X205" s="3"/>
    </row>
    <row r="206" spans="1:24" x14ac:dyDescent="0.4">
      <c r="A206">
        <v>232</v>
      </c>
      <c r="B206" t="s">
        <v>15</v>
      </c>
      <c r="C206">
        <v>1</v>
      </c>
      <c r="E206" t="s">
        <v>633</v>
      </c>
      <c r="F206" s="1">
        <v>45895</v>
      </c>
      <c r="G206" s="1">
        <v>45895</v>
      </c>
      <c r="H206" t="s">
        <v>634</v>
      </c>
      <c r="I206" t="s">
        <v>634</v>
      </c>
      <c r="J206" t="s">
        <v>635</v>
      </c>
      <c r="K206" t="s">
        <v>557</v>
      </c>
      <c r="L206" t="s">
        <v>1363</v>
      </c>
      <c r="M206" s="4">
        <v>43.109194444444448</v>
      </c>
      <c r="N206" s="4">
        <v>-3.1394722222222224</v>
      </c>
      <c r="O206" t="b">
        <v>1</v>
      </c>
      <c r="Q206">
        <f t="shared" si="3"/>
        <v>1</v>
      </c>
      <c r="U206" s="2"/>
      <c r="V206" s="2"/>
      <c r="W206" s="2"/>
      <c r="X206" s="3"/>
    </row>
    <row r="207" spans="1:24" x14ac:dyDescent="0.4">
      <c r="A207">
        <v>233</v>
      </c>
      <c r="B207" t="s">
        <v>20</v>
      </c>
      <c r="C207">
        <v>1</v>
      </c>
      <c r="E207" t="s">
        <v>636</v>
      </c>
      <c r="F207" s="1">
        <v>45895</v>
      </c>
      <c r="G207" s="1">
        <v>45895</v>
      </c>
      <c r="H207" t="s">
        <v>637</v>
      </c>
      <c r="I207" t="s">
        <v>638</v>
      </c>
      <c r="J207" t="s">
        <v>48</v>
      </c>
      <c r="K207" t="s">
        <v>557</v>
      </c>
      <c r="L207" t="s">
        <v>48</v>
      </c>
      <c r="M207" s="4">
        <v>43.126361111111109</v>
      </c>
      <c r="N207" s="4">
        <v>-3.1730833333333335</v>
      </c>
      <c r="O207" t="b">
        <v>1</v>
      </c>
      <c r="Q207">
        <f t="shared" si="3"/>
        <v>1</v>
      </c>
      <c r="U207" s="2"/>
      <c r="V207" s="2"/>
      <c r="W207" s="2"/>
      <c r="X207" s="3"/>
    </row>
    <row r="208" spans="1:24" x14ac:dyDescent="0.4">
      <c r="A208">
        <v>234</v>
      </c>
      <c r="B208" t="s">
        <v>32</v>
      </c>
      <c r="C208">
        <v>2</v>
      </c>
      <c r="D208">
        <v>3</v>
      </c>
      <c r="E208" t="s">
        <v>639</v>
      </c>
      <c r="F208" s="1">
        <v>45896</v>
      </c>
      <c r="G208" s="1">
        <v>45896</v>
      </c>
      <c r="H208" t="s">
        <v>640</v>
      </c>
      <c r="I208" t="s">
        <v>640</v>
      </c>
      <c r="J208" t="s">
        <v>641</v>
      </c>
      <c r="K208" t="s">
        <v>557</v>
      </c>
      <c r="L208" t="s">
        <v>28</v>
      </c>
      <c r="M208" s="4">
        <v>43.038083333333333</v>
      </c>
      <c r="N208" s="4">
        <v>-3.0233611111111114</v>
      </c>
      <c r="O208" t="b">
        <v>1</v>
      </c>
      <c r="Q208">
        <f t="shared" si="3"/>
        <v>1</v>
      </c>
      <c r="U208" s="2"/>
      <c r="V208" s="2"/>
      <c r="W208" s="2"/>
      <c r="X208" s="3"/>
    </row>
    <row r="209" spans="1:24" x14ac:dyDescent="0.4">
      <c r="A209">
        <v>235</v>
      </c>
      <c r="B209" t="s">
        <v>40</v>
      </c>
      <c r="C209">
        <v>1</v>
      </c>
      <c r="E209" t="s">
        <v>642</v>
      </c>
      <c r="F209" s="1">
        <v>45896</v>
      </c>
      <c r="G209" s="1">
        <v>45896</v>
      </c>
      <c r="H209" t="s">
        <v>454</v>
      </c>
      <c r="I209" t="s">
        <v>643</v>
      </c>
      <c r="J209" t="s">
        <v>24</v>
      </c>
      <c r="K209" t="s">
        <v>557</v>
      </c>
      <c r="L209" t="s">
        <v>1363</v>
      </c>
      <c r="M209" s="4">
        <v>43.075055555555558</v>
      </c>
      <c r="N209" s="4">
        <v>-3.1569722222222225</v>
      </c>
      <c r="O209" t="b">
        <v>1</v>
      </c>
      <c r="Q209">
        <f t="shared" si="3"/>
        <v>1</v>
      </c>
      <c r="U209" s="2"/>
      <c r="V209" s="2"/>
      <c r="W209" s="2"/>
      <c r="X209" s="3"/>
    </row>
    <row r="210" spans="1:24" x14ac:dyDescent="0.4">
      <c r="A210">
        <v>236</v>
      </c>
      <c r="B210" t="s">
        <v>40</v>
      </c>
      <c r="C210">
        <v>1</v>
      </c>
      <c r="E210" t="s">
        <v>644</v>
      </c>
      <c r="F210" s="1">
        <v>45896</v>
      </c>
      <c r="G210" s="1">
        <v>45896</v>
      </c>
      <c r="H210" t="s">
        <v>449</v>
      </c>
      <c r="I210" t="s">
        <v>449</v>
      </c>
      <c r="J210" t="s">
        <v>450</v>
      </c>
      <c r="K210" t="s">
        <v>557</v>
      </c>
      <c r="L210" t="s">
        <v>28</v>
      </c>
      <c r="O210" t="b">
        <v>1</v>
      </c>
      <c r="Q210">
        <f t="shared" si="3"/>
        <v>1</v>
      </c>
      <c r="U210" s="2"/>
      <c r="V210" s="2"/>
      <c r="W210" s="2"/>
      <c r="X210" s="3"/>
    </row>
    <row r="211" spans="1:24" x14ac:dyDescent="0.4">
      <c r="A211">
        <v>237</v>
      </c>
      <c r="B211" t="s">
        <v>32</v>
      </c>
      <c r="C211">
        <v>2</v>
      </c>
      <c r="D211">
        <v>3</v>
      </c>
      <c r="E211" t="s">
        <v>645</v>
      </c>
      <c r="F211" s="1">
        <v>45897</v>
      </c>
      <c r="G211" s="1">
        <v>45897</v>
      </c>
      <c r="H211" t="s">
        <v>646</v>
      </c>
      <c r="I211" t="s">
        <v>647</v>
      </c>
      <c r="J211" t="s">
        <v>641</v>
      </c>
      <c r="K211" t="s">
        <v>557</v>
      </c>
      <c r="L211" t="s">
        <v>28</v>
      </c>
      <c r="M211" s="4">
        <v>43.03736111111111</v>
      </c>
      <c r="N211" s="4">
        <v>-3.0241944444444444</v>
      </c>
      <c r="O211" t="b">
        <v>1</v>
      </c>
      <c r="Q211">
        <f t="shared" si="3"/>
        <v>1</v>
      </c>
      <c r="U211" s="2"/>
      <c r="V211" s="2"/>
      <c r="W211" s="2"/>
      <c r="X211" s="3"/>
    </row>
    <row r="212" spans="1:24" x14ac:dyDescent="0.4">
      <c r="A212">
        <v>238</v>
      </c>
      <c r="B212" t="s">
        <v>15</v>
      </c>
      <c r="C212">
        <v>1</v>
      </c>
      <c r="E212" t="s">
        <v>648</v>
      </c>
      <c r="F212" s="1">
        <v>45897</v>
      </c>
      <c r="G212" s="1">
        <v>45897</v>
      </c>
      <c r="H212" t="s">
        <v>609</v>
      </c>
      <c r="I212" t="s">
        <v>649</v>
      </c>
      <c r="J212" t="s">
        <v>28</v>
      </c>
      <c r="K212" t="s">
        <v>557</v>
      </c>
      <c r="L212" t="s">
        <v>28</v>
      </c>
      <c r="M212" s="4">
        <v>43.061194444444439</v>
      </c>
      <c r="N212" s="4">
        <v>-3.0411388888888888</v>
      </c>
      <c r="O212" t="b">
        <v>1</v>
      </c>
      <c r="Q212">
        <f t="shared" si="3"/>
        <v>1</v>
      </c>
      <c r="U212" s="2"/>
      <c r="V212" s="2"/>
      <c r="W212" s="2"/>
      <c r="X212" s="3"/>
    </row>
    <row r="213" spans="1:24" x14ac:dyDescent="0.4">
      <c r="A213">
        <v>239</v>
      </c>
      <c r="B213" t="s">
        <v>20</v>
      </c>
      <c r="C213">
        <v>2</v>
      </c>
      <c r="D213">
        <v>11</v>
      </c>
      <c r="E213" t="s">
        <v>650</v>
      </c>
      <c r="F213" s="1">
        <v>45897</v>
      </c>
      <c r="G213" s="1">
        <v>45897</v>
      </c>
      <c r="H213" t="s">
        <v>651</v>
      </c>
      <c r="I213" t="s">
        <v>651</v>
      </c>
      <c r="J213" t="s">
        <v>652</v>
      </c>
      <c r="K213" t="s">
        <v>557</v>
      </c>
      <c r="L213" t="s">
        <v>1417</v>
      </c>
      <c r="M213" s="4">
        <v>43.14</v>
      </c>
      <c r="N213" s="4">
        <v>-3.0080833333333334</v>
      </c>
      <c r="O213" t="b">
        <v>1</v>
      </c>
      <c r="Q213" t="e">
        <f t="shared" si="3"/>
        <v>#N/A</v>
      </c>
      <c r="U213" s="2"/>
      <c r="V213" s="2"/>
      <c r="W213" s="2"/>
      <c r="X213" s="3"/>
    </row>
    <row r="214" spans="1:24" x14ac:dyDescent="0.4">
      <c r="A214">
        <v>240</v>
      </c>
      <c r="B214" t="s">
        <v>15</v>
      </c>
      <c r="C214">
        <v>2</v>
      </c>
      <c r="D214">
        <v>1</v>
      </c>
      <c r="E214" t="s">
        <v>653</v>
      </c>
      <c r="F214" s="1">
        <v>45897</v>
      </c>
      <c r="G214" s="1">
        <v>45897</v>
      </c>
      <c r="H214" t="s">
        <v>654</v>
      </c>
      <c r="I214" t="s">
        <v>655</v>
      </c>
      <c r="J214" t="s">
        <v>656</v>
      </c>
      <c r="K214" t="s">
        <v>557</v>
      </c>
      <c r="L214" t="s">
        <v>28</v>
      </c>
      <c r="M214" s="4">
        <v>43.060333333333332</v>
      </c>
      <c r="N214" s="4">
        <v>-3.0416944444444445</v>
      </c>
      <c r="O214" t="b">
        <v>1</v>
      </c>
      <c r="Q214">
        <f t="shared" si="3"/>
        <v>1</v>
      </c>
      <c r="U214" s="2"/>
      <c r="V214" s="2"/>
      <c r="W214" s="2"/>
      <c r="X214" s="3"/>
    </row>
    <row r="215" spans="1:24" x14ac:dyDescent="0.4">
      <c r="A215">
        <v>241</v>
      </c>
      <c r="B215" t="s">
        <v>20</v>
      </c>
      <c r="C215">
        <v>1</v>
      </c>
      <c r="E215" t="s">
        <v>657</v>
      </c>
      <c r="F215" s="1">
        <v>45897</v>
      </c>
      <c r="G215" s="1">
        <v>45897</v>
      </c>
      <c r="H215" t="s">
        <v>658</v>
      </c>
      <c r="I215" t="s">
        <v>659</v>
      </c>
      <c r="J215" t="s">
        <v>660</v>
      </c>
      <c r="K215" t="s">
        <v>1409</v>
      </c>
      <c r="L215" t="s">
        <v>392</v>
      </c>
      <c r="M215" s="4">
        <v>42.934555555555555</v>
      </c>
      <c r="N215" s="4">
        <v>-2.6919722222222222</v>
      </c>
      <c r="O215" t="b">
        <v>1</v>
      </c>
      <c r="Q215">
        <f t="shared" si="3"/>
        <v>4</v>
      </c>
      <c r="U215" s="2"/>
      <c r="V215" s="2"/>
      <c r="W215" s="2"/>
      <c r="X215" s="3"/>
    </row>
    <row r="216" spans="1:24" x14ac:dyDescent="0.4">
      <c r="A216">
        <v>242</v>
      </c>
      <c r="B216" t="s">
        <v>40</v>
      </c>
      <c r="C216">
        <v>2</v>
      </c>
      <c r="D216">
        <v>2</v>
      </c>
      <c r="E216" t="s">
        <v>661</v>
      </c>
      <c r="F216" s="1">
        <v>45898</v>
      </c>
      <c r="G216" s="1">
        <v>45898</v>
      </c>
      <c r="H216" t="s">
        <v>662</v>
      </c>
      <c r="I216" t="s">
        <v>663</v>
      </c>
      <c r="J216" t="s">
        <v>224</v>
      </c>
      <c r="K216" t="s">
        <v>557</v>
      </c>
      <c r="L216" t="s">
        <v>1417</v>
      </c>
      <c r="M216" s="4">
        <v>42.984027777777776</v>
      </c>
      <c r="N216" s="4">
        <v>-3.0255833333333335</v>
      </c>
      <c r="O216" t="b">
        <v>1</v>
      </c>
      <c r="Q216" t="e">
        <f t="shared" si="3"/>
        <v>#N/A</v>
      </c>
      <c r="U216" s="2"/>
      <c r="V216" s="2"/>
      <c r="W216" s="2"/>
      <c r="X216" s="3"/>
    </row>
    <row r="217" spans="1:24" x14ac:dyDescent="0.4">
      <c r="A217">
        <v>243</v>
      </c>
      <c r="B217" t="s">
        <v>15</v>
      </c>
      <c r="C217">
        <v>2</v>
      </c>
      <c r="D217">
        <v>1</v>
      </c>
      <c r="E217" t="s">
        <v>664</v>
      </c>
      <c r="F217" s="1">
        <v>45898</v>
      </c>
      <c r="G217" s="1">
        <v>45898</v>
      </c>
      <c r="H217" t="s">
        <v>665</v>
      </c>
      <c r="I217" t="s">
        <v>665</v>
      </c>
      <c r="J217" t="s">
        <v>666</v>
      </c>
      <c r="K217" t="s">
        <v>557</v>
      </c>
      <c r="L217" t="s">
        <v>28</v>
      </c>
      <c r="M217" s="4">
        <v>42.983027777777778</v>
      </c>
      <c r="N217" s="4">
        <v>-3.0258611111111113</v>
      </c>
      <c r="O217" t="b">
        <v>1</v>
      </c>
      <c r="Q217">
        <f t="shared" si="3"/>
        <v>1</v>
      </c>
      <c r="U217" s="2"/>
      <c r="V217" s="2"/>
      <c r="W217" s="2"/>
      <c r="X217" s="3"/>
    </row>
    <row r="218" spans="1:24" x14ac:dyDescent="0.4">
      <c r="A218">
        <v>244</v>
      </c>
      <c r="B218" t="s">
        <v>32</v>
      </c>
      <c r="C218">
        <v>2</v>
      </c>
      <c r="D218">
        <v>3</v>
      </c>
      <c r="E218" t="s">
        <v>667</v>
      </c>
      <c r="F218" s="1">
        <v>45898</v>
      </c>
      <c r="G218" s="1">
        <v>45898</v>
      </c>
      <c r="H218" t="s">
        <v>668</v>
      </c>
      <c r="I218" t="s">
        <v>669</v>
      </c>
      <c r="J218" t="s">
        <v>670</v>
      </c>
      <c r="K218" t="s">
        <v>557</v>
      </c>
      <c r="L218" t="s">
        <v>1363</v>
      </c>
      <c r="M218" s="4">
        <v>43.099611111111116</v>
      </c>
      <c r="N218" s="4">
        <v>-3.0928055555555556</v>
      </c>
      <c r="O218" t="b">
        <v>1</v>
      </c>
      <c r="Q218">
        <f t="shared" si="3"/>
        <v>1</v>
      </c>
      <c r="U218" s="2"/>
      <c r="V218" s="2"/>
      <c r="W218" s="2"/>
      <c r="X218" s="3"/>
    </row>
    <row r="219" spans="1:24" x14ac:dyDescent="0.4">
      <c r="A219">
        <v>245</v>
      </c>
      <c r="B219" t="s">
        <v>20</v>
      </c>
      <c r="C219">
        <v>1</v>
      </c>
      <c r="E219" t="s">
        <v>671</v>
      </c>
      <c r="F219" s="1">
        <v>45898</v>
      </c>
      <c r="G219" s="1">
        <v>45898</v>
      </c>
      <c r="H219" t="s">
        <v>672</v>
      </c>
      <c r="I219" t="s">
        <v>673</v>
      </c>
      <c r="J219" t="s">
        <v>674</v>
      </c>
      <c r="K219" t="s">
        <v>288</v>
      </c>
      <c r="L219" t="s">
        <v>1394</v>
      </c>
      <c r="M219" s="4">
        <v>42.762444444444448</v>
      </c>
      <c r="N219" s="4">
        <v>-3.1264166666666671</v>
      </c>
      <c r="O219" t="b">
        <v>1</v>
      </c>
      <c r="Q219">
        <f t="shared" si="3"/>
        <v>5</v>
      </c>
      <c r="U219" s="2"/>
      <c r="V219" s="2"/>
      <c r="W219" s="2"/>
      <c r="X219" s="3"/>
    </row>
    <row r="220" spans="1:24" x14ac:dyDescent="0.4">
      <c r="A220">
        <v>246</v>
      </c>
      <c r="B220" t="s">
        <v>675</v>
      </c>
      <c r="C220">
        <v>3</v>
      </c>
      <c r="E220" t="s">
        <v>676</v>
      </c>
      <c r="F220" s="1">
        <v>45900</v>
      </c>
      <c r="G220" s="1">
        <v>45900</v>
      </c>
      <c r="H220" t="s">
        <v>677</v>
      </c>
      <c r="I220" t="s">
        <v>677</v>
      </c>
      <c r="O220" t="b">
        <v>1</v>
      </c>
      <c r="Q220" t="e">
        <f t="shared" si="3"/>
        <v>#N/A</v>
      </c>
      <c r="U220" s="2"/>
      <c r="V220" s="2"/>
      <c r="W220" s="2"/>
      <c r="X220" s="3"/>
    </row>
    <row r="221" spans="1:24" x14ac:dyDescent="0.4">
      <c r="A221">
        <v>247</v>
      </c>
      <c r="B221" t="s">
        <v>20</v>
      </c>
      <c r="C221">
        <v>2</v>
      </c>
      <c r="D221">
        <v>14</v>
      </c>
      <c r="E221" t="s">
        <v>678</v>
      </c>
      <c r="F221" s="1">
        <v>45891</v>
      </c>
      <c r="G221" s="1">
        <v>45891</v>
      </c>
      <c r="H221" t="s">
        <v>679</v>
      </c>
      <c r="I221" t="s">
        <v>679</v>
      </c>
      <c r="J221" t="s">
        <v>76</v>
      </c>
      <c r="K221" t="s">
        <v>557</v>
      </c>
      <c r="L221" t="s">
        <v>1364</v>
      </c>
      <c r="M221" s="4">
        <v>43.142700481161597</v>
      </c>
      <c r="N221" s="4">
        <v>-2.9648323173108202</v>
      </c>
      <c r="O221" t="b">
        <v>1</v>
      </c>
      <c r="Q221">
        <f t="shared" si="3"/>
        <v>1</v>
      </c>
      <c r="U221" s="2"/>
      <c r="V221" s="2"/>
      <c r="W221" s="2"/>
      <c r="X221" s="3"/>
    </row>
    <row r="222" spans="1:24" x14ac:dyDescent="0.4">
      <c r="A222">
        <v>248</v>
      </c>
      <c r="B222" t="s">
        <v>15</v>
      </c>
      <c r="C222">
        <v>1</v>
      </c>
      <c r="E222" t="s">
        <v>680</v>
      </c>
      <c r="F222" s="1">
        <v>45891</v>
      </c>
      <c r="G222" s="1">
        <v>45891</v>
      </c>
      <c r="H222" t="s">
        <v>681</v>
      </c>
      <c r="I222" t="s">
        <v>682</v>
      </c>
      <c r="J222" t="s">
        <v>76</v>
      </c>
      <c r="K222" t="s">
        <v>557</v>
      </c>
      <c r="L222" t="s">
        <v>1364</v>
      </c>
      <c r="M222" s="4">
        <v>43.141402999999997</v>
      </c>
      <c r="N222" s="4">
        <v>-2.9718719999999998</v>
      </c>
      <c r="O222" t="b">
        <v>1</v>
      </c>
      <c r="Q222">
        <f t="shared" si="3"/>
        <v>1</v>
      </c>
      <c r="U222" s="2"/>
      <c r="V222" s="2"/>
      <c r="W222" s="2"/>
      <c r="X222" s="3"/>
    </row>
    <row r="223" spans="1:24" x14ac:dyDescent="0.4">
      <c r="A223">
        <v>249</v>
      </c>
      <c r="B223" t="s">
        <v>20</v>
      </c>
      <c r="C223">
        <v>2</v>
      </c>
      <c r="D223">
        <v>8</v>
      </c>
      <c r="E223" t="s">
        <v>683</v>
      </c>
      <c r="F223" s="1">
        <v>45891</v>
      </c>
      <c r="G223" s="1">
        <v>45891</v>
      </c>
      <c r="H223" t="s">
        <v>684</v>
      </c>
      <c r="I223" t="s">
        <v>684</v>
      </c>
      <c r="J223" t="s">
        <v>76</v>
      </c>
      <c r="K223" t="s">
        <v>557</v>
      </c>
      <c r="L223" t="s">
        <v>1364</v>
      </c>
      <c r="O223" t="b">
        <v>1</v>
      </c>
      <c r="Q223">
        <f t="shared" si="3"/>
        <v>1</v>
      </c>
      <c r="U223" s="2"/>
      <c r="V223" s="2"/>
      <c r="W223" s="2"/>
      <c r="X223" s="3"/>
    </row>
    <row r="224" spans="1:24" x14ac:dyDescent="0.4">
      <c r="A224">
        <v>250</v>
      </c>
      <c r="B224" t="s">
        <v>20</v>
      </c>
      <c r="C224">
        <v>2</v>
      </c>
      <c r="D224">
        <v>8</v>
      </c>
      <c r="E224" t="s">
        <v>685</v>
      </c>
      <c r="F224" s="1">
        <v>45891</v>
      </c>
      <c r="G224" s="1">
        <v>45891</v>
      </c>
      <c r="H224" t="s">
        <v>686</v>
      </c>
      <c r="I224" t="s">
        <v>686</v>
      </c>
      <c r="J224" t="s">
        <v>76</v>
      </c>
      <c r="K224" t="s">
        <v>557</v>
      </c>
      <c r="L224" t="s">
        <v>1364</v>
      </c>
      <c r="O224" t="b">
        <v>1</v>
      </c>
      <c r="Q224">
        <f t="shared" si="3"/>
        <v>1</v>
      </c>
      <c r="U224" s="2"/>
      <c r="V224" s="2"/>
      <c r="W224" s="2"/>
      <c r="X224" s="3"/>
    </row>
    <row r="225" spans="1:24" x14ac:dyDescent="0.4">
      <c r="A225">
        <v>251</v>
      </c>
      <c r="B225" t="s">
        <v>20</v>
      </c>
      <c r="C225">
        <v>2</v>
      </c>
      <c r="D225">
        <v>10</v>
      </c>
      <c r="E225" t="s">
        <v>687</v>
      </c>
      <c r="F225" s="1">
        <v>45898</v>
      </c>
      <c r="G225" s="1">
        <v>45898</v>
      </c>
      <c r="H225" t="s">
        <v>688</v>
      </c>
      <c r="I225" t="s">
        <v>689</v>
      </c>
      <c r="J225" t="s">
        <v>66</v>
      </c>
      <c r="K225" t="s">
        <v>288</v>
      </c>
      <c r="L225" t="s">
        <v>1395</v>
      </c>
      <c r="O225" t="b">
        <v>1</v>
      </c>
      <c r="Q225">
        <f t="shared" si="3"/>
        <v>5</v>
      </c>
      <c r="U225" s="2"/>
      <c r="V225" s="2"/>
      <c r="W225" s="2"/>
      <c r="X225" s="3"/>
    </row>
    <row r="226" spans="1:24" x14ac:dyDescent="0.4">
      <c r="A226">
        <v>252</v>
      </c>
      <c r="B226" t="s">
        <v>20</v>
      </c>
      <c r="C226">
        <v>2</v>
      </c>
      <c r="D226">
        <v>10</v>
      </c>
      <c r="E226" t="s">
        <v>690</v>
      </c>
      <c r="F226" s="1">
        <v>45898</v>
      </c>
      <c r="G226" s="1">
        <v>45898</v>
      </c>
      <c r="H226" t="s">
        <v>691</v>
      </c>
      <c r="I226" t="s">
        <v>691</v>
      </c>
      <c r="J226" t="s">
        <v>105</v>
      </c>
      <c r="K226" t="s">
        <v>1412</v>
      </c>
      <c r="L226" t="s">
        <v>399</v>
      </c>
      <c r="O226" t="b">
        <v>1</v>
      </c>
      <c r="Q226">
        <f t="shared" si="3"/>
        <v>6</v>
      </c>
      <c r="U226" s="2"/>
      <c r="V226" s="2"/>
      <c r="W226" s="2"/>
      <c r="X226" s="3"/>
    </row>
    <row r="227" spans="1:24" x14ac:dyDescent="0.4">
      <c r="A227">
        <v>253</v>
      </c>
      <c r="B227" t="s">
        <v>20</v>
      </c>
      <c r="C227">
        <v>2</v>
      </c>
      <c r="D227">
        <v>8</v>
      </c>
      <c r="E227" t="s">
        <v>692</v>
      </c>
      <c r="F227" s="1">
        <v>45898</v>
      </c>
      <c r="G227" s="1">
        <v>45898</v>
      </c>
      <c r="H227" t="s">
        <v>626</v>
      </c>
      <c r="I227" t="s">
        <v>626</v>
      </c>
      <c r="J227" t="s">
        <v>43</v>
      </c>
      <c r="K227" t="s">
        <v>214</v>
      </c>
      <c r="L227" t="s">
        <v>1385</v>
      </c>
      <c r="O227" t="b">
        <v>1</v>
      </c>
      <c r="Q227">
        <f t="shared" si="3"/>
        <v>3</v>
      </c>
      <c r="U227" s="2"/>
      <c r="V227" s="2"/>
      <c r="W227" s="2"/>
      <c r="X227" s="3"/>
    </row>
    <row r="228" spans="1:24" x14ac:dyDescent="0.4">
      <c r="A228">
        <v>254</v>
      </c>
      <c r="B228" t="s">
        <v>20</v>
      </c>
      <c r="C228">
        <v>1</v>
      </c>
      <c r="E228" t="s">
        <v>693</v>
      </c>
      <c r="F228" s="1">
        <v>45899</v>
      </c>
      <c r="G228" s="1">
        <v>45899</v>
      </c>
      <c r="H228" t="s">
        <v>694</v>
      </c>
      <c r="I228" t="s">
        <v>695</v>
      </c>
      <c r="J228" t="s">
        <v>76</v>
      </c>
      <c r="K228" t="s">
        <v>557</v>
      </c>
      <c r="L228" t="s">
        <v>1364</v>
      </c>
      <c r="O228" t="b">
        <v>1</v>
      </c>
      <c r="Q228">
        <f t="shared" si="3"/>
        <v>1</v>
      </c>
      <c r="U228" s="2"/>
      <c r="V228" s="2"/>
      <c r="W228" s="2"/>
      <c r="X228" s="3"/>
    </row>
    <row r="229" spans="1:24" x14ac:dyDescent="0.4">
      <c r="A229">
        <v>255</v>
      </c>
      <c r="B229" t="s">
        <v>15</v>
      </c>
      <c r="C229">
        <v>1</v>
      </c>
      <c r="E229" t="s">
        <v>696</v>
      </c>
      <c r="F229" s="1">
        <v>45899</v>
      </c>
      <c r="G229" s="1">
        <v>45899</v>
      </c>
      <c r="H229" t="s">
        <v>697</v>
      </c>
      <c r="I229" t="s">
        <v>440</v>
      </c>
      <c r="J229" t="s">
        <v>43</v>
      </c>
      <c r="K229" t="s">
        <v>214</v>
      </c>
      <c r="L229" t="s">
        <v>1385</v>
      </c>
      <c r="O229" t="b">
        <v>1</v>
      </c>
      <c r="Q229">
        <f t="shared" si="3"/>
        <v>3</v>
      </c>
      <c r="U229" s="2"/>
      <c r="V229" s="2"/>
      <c r="W229" s="2"/>
      <c r="X229" s="3"/>
    </row>
    <row r="230" spans="1:24" x14ac:dyDescent="0.4">
      <c r="A230">
        <v>256</v>
      </c>
      <c r="B230" t="s">
        <v>20</v>
      </c>
      <c r="C230">
        <v>1</v>
      </c>
      <c r="E230" t="s">
        <v>698</v>
      </c>
      <c r="F230" s="1">
        <v>45899</v>
      </c>
      <c r="G230" s="1">
        <v>45899</v>
      </c>
      <c r="H230" t="s">
        <v>699</v>
      </c>
      <c r="I230" t="s">
        <v>296</v>
      </c>
      <c r="J230" t="s">
        <v>361</v>
      </c>
      <c r="K230" t="s">
        <v>288</v>
      </c>
      <c r="L230" t="s">
        <v>1395</v>
      </c>
      <c r="O230" t="b">
        <v>1</v>
      </c>
      <c r="Q230">
        <f t="shared" si="3"/>
        <v>5</v>
      </c>
      <c r="U230" s="2"/>
      <c r="V230" s="2"/>
      <c r="W230" s="2"/>
      <c r="X230" s="3"/>
    </row>
    <row r="231" spans="1:24" x14ac:dyDescent="0.4">
      <c r="A231">
        <v>257</v>
      </c>
      <c r="B231" t="s">
        <v>20</v>
      </c>
      <c r="C231">
        <v>1</v>
      </c>
      <c r="E231" t="s">
        <v>700</v>
      </c>
      <c r="F231" s="1">
        <v>45900</v>
      </c>
      <c r="G231" s="1">
        <v>45900</v>
      </c>
      <c r="H231" t="s">
        <v>701</v>
      </c>
      <c r="I231" t="s">
        <v>702</v>
      </c>
      <c r="J231" t="s">
        <v>228</v>
      </c>
      <c r="K231" t="s">
        <v>557</v>
      </c>
      <c r="L231" t="s">
        <v>1363</v>
      </c>
      <c r="O231" t="b">
        <v>1</v>
      </c>
      <c r="Q231">
        <f t="shared" si="3"/>
        <v>1</v>
      </c>
      <c r="U231" s="2"/>
      <c r="V231" s="2"/>
      <c r="W231" s="2"/>
      <c r="X231" s="3"/>
    </row>
    <row r="232" spans="1:24" x14ac:dyDescent="0.4">
      <c r="A232">
        <v>258</v>
      </c>
      <c r="B232" t="s">
        <v>15</v>
      </c>
      <c r="C232">
        <v>1</v>
      </c>
      <c r="E232" t="s">
        <v>703</v>
      </c>
      <c r="F232" s="1">
        <v>45900</v>
      </c>
      <c r="G232" s="1">
        <v>45900</v>
      </c>
      <c r="H232" t="s">
        <v>704</v>
      </c>
      <c r="I232" t="s">
        <v>705</v>
      </c>
      <c r="J232" t="s">
        <v>28</v>
      </c>
      <c r="K232" t="s">
        <v>557</v>
      </c>
      <c r="L232" t="s">
        <v>28</v>
      </c>
      <c r="O232" t="b">
        <v>1</v>
      </c>
      <c r="Q232">
        <f t="shared" si="3"/>
        <v>1</v>
      </c>
      <c r="U232" s="2"/>
      <c r="V232" s="2"/>
      <c r="W232" s="2"/>
      <c r="X232" s="3"/>
    </row>
    <row r="233" spans="1:24" x14ac:dyDescent="0.4">
      <c r="A233">
        <v>259</v>
      </c>
      <c r="B233" t="s">
        <v>675</v>
      </c>
      <c r="C233">
        <v>3</v>
      </c>
      <c r="E233" t="s">
        <v>706</v>
      </c>
      <c r="F233" s="1">
        <v>45900</v>
      </c>
      <c r="G233" s="1">
        <v>45900</v>
      </c>
      <c r="H233" t="s">
        <v>707</v>
      </c>
      <c r="I233" t="s">
        <v>707</v>
      </c>
      <c r="O233" t="b">
        <v>1</v>
      </c>
      <c r="P233" t="s">
        <v>708</v>
      </c>
      <c r="Q233" t="e">
        <f t="shared" si="3"/>
        <v>#N/A</v>
      </c>
      <c r="U233" s="2"/>
      <c r="V233" s="2"/>
      <c r="W233" s="2"/>
      <c r="X233" s="3"/>
    </row>
    <row r="234" spans="1:24" x14ac:dyDescent="0.4">
      <c r="A234">
        <v>262</v>
      </c>
      <c r="B234" t="s">
        <v>15</v>
      </c>
      <c r="C234">
        <v>2</v>
      </c>
      <c r="D234">
        <v>5</v>
      </c>
      <c r="E234" t="s">
        <v>709</v>
      </c>
      <c r="F234" s="1">
        <v>45900</v>
      </c>
      <c r="G234" s="1">
        <v>45900</v>
      </c>
      <c r="H234" t="s">
        <v>710</v>
      </c>
      <c r="I234" t="s">
        <v>711</v>
      </c>
      <c r="J234" t="s">
        <v>712</v>
      </c>
      <c r="K234" t="s">
        <v>1412</v>
      </c>
      <c r="L234" t="s">
        <v>399</v>
      </c>
      <c r="O234" t="b">
        <v>1</v>
      </c>
      <c r="Q234">
        <f t="shared" si="3"/>
        <v>6</v>
      </c>
      <c r="U234" s="2"/>
      <c r="V234" s="2"/>
      <c r="W234" s="2"/>
      <c r="X234" s="3"/>
    </row>
    <row r="235" spans="1:24" x14ac:dyDescent="0.4">
      <c r="A235">
        <v>263</v>
      </c>
      <c r="B235" t="s">
        <v>20</v>
      </c>
      <c r="C235">
        <v>1</v>
      </c>
      <c r="E235" t="s">
        <v>713</v>
      </c>
      <c r="F235" s="1">
        <v>45899</v>
      </c>
      <c r="G235" s="1">
        <v>45899</v>
      </c>
      <c r="H235" t="s">
        <v>714</v>
      </c>
      <c r="I235" t="s">
        <v>715</v>
      </c>
      <c r="J235" t="s">
        <v>76</v>
      </c>
      <c r="K235" t="s">
        <v>557</v>
      </c>
      <c r="L235" t="s">
        <v>1364</v>
      </c>
      <c r="O235" t="b">
        <v>1</v>
      </c>
      <c r="Q235">
        <f t="shared" si="3"/>
        <v>1</v>
      </c>
      <c r="U235" s="2"/>
      <c r="V235" s="2"/>
      <c r="W235" s="2"/>
      <c r="X235" s="3"/>
    </row>
    <row r="236" spans="1:24" x14ac:dyDescent="0.4">
      <c r="A236">
        <v>265</v>
      </c>
      <c r="B236" t="s">
        <v>20</v>
      </c>
      <c r="C236">
        <v>1</v>
      </c>
      <c r="E236" t="s">
        <v>716</v>
      </c>
      <c r="F236" s="1">
        <v>45901</v>
      </c>
      <c r="G236" s="1">
        <v>45902</v>
      </c>
      <c r="H236" t="s">
        <v>694</v>
      </c>
      <c r="I236" t="s">
        <v>296</v>
      </c>
      <c r="J236" t="s">
        <v>76</v>
      </c>
      <c r="K236" t="s">
        <v>557</v>
      </c>
      <c r="L236" t="s">
        <v>1364</v>
      </c>
      <c r="M236" s="4">
        <v>43.145085999999999</v>
      </c>
      <c r="N236" s="4">
        <v>-2.972267</v>
      </c>
      <c r="O236" t="b">
        <v>1</v>
      </c>
      <c r="Q236">
        <f t="shared" si="3"/>
        <v>1</v>
      </c>
      <c r="U236" s="2"/>
      <c r="V236" s="2"/>
      <c r="W236" s="2"/>
      <c r="X236" s="3"/>
    </row>
    <row r="237" spans="1:24" x14ac:dyDescent="0.4">
      <c r="A237">
        <v>266</v>
      </c>
      <c r="B237" t="s">
        <v>20</v>
      </c>
      <c r="C237">
        <v>1</v>
      </c>
      <c r="E237" t="s">
        <v>717</v>
      </c>
      <c r="F237" s="1">
        <v>45901</v>
      </c>
      <c r="G237" s="1">
        <v>45902</v>
      </c>
      <c r="H237" t="s">
        <v>718</v>
      </c>
      <c r="I237" t="s">
        <v>718</v>
      </c>
      <c r="J237" t="s">
        <v>48</v>
      </c>
      <c r="K237" t="s">
        <v>557</v>
      </c>
      <c r="L237" t="s">
        <v>48</v>
      </c>
      <c r="M237" s="4">
        <v>43.121350999999997</v>
      </c>
      <c r="N237" s="4">
        <v>-3.1290680000000002</v>
      </c>
      <c r="O237" t="b">
        <v>1</v>
      </c>
      <c r="Q237">
        <f t="shared" si="3"/>
        <v>1</v>
      </c>
      <c r="U237" s="2"/>
      <c r="V237" s="2"/>
      <c r="W237" s="2"/>
      <c r="X237" s="3"/>
    </row>
    <row r="238" spans="1:24" x14ac:dyDescent="0.4">
      <c r="A238">
        <v>267</v>
      </c>
      <c r="B238" t="s">
        <v>20</v>
      </c>
      <c r="C238">
        <v>2</v>
      </c>
      <c r="D238">
        <v>7</v>
      </c>
      <c r="E238" t="s">
        <v>719</v>
      </c>
      <c r="F238" s="1">
        <v>45887</v>
      </c>
      <c r="G238" s="1">
        <v>45887</v>
      </c>
      <c r="H238" t="s">
        <v>720</v>
      </c>
      <c r="I238" t="s">
        <v>720</v>
      </c>
      <c r="J238" t="s">
        <v>164</v>
      </c>
      <c r="K238" t="s">
        <v>214</v>
      </c>
      <c r="L238" t="s">
        <v>1385</v>
      </c>
      <c r="O238" t="b">
        <v>1</v>
      </c>
      <c r="Q238">
        <f t="shared" si="3"/>
        <v>3</v>
      </c>
      <c r="U238" s="2"/>
      <c r="V238" s="2"/>
      <c r="W238" s="2"/>
      <c r="X238" s="3"/>
    </row>
    <row r="239" spans="1:24" x14ac:dyDescent="0.4">
      <c r="A239">
        <v>268</v>
      </c>
      <c r="B239" t="s">
        <v>20</v>
      </c>
      <c r="C239">
        <v>2</v>
      </c>
      <c r="D239">
        <v>7</v>
      </c>
      <c r="E239" t="s">
        <v>721</v>
      </c>
      <c r="F239" s="1">
        <v>45887</v>
      </c>
      <c r="G239" s="1">
        <v>45887</v>
      </c>
      <c r="H239" t="s">
        <v>722</v>
      </c>
      <c r="I239" t="s">
        <v>722</v>
      </c>
      <c r="J239" t="s">
        <v>391</v>
      </c>
      <c r="K239" t="s">
        <v>1409</v>
      </c>
      <c r="L239" t="s">
        <v>392</v>
      </c>
      <c r="O239" t="b">
        <v>1</v>
      </c>
      <c r="Q239">
        <f t="shared" si="3"/>
        <v>4</v>
      </c>
      <c r="U239" s="2"/>
      <c r="V239" s="2"/>
      <c r="W239" s="2"/>
      <c r="X239" s="3"/>
    </row>
    <row r="240" spans="1:24" x14ac:dyDescent="0.4">
      <c r="A240">
        <v>269</v>
      </c>
      <c r="B240" t="s">
        <v>32</v>
      </c>
      <c r="C240">
        <v>2</v>
      </c>
      <c r="D240">
        <v>3</v>
      </c>
      <c r="E240" t="s">
        <v>723</v>
      </c>
      <c r="F240" s="1">
        <v>45887</v>
      </c>
      <c r="G240" s="1">
        <v>45887</v>
      </c>
      <c r="H240" t="s">
        <v>724</v>
      </c>
      <c r="I240" t="s">
        <v>725</v>
      </c>
      <c r="J240" t="s">
        <v>726</v>
      </c>
      <c r="K240" t="s">
        <v>1418</v>
      </c>
      <c r="L240" t="s">
        <v>1417</v>
      </c>
      <c r="O240" t="b">
        <v>1</v>
      </c>
      <c r="Q240" t="e">
        <f t="shared" si="3"/>
        <v>#N/A</v>
      </c>
      <c r="U240" s="2"/>
      <c r="V240" s="2"/>
      <c r="W240" s="2"/>
      <c r="X240" s="3"/>
    </row>
    <row r="241" spans="1:24" x14ac:dyDescent="0.4">
      <c r="A241">
        <v>270</v>
      </c>
      <c r="B241" t="s">
        <v>20</v>
      </c>
      <c r="C241">
        <v>2</v>
      </c>
      <c r="D241">
        <v>7</v>
      </c>
      <c r="E241" t="s">
        <v>728</v>
      </c>
      <c r="F241" s="1">
        <v>45887</v>
      </c>
      <c r="G241" s="1">
        <v>45887</v>
      </c>
      <c r="H241" t="s">
        <v>729</v>
      </c>
      <c r="I241" t="s">
        <v>730</v>
      </c>
      <c r="J241" t="s">
        <v>592</v>
      </c>
      <c r="K241" t="s">
        <v>288</v>
      </c>
      <c r="L241" t="s">
        <v>524</v>
      </c>
      <c r="O241" t="b">
        <v>1</v>
      </c>
      <c r="Q241">
        <f t="shared" si="3"/>
        <v>5</v>
      </c>
      <c r="U241" s="2"/>
      <c r="V241" s="2"/>
      <c r="W241" s="2"/>
      <c r="X241" s="3"/>
    </row>
    <row r="242" spans="1:24" x14ac:dyDescent="0.4">
      <c r="A242">
        <v>271</v>
      </c>
      <c r="B242" t="s">
        <v>20</v>
      </c>
      <c r="C242">
        <v>2</v>
      </c>
      <c r="D242">
        <v>7</v>
      </c>
      <c r="E242" t="s">
        <v>731</v>
      </c>
      <c r="F242" s="1">
        <v>45888</v>
      </c>
      <c r="G242" s="1">
        <v>45888</v>
      </c>
      <c r="H242" t="s">
        <v>732</v>
      </c>
      <c r="I242" t="s">
        <v>732</v>
      </c>
      <c r="J242" t="s">
        <v>28</v>
      </c>
      <c r="K242" t="s">
        <v>557</v>
      </c>
      <c r="L242" t="s">
        <v>28</v>
      </c>
      <c r="O242" t="b">
        <v>1</v>
      </c>
      <c r="Q242">
        <f t="shared" si="3"/>
        <v>1</v>
      </c>
      <c r="U242" s="2"/>
      <c r="V242" s="2"/>
      <c r="W242" s="2"/>
      <c r="X242" s="3"/>
    </row>
    <row r="243" spans="1:24" x14ac:dyDescent="0.4">
      <c r="A243">
        <v>272</v>
      </c>
      <c r="B243" t="s">
        <v>20</v>
      </c>
      <c r="C243">
        <v>2</v>
      </c>
      <c r="D243">
        <v>7</v>
      </c>
      <c r="E243" t="s">
        <v>733</v>
      </c>
      <c r="F243" s="1">
        <v>45890</v>
      </c>
      <c r="G243" s="1">
        <v>45890</v>
      </c>
      <c r="H243" t="s">
        <v>734</v>
      </c>
      <c r="I243" t="s">
        <v>734</v>
      </c>
      <c r="J243" t="s">
        <v>28</v>
      </c>
      <c r="K243" t="s">
        <v>557</v>
      </c>
      <c r="L243" t="s">
        <v>28</v>
      </c>
      <c r="O243" t="b">
        <v>1</v>
      </c>
      <c r="Q243">
        <f t="shared" si="3"/>
        <v>1</v>
      </c>
      <c r="U243" s="2"/>
      <c r="V243" s="2"/>
      <c r="W243" s="2"/>
      <c r="X243" s="3"/>
    </row>
    <row r="244" spans="1:24" x14ac:dyDescent="0.4">
      <c r="A244">
        <v>273</v>
      </c>
      <c r="B244" t="s">
        <v>20</v>
      </c>
      <c r="C244">
        <v>2</v>
      </c>
      <c r="D244">
        <v>7</v>
      </c>
      <c r="E244" t="s">
        <v>735</v>
      </c>
      <c r="F244" s="1">
        <v>45890</v>
      </c>
      <c r="G244" s="1">
        <v>45890</v>
      </c>
      <c r="H244" t="s">
        <v>736</v>
      </c>
      <c r="I244" t="s">
        <v>736</v>
      </c>
      <c r="J244" t="s">
        <v>66</v>
      </c>
      <c r="K244" t="s">
        <v>288</v>
      </c>
      <c r="L244" t="s">
        <v>1395</v>
      </c>
      <c r="O244" t="b">
        <v>1</v>
      </c>
      <c r="Q244">
        <f t="shared" si="3"/>
        <v>5</v>
      </c>
      <c r="U244" s="2"/>
      <c r="V244" s="2"/>
      <c r="W244" s="2"/>
      <c r="X244" s="3"/>
    </row>
    <row r="245" spans="1:24" x14ac:dyDescent="0.4">
      <c r="A245">
        <v>274</v>
      </c>
      <c r="B245" t="s">
        <v>20</v>
      </c>
      <c r="C245">
        <v>2</v>
      </c>
      <c r="D245">
        <v>7</v>
      </c>
      <c r="E245" t="s">
        <v>737</v>
      </c>
      <c r="F245" s="1">
        <v>45894</v>
      </c>
      <c r="G245" s="1">
        <v>45894</v>
      </c>
      <c r="H245" t="s">
        <v>738</v>
      </c>
      <c r="I245" t="s">
        <v>738</v>
      </c>
      <c r="J245" t="s">
        <v>660</v>
      </c>
      <c r="K245" t="s">
        <v>1409</v>
      </c>
      <c r="L245" t="s">
        <v>392</v>
      </c>
      <c r="O245" t="b">
        <v>1</v>
      </c>
      <c r="Q245">
        <f t="shared" si="3"/>
        <v>4</v>
      </c>
      <c r="U245" s="2"/>
      <c r="V245" s="2"/>
      <c r="W245" s="2"/>
      <c r="X245" s="3"/>
    </row>
    <row r="246" spans="1:24" x14ac:dyDescent="0.4">
      <c r="A246">
        <v>276</v>
      </c>
      <c r="B246" t="s">
        <v>20</v>
      </c>
      <c r="C246">
        <v>2</v>
      </c>
      <c r="D246">
        <v>7</v>
      </c>
      <c r="E246" t="s">
        <v>739</v>
      </c>
      <c r="F246" s="1">
        <v>45895</v>
      </c>
      <c r="G246" s="1">
        <v>45895</v>
      </c>
      <c r="H246" t="s">
        <v>740</v>
      </c>
      <c r="I246" t="s">
        <v>741</v>
      </c>
      <c r="J246" t="s">
        <v>742</v>
      </c>
      <c r="K246" t="s">
        <v>557</v>
      </c>
      <c r="L246" t="s">
        <v>1364</v>
      </c>
      <c r="O246" t="b">
        <v>1</v>
      </c>
      <c r="Q246">
        <f t="shared" si="3"/>
        <v>1</v>
      </c>
      <c r="U246" s="2"/>
      <c r="V246" s="2"/>
      <c r="W246" s="2"/>
      <c r="X246" s="3"/>
    </row>
    <row r="247" spans="1:24" x14ac:dyDescent="0.4">
      <c r="A247">
        <v>277</v>
      </c>
      <c r="B247" t="s">
        <v>20</v>
      </c>
      <c r="C247">
        <v>2</v>
      </c>
      <c r="D247">
        <v>7</v>
      </c>
      <c r="E247" t="s">
        <v>743</v>
      </c>
      <c r="F247" s="1">
        <v>45894</v>
      </c>
      <c r="G247" s="1">
        <v>45894</v>
      </c>
      <c r="H247" t="s">
        <v>744</v>
      </c>
      <c r="I247" t="s">
        <v>744</v>
      </c>
      <c r="J247" t="s">
        <v>76</v>
      </c>
      <c r="K247" t="s">
        <v>557</v>
      </c>
      <c r="L247" t="s">
        <v>1364</v>
      </c>
      <c r="O247" t="b">
        <v>1</v>
      </c>
      <c r="Q247">
        <f t="shared" si="3"/>
        <v>1</v>
      </c>
      <c r="U247" s="2"/>
      <c r="V247" s="2"/>
      <c r="W247" s="2"/>
      <c r="X247" s="3"/>
    </row>
    <row r="248" spans="1:24" x14ac:dyDescent="0.4">
      <c r="A248">
        <v>279</v>
      </c>
      <c r="B248" t="s">
        <v>20</v>
      </c>
      <c r="C248">
        <v>2</v>
      </c>
      <c r="D248">
        <v>19</v>
      </c>
      <c r="E248" t="s">
        <v>745</v>
      </c>
      <c r="F248" s="1">
        <v>45895</v>
      </c>
      <c r="G248" s="1">
        <v>45895</v>
      </c>
      <c r="H248" t="s">
        <v>746</v>
      </c>
      <c r="I248" t="s">
        <v>746</v>
      </c>
      <c r="J248" t="s">
        <v>747</v>
      </c>
      <c r="K248" t="s">
        <v>557</v>
      </c>
      <c r="L248" t="s">
        <v>1417</v>
      </c>
      <c r="O248" t="b">
        <v>1</v>
      </c>
      <c r="Q248" t="e">
        <f t="shared" si="3"/>
        <v>#N/A</v>
      </c>
      <c r="U248" s="2"/>
      <c r="V248" s="2"/>
      <c r="W248" s="2"/>
      <c r="X248" s="3"/>
    </row>
    <row r="249" spans="1:24" x14ac:dyDescent="0.4">
      <c r="A249">
        <v>280</v>
      </c>
      <c r="B249" t="s">
        <v>15</v>
      </c>
      <c r="C249">
        <v>2</v>
      </c>
      <c r="D249">
        <v>1</v>
      </c>
      <c r="E249" t="s">
        <v>748</v>
      </c>
      <c r="F249" s="1">
        <v>45895</v>
      </c>
      <c r="G249" s="1">
        <v>45895</v>
      </c>
      <c r="H249" t="s">
        <v>749</v>
      </c>
      <c r="I249" t="s">
        <v>750</v>
      </c>
      <c r="J249" t="s">
        <v>751</v>
      </c>
      <c r="K249" t="s">
        <v>557</v>
      </c>
      <c r="L249" t="s">
        <v>28</v>
      </c>
      <c r="O249" t="b">
        <v>1</v>
      </c>
      <c r="Q249">
        <f t="shared" si="3"/>
        <v>1</v>
      </c>
      <c r="U249" s="2"/>
      <c r="V249" s="2"/>
      <c r="W249" s="2"/>
      <c r="X249" s="3"/>
    </row>
    <row r="250" spans="1:24" x14ac:dyDescent="0.4">
      <c r="A250">
        <v>281</v>
      </c>
      <c r="B250" t="s">
        <v>20</v>
      </c>
      <c r="C250">
        <v>2</v>
      </c>
      <c r="D250">
        <v>4</v>
      </c>
      <c r="E250" t="s">
        <v>752</v>
      </c>
      <c r="F250" s="1">
        <v>45896</v>
      </c>
      <c r="G250" s="1">
        <v>45896</v>
      </c>
      <c r="H250" t="s">
        <v>753</v>
      </c>
      <c r="I250" t="s">
        <v>754</v>
      </c>
      <c r="J250" t="s">
        <v>751</v>
      </c>
      <c r="K250" t="s">
        <v>557</v>
      </c>
      <c r="L250" t="s">
        <v>28</v>
      </c>
      <c r="O250" t="b">
        <v>1</v>
      </c>
      <c r="Q250">
        <f t="shared" si="3"/>
        <v>1</v>
      </c>
      <c r="U250" s="2"/>
      <c r="V250" s="2"/>
      <c r="W250" s="2"/>
      <c r="X250" s="3"/>
    </row>
    <row r="251" spans="1:24" x14ac:dyDescent="0.4">
      <c r="A251">
        <v>282</v>
      </c>
      <c r="B251" t="s">
        <v>15</v>
      </c>
      <c r="C251">
        <v>2</v>
      </c>
      <c r="D251">
        <v>5</v>
      </c>
      <c r="E251" t="s">
        <v>755</v>
      </c>
      <c r="F251" s="1">
        <v>45897</v>
      </c>
      <c r="G251" s="1">
        <v>45897</v>
      </c>
      <c r="H251" t="s">
        <v>756</v>
      </c>
      <c r="I251" t="s">
        <v>757</v>
      </c>
      <c r="J251" t="s">
        <v>751</v>
      </c>
      <c r="K251" t="s">
        <v>557</v>
      </c>
      <c r="L251" t="s">
        <v>28</v>
      </c>
      <c r="O251" t="b">
        <v>1</v>
      </c>
      <c r="Q251">
        <f t="shared" si="3"/>
        <v>1</v>
      </c>
      <c r="U251" s="2"/>
      <c r="V251" s="2"/>
      <c r="W251" s="2"/>
      <c r="X251" s="3"/>
    </row>
    <row r="252" spans="1:24" x14ac:dyDescent="0.4">
      <c r="A252">
        <v>283</v>
      </c>
      <c r="B252" t="s">
        <v>20</v>
      </c>
      <c r="C252">
        <v>2</v>
      </c>
      <c r="D252">
        <v>19</v>
      </c>
      <c r="E252" t="s">
        <v>758</v>
      </c>
      <c r="F252" s="1">
        <v>45897</v>
      </c>
      <c r="G252" s="1">
        <v>45897</v>
      </c>
      <c r="H252" t="s">
        <v>759</v>
      </c>
      <c r="I252" t="s">
        <v>759</v>
      </c>
      <c r="J252" t="s">
        <v>751</v>
      </c>
      <c r="K252" t="s">
        <v>557</v>
      </c>
      <c r="L252" t="s">
        <v>28</v>
      </c>
      <c r="O252" t="b">
        <v>1</v>
      </c>
      <c r="Q252">
        <f t="shared" si="3"/>
        <v>1</v>
      </c>
      <c r="U252" s="2"/>
      <c r="V252" s="2"/>
      <c r="W252" s="2"/>
      <c r="X252" s="3"/>
    </row>
    <row r="253" spans="1:24" x14ac:dyDescent="0.4">
      <c r="A253">
        <v>284</v>
      </c>
      <c r="B253" t="s">
        <v>20</v>
      </c>
      <c r="C253">
        <v>2</v>
      </c>
      <c r="D253">
        <v>11</v>
      </c>
      <c r="E253" t="s">
        <v>760</v>
      </c>
      <c r="F253" s="1">
        <v>45898</v>
      </c>
      <c r="G253" s="1">
        <v>45898</v>
      </c>
      <c r="H253" t="s">
        <v>761</v>
      </c>
      <c r="I253" t="s">
        <v>762</v>
      </c>
      <c r="J253" t="s">
        <v>763</v>
      </c>
      <c r="K253" t="s">
        <v>1418</v>
      </c>
      <c r="L253" t="s">
        <v>1417</v>
      </c>
      <c r="O253" t="b">
        <v>1</v>
      </c>
      <c r="Q253" t="e">
        <f t="shared" si="3"/>
        <v>#N/A</v>
      </c>
      <c r="U253" s="2"/>
      <c r="V253" s="2"/>
      <c r="W253" s="2"/>
      <c r="X253" s="3"/>
    </row>
    <row r="254" spans="1:24" x14ac:dyDescent="0.4">
      <c r="A254">
        <v>286</v>
      </c>
      <c r="B254" t="s">
        <v>20</v>
      </c>
      <c r="C254">
        <v>2</v>
      </c>
      <c r="D254">
        <v>14</v>
      </c>
      <c r="E254" t="s">
        <v>764</v>
      </c>
      <c r="F254" s="1">
        <v>45894</v>
      </c>
      <c r="G254" s="1">
        <v>45894</v>
      </c>
      <c r="H254" t="s">
        <v>765</v>
      </c>
      <c r="I254" t="s">
        <v>766</v>
      </c>
      <c r="J254" t="s">
        <v>179</v>
      </c>
      <c r="K254" t="s">
        <v>557</v>
      </c>
      <c r="L254" t="s">
        <v>1363</v>
      </c>
      <c r="O254" t="b">
        <v>1</v>
      </c>
      <c r="Q254">
        <f t="shared" si="3"/>
        <v>1</v>
      </c>
      <c r="U254" s="2"/>
      <c r="V254" s="2"/>
      <c r="W254" s="2"/>
      <c r="X254" s="2"/>
    </row>
    <row r="255" spans="1:24" x14ac:dyDescent="0.4">
      <c r="A255">
        <v>287</v>
      </c>
      <c r="B255" t="s">
        <v>20</v>
      </c>
      <c r="C255">
        <v>1</v>
      </c>
      <c r="E255" t="s">
        <v>767</v>
      </c>
      <c r="F255" s="1">
        <v>45894</v>
      </c>
      <c r="G255" s="1">
        <v>45894</v>
      </c>
      <c r="H255" t="s">
        <v>768</v>
      </c>
      <c r="I255" t="s">
        <v>769</v>
      </c>
      <c r="J255" t="s">
        <v>76</v>
      </c>
      <c r="K255" t="s">
        <v>557</v>
      </c>
      <c r="L255" t="s">
        <v>1364</v>
      </c>
      <c r="O255" t="b">
        <v>1</v>
      </c>
      <c r="Q255">
        <f t="shared" si="3"/>
        <v>1</v>
      </c>
    </row>
    <row r="256" spans="1:24" x14ac:dyDescent="0.4">
      <c r="A256">
        <v>290</v>
      </c>
      <c r="B256" t="s">
        <v>20</v>
      </c>
      <c r="C256">
        <v>1</v>
      </c>
      <c r="E256" t="s">
        <v>770</v>
      </c>
      <c r="F256" s="1">
        <v>45896</v>
      </c>
      <c r="G256" s="1">
        <v>45896</v>
      </c>
      <c r="H256" t="s">
        <v>771</v>
      </c>
      <c r="I256" t="s">
        <v>771</v>
      </c>
      <c r="J256" t="s">
        <v>772</v>
      </c>
      <c r="K256" t="s">
        <v>557</v>
      </c>
      <c r="L256" t="s">
        <v>1364</v>
      </c>
      <c r="O256" t="b">
        <v>1</v>
      </c>
      <c r="Q256">
        <f t="shared" si="3"/>
        <v>1</v>
      </c>
    </row>
    <row r="257" spans="1:17" x14ac:dyDescent="0.4">
      <c r="A257">
        <v>291</v>
      </c>
      <c r="B257" t="s">
        <v>15</v>
      </c>
      <c r="C257">
        <v>2</v>
      </c>
      <c r="D257">
        <v>1</v>
      </c>
      <c r="E257" t="s">
        <v>773</v>
      </c>
      <c r="F257" s="1">
        <v>45896</v>
      </c>
      <c r="G257" s="1">
        <v>45896</v>
      </c>
      <c r="H257" t="s">
        <v>774</v>
      </c>
      <c r="I257" t="s">
        <v>775</v>
      </c>
      <c r="J257" t="s">
        <v>76</v>
      </c>
      <c r="K257" t="s">
        <v>557</v>
      </c>
      <c r="L257" t="s">
        <v>1364</v>
      </c>
      <c r="O257" t="b">
        <v>1</v>
      </c>
      <c r="Q257">
        <f t="shared" si="3"/>
        <v>1</v>
      </c>
    </row>
    <row r="258" spans="1:17" x14ac:dyDescent="0.4">
      <c r="A258">
        <v>292</v>
      </c>
      <c r="B258" t="s">
        <v>20</v>
      </c>
      <c r="C258">
        <v>1</v>
      </c>
      <c r="E258" t="s">
        <v>776</v>
      </c>
      <c r="F258" s="1">
        <v>45897</v>
      </c>
      <c r="G258" s="1">
        <v>45897</v>
      </c>
      <c r="H258" t="s">
        <v>777</v>
      </c>
      <c r="I258" t="s">
        <v>777</v>
      </c>
      <c r="J258" t="s">
        <v>76</v>
      </c>
      <c r="K258" t="s">
        <v>557</v>
      </c>
      <c r="L258" t="s">
        <v>1364</v>
      </c>
      <c r="O258" t="b">
        <v>1</v>
      </c>
      <c r="Q258">
        <f t="shared" si="3"/>
        <v>1</v>
      </c>
    </row>
    <row r="259" spans="1:17" x14ac:dyDescent="0.4">
      <c r="A259">
        <v>293</v>
      </c>
      <c r="B259" t="s">
        <v>20</v>
      </c>
      <c r="C259">
        <v>2</v>
      </c>
      <c r="D259">
        <v>12</v>
      </c>
      <c r="E259" t="s">
        <v>778</v>
      </c>
      <c r="F259" s="1">
        <v>45897</v>
      </c>
      <c r="G259" s="1">
        <v>45897</v>
      </c>
      <c r="H259" t="s">
        <v>779</v>
      </c>
      <c r="I259" t="s">
        <v>780</v>
      </c>
      <c r="J259" t="s">
        <v>76</v>
      </c>
      <c r="K259" t="s">
        <v>557</v>
      </c>
      <c r="L259" t="s">
        <v>1364</v>
      </c>
      <c r="O259" t="b">
        <v>1</v>
      </c>
      <c r="Q259">
        <f t="shared" ref="Q259:Q322" si="4">VLOOKUP(L259,$V$2:$W$253,2,FALSE)</f>
        <v>1</v>
      </c>
    </row>
    <row r="260" spans="1:17" x14ac:dyDescent="0.4">
      <c r="A260">
        <v>294</v>
      </c>
      <c r="B260" t="s">
        <v>20</v>
      </c>
      <c r="C260">
        <v>2</v>
      </c>
      <c r="D260">
        <v>8</v>
      </c>
      <c r="E260" t="s">
        <v>781</v>
      </c>
      <c r="F260" s="1">
        <v>45897</v>
      </c>
      <c r="G260" s="1">
        <v>45897</v>
      </c>
      <c r="H260" t="s">
        <v>782</v>
      </c>
      <c r="I260" t="s">
        <v>783</v>
      </c>
      <c r="J260" t="s">
        <v>76</v>
      </c>
      <c r="K260" t="s">
        <v>557</v>
      </c>
      <c r="L260" t="s">
        <v>1364</v>
      </c>
      <c r="O260" t="b">
        <v>1</v>
      </c>
      <c r="Q260">
        <f t="shared" si="4"/>
        <v>1</v>
      </c>
    </row>
    <row r="261" spans="1:17" x14ac:dyDescent="0.4">
      <c r="A261">
        <v>295</v>
      </c>
      <c r="B261" t="s">
        <v>20</v>
      </c>
      <c r="C261">
        <v>2</v>
      </c>
      <c r="D261">
        <v>10</v>
      </c>
      <c r="E261" t="s">
        <v>784</v>
      </c>
      <c r="F261" s="1">
        <v>45898</v>
      </c>
      <c r="G261" s="1">
        <v>45898</v>
      </c>
      <c r="H261" t="s">
        <v>785</v>
      </c>
      <c r="I261" t="s">
        <v>786</v>
      </c>
      <c r="J261" t="s">
        <v>76</v>
      </c>
      <c r="K261" t="s">
        <v>557</v>
      </c>
      <c r="L261" t="s">
        <v>1364</v>
      </c>
      <c r="O261" t="b">
        <v>1</v>
      </c>
      <c r="Q261">
        <f t="shared" si="4"/>
        <v>1</v>
      </c>
    </row>
    <row r="262" spans="1:17" x14ac:dyDescent="0.4">
      <c r="A262">
        <v>297</v>
      </c>
      <c r="B262" t="s">
        <v>20</v>
      </c>
      <c r="C262">
        <v>2</v>
      </c>
      <c r="D262">
        <v>9</v>
      </c>
      <c r="E262" t="s">
        <v>787</v>
      </c>
      <c r="F262" s="1">
        <v>45898</v>
      </c>
      <c r="G262" s="1">
        <v>45898</v>
      </c>
      <c r="H262" t="s">
        <v>788</v>
      </c>
      <c r="I262" t="s">
        <v>789</v>
      </c>
      <c r="J262" t="s">
        <v>76</v>
      </c>
      <c r="K262" t="s">
        <v>557</v>
      </c>
      <c r="L262" t="s">
        <v>1364</v>
      </c>
      <c r="O262" t="b">
        <v>1</v>
      </c>
      <c r="Q262">
        <f t="shared" si="4"/>
        <v>1</v>
      </c>
    </row>
    <row r="263" spans="1:17" x14ac:dyDescent="0.4">
      <c r="A263">
        <v>298</v>
      </c>
      <c r="B263" t="s">
        <v>20</v>
      </c>
      <c r="C263">
        <v>2</v>
      </c>
      <c r="D263">
        <v>10</v>
      </c>
      <c r="E263" t="s">
        <v>790</v>
      </c>
      <c r="F263" s="1">
        <v>45901</v>
      </c>
      <c r="G263" s="1">
        <v>45901</v>
      </c>
      <c r="H263" t="s">
        <v>791</v>
      </c>
      <c r="I263" t="s">
        <v>792</v>
      </c>
      <c r="J263" t="s">
        <v>28</v>
      </c>
      <c r="K263" t="s">
        <v>557</v>
      </c>
      <c r="L263" t="s">
        <v>28</v>
      </c>
      <c r="O263" t="b">
        <v>1</v>
      </c>
      <c r="Q263">
        <f t="shared" si="4"/>
        <v>1</v>
      </c>
    </row>
    <row r="264" spans="1:17" x14ac:dyDescent="0.4">
      <c r="A264">
        <v>300</v>
      </c>
      <c r="B264" t="s">
        <v>15</v>
      </c>
      <c r="C264">
        <v>2</v>
      </c>
      <c r="D264">
        <v>3</v>
      </c>
      <c r="E264" t="s">
        <v>793</v>
      </c>
      <c r="F264" s="1">
        <v>45901</v>
      </c>
      <c r="G264" s="1">
        <v>45901</v>
      </c>
      <c r="H264" t="s">
        <v>794</v>
      </c>
      <c r="I264" t="s">
        <v>795</v>
      </c>
      <c r="J264" t="s">
        <v>796</v>
      </c>
      <c r="K264" t="s">
        <v>557</v>
      </c>
      <c r="L264" t="s">
        <v>1363</v>
      </c>
      <c r="O264" t="b">
        <v>1</v>
      </c>
      <c r="Q264">
        <f t="shared" si="4"/>
        <v>1</v>
      </c>
    </row>
    <row r="265" spans="1:17" ht="218.6" x14ac:dyDescent="0.4">
      <c r="A265">
        <v>301</v>
      </c>
      <c r="B265" t="s">
        <v>20</v>
      </c>
      <c r="C265">
        <v>1</v>
      </c>
      <c r="E265" t="s">
        <v>797</v>
      </c>
      <c r="F265" s="1">
        <v>45901</v>
      </c>
      <c r="G265" s="1">
        <v>45925</v>
      </c>
      <c r="H265" t="s">
        <v>798</v>
      </c>
      <c r="I265" t="s">
        <v>799</v>
      </c>
      <c r="J265" t="s">
        <v>66</v>
      </c>
      <c r="K265" t="s">
        <v>288</v>
      </c>
      <c r="L265" t="s">
        <v>1395</v>
      </c>
      <c r="M265" s="5" t="s">
        <v>1362</v>
      </c>
      <c r="N265" s="4">
        <v>-2.9149560000000001</v>
      </c>
      <c r="O265" t="b">
        <v>1</v>
      </c>
      <c r="Q265">
        <f t="shared" si="4"/>
        <v>5</v>
      </c>
    </row>
    <row r="266" spans="1:17" x14ac:dyDescent="0.4">
      <c r="A266">
        <v>302</v>
      </c>
      <c r="B266" t="s">
        <v>20</v>
      </c>
      <c r="C266">
        <v>2</v>
      </c>
      <c r="D266">
        <v>7</v>
      </c>
      <c r="E266" t="s">
        <v>800</v>
      </c>
      <c r="F266" s="1">
        <v>45901</v>
      </c>
      <c r="G266" s="1">
        <v>45901</v>
      </c>
      <c r="H266" t="s">
        <v>801</v>
      </c>
      <c r="I266" t="s">
        <v>802</v>
      </c>
      <c r="J266" t="s">
        <v>76</v>
      </c>
      <c r="K266" t="s">
        <v>557</v>
      </c>
      <c r="L266" t="s">
        <v>1364</v>
      </c>
      <c r="O266" t="b">
        <v>1</v>
      </c>
      <c r="Q266">
        <f t="shared" si="4"/>
        <v>1</v>
      </c>
    </row>
    <row r="267" spans="1:17" x14ac:dyDescent="0.4">
      <c r="A267">
        <v>303</v>
      </c>
      <c r="B267" t="s">
        <v>32</v>
      </c>
      <c r="C267">
        <v>2</v>
      </c>
      <c r="D267">
        <v>3</v>
      </c>
      <c r="E267" t="s">
        <v>803</v>
      </c>
      <c r="F267" s="1">
        <v>45902</v>
      </c>
      <c r="G267" s="1">
        <v>45902</v>
      </c>
      <c r="H267" t="s">
        <v>804</v>
      </c>
      <c r="I267" t="s">
        <v>805</v>
      </c>
      <c r="J267" t="s">
        <v>224</v>
      </c>
      <c r="K267" t="s">
        <v>557</v>
      </c>
      <c r="L267" t="s">
        <v>1417</v>
      </c>
      <c r="O267" t="b">
        <v>1</v>
      </c>
      <c r="Q267" t="e">
        <f t="shared" si="4"/>
        <v>#N/A</v>
      </c>
    </row>
    <row r="268" spans="1:17" x14ac:dyDescent="0.4">
      <c r="A268">
        <v>304</v>
      </c>
      <c r="B268" t="s">
        <v>20</v>
      </c>
      <c r="C268">
        <v>2</v>
      </c>
      <c r="D268">
        <v>8</v>
      </c>
      <c r="E268" t="s">
        <v>806</v>
      </c>
      <c r="F268" s="1">
        <v>45902</v>
      </c>
      <c r="G268" s="1">
        <v>45902</v>
      </c>
      <c r="H268" t="s">
        <v>626</v>
      </c>
      <c r="I268" t="s">
        <v>807</v>
      </c>
      <c r="J268" t="s">
        <v>43</v>
      </c>
      <c r="K268" t="s">
        <v>214</v>
      </c>
      <c r="L268" t="s">
        <v>1385</v>
      </c>
      <c r="O268" t="b">
        <v>1</v>
      </c>
      <c r="Q268">
        <f t="shared" si="4"/>
        <v>3</v>
      </c>
    </row>
    <row r="269" spans="1:17" x14ac:dyDescent="0.4">
      <c r="A269">
        <v>305</v>
      </c>
      <c r="B269" t="s">
        <v>20</v>
      </c>
      <c r="C269">
        <v>1</v>
      </c>
      <c r="E269" t="s">
        <v>808</v>
      </c>
      <c r="F269" s="1">
        <v>45902</v>
      </c>
      <c r="G269" s="1">
        <v>45902</v>
      </c>
      <c r="H269" t="s">
        <v>809</v>
      </c>
      <c r="I269" t="s">
        <v>810</v>
      </c>
      <c r="J269" t="s">
        <v>811</v>
      </c>
      <c r="K269" t="s">
        <v>557</v>
      </c>
      <c r="L269" t="s">
        <v>1363</v>
      </c>
      <c r="M269" s="4">
        <v>43.080398000000002</v>
      </c>
      <c r="N269" s="4">
        <v>-3.0646239999999998</v>
      </c>
      <c r="O269" t="b">
        <v>1</v>
      </c>
      <c r="Q269">
        <f t="shared" si="4"/>
        <v>1</v>
      </c>
    </row>
    <row r="270" spans="1:17" x14ac:dyDescent="0.4">
      <c r="A270">
        <v>306</v>
      </c>
      <c r="B270" t="s">
        <v>20</v>
      </c>
      <c r="C270">
        <v>1</v>
      </c>
      <c r="E270" t="s">
        <v>812</v>
      </c>
      <c r="F270" s="1">
        <v>45902</v>
      </c>
      <c r="G270" s="1">
        <v>45902</v>
      </c>
      <c r="H270" t="s">
        <v>813</v>
      </c>
      <c r="I270" t="s">
        <v>814</v>
      </c>
      <c r="J270" t="s">
        <v>450</v>
      </c>
      <c r="K270" t="s">
        <v>557</v>
      </c>
      <c r="L270" t="s">
        <v>28</v>
      </c>
      <c r="M270" s="4">
        <v>43.055655999999999</v>
      </c>
      <c r="N270" s="4">
        <v>-2.9355920000000002</v>
      </c>
      <c r="O270" t="b">
        <v>1</v>
      </c>
      <c r="Q270">
        <f t="shared" si="4"/>
        <v>1</v>
      </c>
    </row>
    <row r="271" spans="1:17" x14ac:dyDescent="0.4">
      <c r="A271">
        <v>307</v>
      </c>
      <c r="B271" t="s">
        <v>15</v>
      </c>
      <c r="C271">
        <v>1</v>
      </c>
      <c r="E271" t="s">
        <v>815</v>
      </c>
      <c r="F271" s="1">
        <v>45903</v>
      </c>
      <c r="G271" s="1">
        <v>45903</v>
      </c>
      <c r="H271" t="s">
        <v>816</v>
      </c>
      <c r="I271" t="s">
        <v>817</v>
      </c>
      <c r="J271" t="s">
        <v>43</v>
      </c>
      <c r="K271" t="s">
        <v>214</v>
      </c>
      <c r="L271" t="s">
        <v>1385</v>
      </c>
      <c r="M271" s="4">
        <v>42.848688000000003</v>
      </c>
      <c r="N271" s="4">
        <v>-2.3915109999999999</v>
      </c>
      <c r="O271" t="b">
        <v>1</v>
      </c>
      <c r="Q271">
        <f t="shared" si="4"/>
        <v>3</v>
      </c>
    </row>
    <row r="272" spans="1:17" x14ac:dyDescent="0.4">
      <c r="A272">
        <v>308</v>
      </c>
      <c r="B272" t="s">
        <v>20</v>
      </c>
      <c r="C272">
        <v>1</v>
      </c>
      <c r="E272" t="s">
        <v>818</v>
      </c>
      <c r="F272" s="1">
        <v>45903</v>
      </c>
      <c r="G272" s="1">
        <v>45903</v>
      </c>
      <c r="H272" t="s">
        <v>819</v>
      </c>
      <c r="I272" t="s">
        <v>820</v>
      </c>
      <c r="J272" t="s">
        <v>48</v>
      </c>
      <c r="K272" t="s">
        <v>557</v>
      </c>
      <c r="L272" t="s">
        <v>48</v>
      </c>
      <c r="M272" s="4">
        <v>43.132922999999998</v>
      </c>
      <c r="N272" s="4">
        <v>-3.1159849999999998</v>
      </c>
      <c r="O272" t="b">
        <v>1</v>
      </c>
      <c r="Q272">
        <f t="shared" si="4"/>
        <v>1</v>
      </c>
    </row>
    <row r="273" spans="1:17" x14ac:dyDescent="0.4">
      <c r="A273">
        <v>309</v>
      </c>
      <c r="B273" t="s">
        <v>15</v>
      </c>
      <c r="C273">
        <v>1</v>
      </c>
      <c r="E273" t="s">
        <v>821</v>
      </c>
      <c r="F273" s="1">
        <v>45903</v>
      </c>
      <c r="G273" s="1">
        <v>45903</v>
      </c>
      <c r="H273" t="s">
        <v>822</v>
      </c>
      <c r="I273" t="s">
        <v>823</v>
      </c>
      <c r="J273" t="s">
        <v>257</v>
      </c>
      <c r="K273" t="s">
        <v>214</v>
      </c>
      <c r="L273" t="s">
        <v>258</v>
      </c>
      <c r="M273" s="4">
        <v>42.842024000000002</v>
      </c>
      <c r="N273" s="4">
        <v>-2.5199950000000002</v>
      </c>
      <c r="O273" t="b">
        <v>1</v>
      </c>
      <c r="Q273">
        <f t="shared" si="4"/>
        <v>3</v>
      </c>
    </row>
    <row r="274" spans="1:17" x14ac:dyDescent="0.4">
      <c r="A274">
        <v>310</v>
      </c>
      <c r="B274" t="s">
        <v>32</v>
      </c>
      <c r="C274">
        <v>2</v>
      </c>
      <c r="D274">
        <v>3</v>
      </c>
      <c r="E274" t="s">
        <v>824</v>
      </c>
      <c r="F274" s="1">
        <v>45903</v>
      </c>
      <c r="G274" s="1">
        <v>45903</v>
      </c>
      <c r="H274" t="s">
        <v>825</v>
      </c>
      <c r="I274" t="s">
        <v>826</v>
      </c>
      <c r="J274" t="s">
        <v>224</v>
      </c>
      <c r="K274" t="s">
        <v>557</v>
      </c>
      <c r="L274" t="s">
        <v>1417</v>
      </c>
      <c r="O274" t="b">
        <v>1</v>
      </c>
      <c r="Q274" t="e">
        <f t="shared" si="4"/>
        <v>#N/A</v>
      </c>
    </row>
    <row r="275" spans="1:17" x14ac:dyDescent="0.4">
      <c r="A275">
        <v>311</v>
      </c>
      <c r="B275" t="s">
        <v>20</v>
      </c>
      <c r="C275">
        <v>2</v>
      </c>
      <c r="D275">
        <v>8</v>
      </c>
      <c r="E275" t="s">
        <v>827</v>
      </c>
      <c r="F275" s="1">
        <v>45903</v>
      </c>
      <c r="G275" s="1">
        <v>45903</v>
      </c>
      <c r="H275" t="s">
        <v>828</v>
      </c>
      <c r="I275" t="s">
        <v>829</v>
      </c>
      <c r="J275" t="s">
        <v>830</v>
      </c>
      <c r="K275" t="s">
        <v>557</v>
      </c>
      <c r="L275" t="s">
        <v>28</v>
      </c>
      <c r="O275" t="b">
        <v>1</v>
      </c>
      <c r="Q275">
        <f t="shared" si="4"/>
        <v>1</v>
      </c>
    </row>
    <row r="276" spans="1:17" x14ac:dyDescent="0.4">
      <c r="A276">
        <v>312</v>
      </c>
      <c r="B276" t="s">
        <v>20</v>
      </c>
      <c r="C276">
        <v>1</v>
      </c>
      <c r="E276" t="s">
        <v>831</v>
      </c>
      <c r="F276" s="1">
        <v>45903</v>
      </c>
      <c r="G276" s="1">
        <v>45903</v>
      </c>
      <c r="H276" t="s">
        <v>832</v>
      </c>
      <c r="I276" t="s">
        <v>832</v>
      </c>
      <c r="J276" t="s">
        <v>48</v>
      </c>
      <c r="K276" t="s">
        <v>557</v>
      </c>
      <c r="L276" t="s">
        <v>48</v>
      </c>
      <c r="M276" s="4">
        <v>43.138378000000003</v>
      </c>
      <c r="N276" s="4">
        <v>-3.1126670000000001</v>
      </c>
      <c r="O276" t="b">
        <v>1</v>
      </c>
      <c r="Q276">
        <f t="shared" si="4"/>
        <v>1</v>
      </c>
    </row>
    <row r="277" spans="1:17" x14ac:dyDescent="0.4">
      <c r="A277">
        <v>313</v>
      </c>
      <c r="B277" t="s">
        <v>32</v>
      </c>
      <c r="C277">
        <v>2</v>
      </c>
      <c r="D277">
        <v>3</v>
      </c>
      <c r="E277" t="s">
        <v>833</v>
      </c>
      <c r="F277" s="1">
        <v>45903</v>
      </c>
      <c r="G277" s="1">
        <v>45903</v>
      </c>
      <c r="H277" t="s">
        <v>834</v>
      </c>
      <c r="I277" t="s">
        <v>834</v>
      </c>
      <c r="J277" t="s">
        <v>553</v>
      </c>
      <c r="K277" t="s">
        <v>288</v>
      </c>
      <c r="L277" t="s">
        <v>1395</v>
      </c>
      <c r="O277" t="b">
        <v>1</v>
      </c>
      <c r="Q277">
        <f t="shared" si="4"/>
        <v>5</v>
      </c>
    </row>
    <row r="278" spans="1:17" x14ac:dyDescent="0.4">
      <c r="A278">
        <v>314</v>
      </c>
      <c r="B278" t="s">
        <v>32</v>
      </c>
      <c r="C278">
        <v>2</v>
      </c>
      <c r="D278">
        <v>3</v>
      </c>
      <c r="E278" t="s">
        <v>835</v>
      </c>
      <c r="F278" s="1">
        <v>45903</v>
      </c>
      <c r="G278" s="1">
        <v>45903</v>
      </c>
      <c r="H278" t="s">
        <v>836</v>
      </c>
      <c r="I278" t="s">
        <v>836</v>
      </c>
      <c r="J278" t="s">
        <v>641</v>
      </c>
      <c r="K278" t="s">
        <v>557</v>
      </c>
      <c r="L278" t="s">
        <v>28</v>
      </c>
      <c r="O278" t="b">
        <v>1</v>
      </c>
      <c r="Q278">
        <f t="shared" si="4"/>
        <v>1</v>
      </c>
    </row>
    <row r="279" spans="1:17" x14ac:dyDescent="0.4">
      <c r="A279">
        <v>315</v>
      </c>
      <c r="B279" t="s">
        <v>20</v>
      </c>
      <c r="C279">
        <v>1</v>
      </c>
      <c r="E279" t="s">
        <v>837</v>
      </c>
      <c r="F279" s="1">
        <v>45903</v>
      </c>
      <c r="G279" s="1">
        <v>45903</v>
      </c>
      <c r="H279" t="s">
        <v>838</v>
      </c>
      <c r="I279" t="s">
        <v>838</v>
      </c>
      <c r="J279" t="s">
        <v>605</v>
      </c>
      <c r="K279" t="s">
        <v>557</v>
      </c>
      <c r="L279" t="s">
        <v>1363</v>
      </c>
      <c r="M279" s="4">
        <v>43.082523000000002</v>
      </c>
      <c r="N279" s="4">
        <v>-3.0119500000000001</v>
      </c>
      <c r="O279" t="b">
        <v>1</v>
      </c>
      <c r="Q279">
        <f t="shared" si="4"/>
        <v>1</v>
      </c>
    </row>
    <row r="280" spans="1:17" x14ac:dyDescent="0.4">
      <c r="A280">
        <v>316</v>
      </c>
      <c r="B280" t="s">
        <v>32</v>
      </c>
      <c r="C280">
        <v>1</v>
      </c>
      <c r="E280" t="s">
        <v>839</v>
      </c>
      <c r="F280" s="1">
        <v>45904</v>
      </c>
      <c r="G280" s="1">
        <v>45904</v>
      </c>
      <c r="H280" t="s">
        <v>840</v>
      </c>
      <c r="I280" t="s">
        <v>840</v>
      </c>
      <c r="J280" t="s">
        <v>24</v>
      </c>
      <c r="K280" t="s">
        <v>557</v>
      </c>
      <c r="L280" t="s">
        <v>1363</v>
      </c>
      <c r="M280" s="4">
        <v>43.074505000000002</v>
      </c>
      <c r="N280" s="4">
        <v>-3.1131190000000002</v>
      </c>
      <c r="O280" t="b">
        <v>1</v>
      </c>
      <c r="Q280">
        <f t="shared" si="4"/>
        <v>1</v>
      </c>
    </row>
    <row r="281" spans="1:17" x14ac:dyDescent="0.4">
      <c r="A281">
        <v>317</v>
      </c>
      <c r="B281" t="s">
        <v>20</v>
      </c>
      <c r="C281">
        <v>2</v>
      </c>
      <c r="D281">
        <v>10</v>
      </c>
      <c r="E281" t="s">
        <v>841</v>
      </c>
      <c r="F281" s="1">
        <v>45904</v>
      </c>
      <c r="G281" s="1">
        <v>45904</v>
      </c>
      <c r="H281" t="s">
        <v>842</v>
      </c>
      <c r="I281" t="s">
        <v>842</v>
      </c>
      <c r="J281" t="s">
        <v>28</v>
      </c>
      <c r="K281" t="s">
        <v>557</v>
      </c>
      <c r="L281" t="s">
        <v>28</v>
      </c>
      <c r="O281" t="b">
        <v>1</v>
      </c>
      <c r="Q281">
        <f t="shared" si="4"/>
        <v>1</v>
      </c>
    </row>
    <row r="282" spans="1:17" x14ac:dyDescent="0.4">
      <c r="A282">
        <v>318</v>
      </c>
      <c r="B282" t="s">
        <v>20</v>
      </c>
      <c r="C282">
        <v>2</v>
      </c>
      <c r="D282">
        <v>7</v>
      </c>
      <c r="E282" t="s">
        <v>843</v>
      </c>
      <c r="F282" s="1">
        <v>45904</v>
      </c>
      <c r="G282" s="1">
        <v>45904</v>
      </c>
      <c r="H282" t="s">
        <v>844</v>
      </c>
      <c r="I282" t="s">
        <v>844</v>
      </c>
      <c r="J282" t="s">
        <v>76</v>
      </c>
      <c r="K282" t="s">
        <v>557</v>
      </c>
      <c r="L282" t="s">
        <v>1364</v>
      </c>
      <c r="O282" t="b">
        <v>1</v>
      </c>
      <c r="Q282">
        <f t="shared" si="4"/>
        <v>1</v>
      </c>
    </row>
    <row r="283" spans="1:17" x14ac:dyDescent="0.4">
      <c r="A283">
        <v>319</v>
      </c>
      <c r="B283" t="s">
        <v>15</v>
      </c>
      <c r="C283">
        <v>1</v>
      </c>
      <c r="E283" t="s">
        <v>845</v>
      </c>
      <c r="F283" s="1">
        <v>45904</v>
      </c>
      <c r="G283" s="1">
        <v>45904</v>
      </c>
      <c r="H283" t="s">
        <v>846</v>
      </c>
      <c r="I283" t="s">
        <v>846</v>
      </c>
      <c r="J283" t="s">
        <v>80</v>
      </c>
      <c r="K283" t="s">
        <v>288</v>
      </c>
      <c r="L283" t="s">
        <v>1395</v>
      </c>
      <c r="M283" s="4">
        <v>42.801546000000002</v>
      </c>
      <c r="N283" s="4">
        <v>-2.8993639999999998</v>
      </c>
      <c r="O283" t="b">
        <v>1</v>
      </c>
      <c r="Q283">
        <f t="shared" si="4"/>
        <v>5</v>
      </c>
    </row>
    <row r="284" spans="1:17" x14ac:dyDescent="0.4">
      <c r="A284">
        <v>320</v>
      </c>
      <c r="B284" t="s">
        <v>32</v>
      </c>
      <c r="C284">
        <v>1</v>
      </c>
      <c r="E284" t="s">
        <v>847</v>
      </c>
      <c r="F284" s="1">
        <v>45902</v>
      </c>
      <c r="G284" s="1">
        <v>45902</v>
      </c>
      <c r="H284" t="s">
        <v>848</v>
      </c>
      <c r="I284" t="s">
        <v>849</v>
      </c>
      <c r="J284" t="s">
        <v>124</v>
      </c>
      <c r="K284" t="s">
        <v>1412</v>
      </c>
      <c r="L284" t="s">
        <v>399</v>
      </c>
      <c r="M284" s="4">
        <v>42.739490000000004</v>
      </c>
      <c r="N284" s="4">
        <v>-2.4466700000000001</v>
      </c>
      <c r="O284" t="b">
        <v>1</v>
      </c>
      <c r="Q284">
        <f t="shared" si="4"/>
        <v>6</v>
      </c>
    </row>
    <row r="285" spans="1:17" x14ac:dyDescent="0.4">
      <c r="A285">
        <v>321</v>
      </c>
      <c r="B285" t="s">
        <v>15</v>
      </c>
      <c r="C285">
        <v>1</v>
      </c>
      <c r="E285" t="s">
        <v>850</v>
      </c>
      <c r="F285" s="1">
        <v>45901</v>
      </c>
      <c r="G285" s="1">
        <v>45908</v>
      </c>
      <c r="H285" t="s">
        <v>851</v>
      </c>
      <c r="I285" t="s">
        <v>852</v>
      </c>
      <c r="J285" t="s">
        <v>28</v>
      </c>
      <c r="K285" t="s">
        <v>557</v>
      </c>
      <c r="L285" t="s">
        <v>28</v>
      </c>
      <c r="M285" s="4">
        <v>43.046377</v>
      </c>
      <c r="N285" s="4">
        <v>-3.0043859999999998</v>
      </c>
      <c r="O285" t="b">
        <v>1</v>
      </c>
      <c r="Q285">
        <f t="shared" si="4"/>
        <v>1</v>
      </c>
    </row>
    <row r="286" spans="1:17" x14ac:dyDescent="0.4">
      <c r="A286">
        <v>322</v>
      </c>
      <c r="B286" t="s">
        <v>20</v>
      </c>
      <c r="C286">
        <v>1</v>
      </c>
      <c r="E286" t="s">
        <v>853</v>
      </c>
      <c r="F286" s="1">
        <v>45901</v>
      </c>
      <c r="G286" s="1">
        <v>45901</v>
      </c>
      <c r="H286" t="s">
        <v>854</v>
      </c>
      <c r="I286" t="s">
        <v>855</v>
      </c>
      <c r="J286" t="s">
        <v>28</v>
      </c>
      <c r="K286" t="s">
        <v>557</v>
      </c>
      <c r="L286" t="s">
        <v>28</v>
      </c>
      <c r="M286" s="4">
        <v>43.046377</v>
      </c>
      <c r="N286" s="4">
        <v>-3.0043859999999998</v>
      </c>
      <c r="O286" t="b">
        <v>1</v>
      </c>
      <c r="Q286">
        <f t="shared" si="4"/>
        <v>1</v>
      </c>
    </row>
    <row r="287" spans="1:17" x14ac:dyDescent="0.4">
      <c r="A287">
        <v>323</v>
      </c>
      <c r="B287" t="s">
        <v>20</v>
      </c>
      <c r="C287">
        <v>2</v>
      </c>
      <c r="D287">
        <v>8</v>
      </c>
      <c r="E287" t="s">
        <v>856</v>
      </c>
      <c r="F287" s="1">
        <v>45904</v>
      </c>
      <c r="G287" s="1">
        <v>45904</v>
      </c>
      <c r="H287" t="s">
        <v>857</v>
      </c>
      <c r="I287" t="s">
        <v>858</v>
      </c>
      <c r="J287" t="s">
        <v>105</v>
      </c>
      <c r="K287" t="s">
        <v>1412</v>
      </c>
      <c r="L287" t="s">
        <v>399</v>
      </c>
      <c r="O287" t="b">
        <v>1</v>
      </c>
      <c r="Q287">
        <f t="shared" si="4"/>
        <v>6</v>
      </c>
    </row>
    <row r="288" spans="1:17" x14ac:dyDescent="0.4">
      <c r="A288">
        <v>324</v>
      </c>
      <c r="B288" t="s">
        <v>15</v>
      </c>
      <c r="C288">
        <v>2</v>
      </c>
      <c r="D288">
        <v>3</v>
      </c>
      <c r="E288" t="s">
        <v>859</v>
      </c>
      <c r="F288" s="1">
        <v>45904</v>
      </c>
      <c r="G288" s="1">
        <v>45904</v>
      </c>
      <c r="H288" t="s">
        <v>860</v>
      </c>
      <c r="I288" t="s">
        <v>861</v>
      </c>
      <c r="J288" t="s">
        <v>76</v>
      </c>
      <c r="K288" t="s">
        <v>557</v>
      </c>
      <c r="L288" t="s">
        <v>1364</v>
      </c>
      <c r="O288" t="b">
        <v>1</v>
      </c>
      <c r="Q288">
        <f t="shared" si="4"/>
        <v>1</v>
      </c>
    </row>
    <row r="289" spans="1:17" x14ac:dyDescent="0.4">
      <c r="A289">
        <v>325</v>
      </c>
      <c r="B289" t="s">
        <v>15</v>
      </c>
      <c r="C289">
        <v>1</v>
      </c>
      <c r="E289" t="s">
        <v>853</v>
      </c>
      <c r="F289" s="1">
        <v>45904</v>
      </c>
      <c r="G289" s="1">
        <v>45904</v>
      </c>
      <c r="H289" t="s">
        <v>862</v>
      </c>
      <c r="I289" t="s">
        <v>862</v>
      </c>
      <c r="J289" t="s">
        <v>863</v>
      </c>
      <c r="K289" t="s">
        <v>288</v>
      </c>
      <c r="L289" t="s">
        <v>1398</v>
      </c>
      <c r="M289" s="4">
        <v>42.809202999999997</v>
      </c>
      <c r="N289" s="4">
        <v>-3.0253009999999998</v>
      </c>
      <c r="O289" t="b">
        <v>1</v>
      </c>
      <c r="Q289">
        <f t="shared" si="4"/>
        <v>5</v>
      </c>
    </row>
    <row r="290" spans="1:17" x14ac:dyDescent="0.4">
      <c r="A290">
        <v>326</v>
      </c>
      <c r="B290" t="s">
        <v>32</v>
      </c>
      <c r="C290">
        <v>2</v>
      </c>
      <c r="D290">
        <v>3</v>
      </c>
      <c r="E290" t="s">
        <v>864</v>
      </c>
      <c r="F290" s="1">
        <v>45904</v>
      </c>
      <c r="G290" s="1">
        <v>45904</v>
      </c>
      <c r="H290" t="s">
        <v>865</v>
      </c>
      <c r="I290" t="s">
        <v>865</v>
      </c>
      <c r="J290" t="s">
        <v>866</v>
      </c>
      <c r="K290" t="s">
        <v>557</v>
      </c>
      <c r="L290" t="s">
        <v>1363</v>
      </c>
      <c r="O290" t="b">
        <v>1</v>
      </c>
      <c r="Q290">
        <f t="shared" si="4"/>
        <v>1</v>
      </c>
    </row>
    <row r="291" spans="1:17" x14ac:dyDescent="0.4">
      <c r="A291">
        <v>327</v>
      </c>
      <c r="B291" t="s">
        <v>32</v>
      </c>
      <c r="C291">
        <v>2</v>
      </c>
      <c r="D291">
        <v>3</v>
      </c>
      <c r="E291" t="s">
        <v>867</v>
      </c>
      <c r="F291" s="1">
        <v>45908</v>
      </c>
      <c r="G291" s="1">
        <v>45908</v>
      </c>
      <c r="H291" t="s">
        <v>868</v>
      </c>
      <c r="I291" t="s">
        <v>868</v>
      </c>
      <c r="J291" t="s">
        <v>869</v>
      </c>
      <c r="K291" t="s">
        <v>214</v>
      </c>
      <c r="L291" t="s">
        <v>870</v>
      </c>
      <c r="O291" t="b">
        <v>1</v>
      </c>
      <c r="Q291">
        <f t="shared" si="4"/>
        <v>3</v>
      </c>
    </row>
    <row r="292" spans="1:17" x14ac:dyDescent="0.4">
      <c r="A292">
        <v>328</v>
      </c>
      <c r="B292" t="s">
        <v>32</v>
      </c>
      <c r="C292">
        <v>2</v>
      </c>
      <c r="D292">
        <v>3</v>
      </c>
      <c r="E292" t="s">
        <v>871</v>
      </c>
      <c r="F292" s="1">
        <v>45908</v>
      </c>
      <c r="G292" s="1">
        <v>45908</v>
      </c>
      <c r="H292" t="s">
        <v>872</v>
      </c>
      <c r="I292" t="s">
        <v>872</v>
      </c>
      <c r="J292" t="s">
        <v>482</v>
      </c>
      <c r="K292" t="s">
        <v>1409</v>
      </c>
      <c r="L292" t="s">
        <v>392</v>
      </c>
      <c r="O292" t="b">
        <v>1</v>
      </c>
      <c r="Q292">
        <f t="shared" si="4"/>
        <v>4</v>
      </c>
    </row>
    <row r="293" spans="1:17" x14ac:dyDescent="0.4">
      <c r="A293">
        <v>329</v>
      </c>
      <c r="B293" t="s">
        <v>20</v>
      </c>
      <c r="C293">
        <v>2</v>
      </c>
      <c r="D293">
        <v>7</v>
      </c>
      <c r="E293" t="s">
        <v>873</v>
      </c>
      <c r="F293" s="1">
        <v>45909</v>
      </c>
      <c r="G293" s="1">
        <v>45909</v>
      </c>
      <c r="H293" t="s">
        <v>874</v>
      </c>
      <c r="I293" t="s">
        <v>874</v>
      </c>
      <c r="J293" t="s">
        <v>36</v>
      </c>
      <c r="K293" t="s">
        <v>557</v>
      </c>
      <c r="L293" t="s">
        <v>1363</v>
      </c>
      <c r="O293" t="b">
        <v>1</v>
      </c>
      <c r="Q293">
        <f t="shared" si="4"/>
        <v>1</v>
      </c>
    </row>
    <row r="294" spans="1:17" x14ac:dyDescent="0.4">
      <c r="A294">
        <v>330</v>
      </c>
      <c r="B294" t="s">
        <v>32</v>
      </c>
      <c r="C294">
        <v>2</v>
      </c>
      <c r="D294">
        <v>3</v>
      </c>
      <c r="E294" t="s">
        <v>875</v>
      </c>
      <c r="F294" s="1">
        <v>45909</v>
      </c>
      <c r="G294" s="1">
        <v>45909</v>
      </c>
      <c r="H294" t="s">
        <v>876</v>
      </c>
      <c r="I294" t="s">
        <v>877</v>
      </c>
      <c r="J294" t="s">
        <v>48</v>
      </c>
      <c r="K294" t="s">
        <v>557</v>
      </c>
      <c r="L294" t="s">
        <v>48</v>
      </c>
      <c r="O294" t="b">
        <v>1</v>
      </c>
      <c r="Q294">
        <f t="shared" si="4"/>
        <v>1</v>
      </c>
    </row>
    <row r="295" spans="1:17" x14ac:dyDescent="0.4">
      <c r="A295">
        <v>331</v>
      </c>
      <c r="B295" t="s">
        <v>20</v>
      </c>
      <c r="C295">
        <v>2</v>
      </c>
      <c r="D295">
        <v>7</v>
      </c>
      <c r="E295" t="s">
        <v>878</v>
      </c>
      <c r="F295" s="1">
        <v>45909</v>
      </c>
      <c r="G295" s="1">
        <v>45909</v>
      </c>
      <c r="H295" t="s">
        <v>879</v>
      </c>
      <c r="I295" t="s">
        <v>880</v>
      </c>
      <c r="J295" t="s">
        <v>76</v>
      </c>
      <c r="K295" t="s">
        <v>557</v>
      </c>
      <c r="L295" t="s">
        <v>1364</v>
      </c>
      <c r="O295" t="b">
        <v>1</v>
      </c>
      <c r="Q295">
        <f t="shared" si="4"/>
        <v>1</v>
      </c>
    </row>
    <row r="296" spans="1:17" x14ac:dyDescent="0.4">
      <c r="A296">
        <v>332</v>
      </c>
      <c r="B296" t="s">
        <v>20</v>
      </c>
      <c r="C296">
        <v>1</v>
      </c>
      <c r="E296" t="s">
        <v>881</v>
      </c>
      <c r="F296" s="1">
        <v>45907</v>
      </c>
      <c r="G296" s="1">
        <v>45907</v>
      </c>
      <c r="H296" t="s">
        <v>882</v>
      </c>
      <c r="I296" t="s">
        <v>882</v>
      </c>
      <c r="J296" t="s">
        <v>883</v>
      </c>
      <c r="K296" t="s">
        <v>557</v>
      </c>
      <c r="L296" t="s">
        <v>1364</v>
      </c>
      <c r="M296" s="4">
        <v>43.168678</v>
      </c>
      <c r="N296" s="4">
        <v>-2.9810300000000001</v>
      </c>
      <c r="O296" t="b">
        <v>1</v>
      </c>
      <c r="Q296">
        <f t="shared" si="4"/>
        <v>1</v>
      </c>
    </row>
    <row r="297" spans="1:17" x14ac:dyDescent="0.4">
      <c r="A297">
        <v>333</v>
      </c>
      <c r="B297" t="s">
        <v>20</v>
      </c>
      <c r="C297">
        <v>1</v>
      </c>
      <c r="E297" t="s">
        <v>884</v>
      </c>
      <c r="F297" s="1">
        <v>45907</v>
      </c>
      <c r="G297" s="1">
        <v>45907</v>
      </c>
      <c r="H297" t="s">
        <v>885</v>
      </c>
      <c r="I297" t="s">
        <v>886</v>
      </c>
      <c r="J297" t="s">
        <v>887</v>
      </c>
      <c r="K297" t="s">
        <v>288</v>
      </c>
      <c r="L297" t="s">
        <v>1392</v>
      </c>
      <c r="M297" s="4">
        <v>42.729059999999997</v>
      </c>
      <c r="N297" s="4">
        <v>-2.8579460000000001</v>
      </c>
      <c r="O297" t="b">
        <v>1</v>
      </c>
      <c r="Q297">
        <f t="shared" si="4"/>
        <v>5</v>
      </c>
    </row>
    <row r="298" spans="1:17" x14ac:dyDescent="0.4">
      <c r="A298">
        <v>334</v>
      </c>
      <c r="B298" t="s">
        <v>15</v>
      </c>
      <c r="C298">
        <v>1</v>
      </c>
      <c r="E298" t="s">
        <v>888</v>
      </c>
      <c r="F298" s="1">
        <v>45906</v>
      </c>
      <c r="G298" s="1">
        <v>45906</v>
      </c>
      <c r="H298" t="s">
        <v>889</v>
      </c>
      <c r="I298" t="s">
        <v>890</v>
      </c>
      <c r="J298" t="s">
        <v>48</v>
      </c>
      <c r="K298" t="s">
        <v>557</v>
      </c>
      <c r="L298" t="s">
        <v>48</v>
      </c>
      <c r="M298" s="4">
        <v>43.120674000000001</v>
      </c>
      <c r="N298" s="4">
        <v>-3.1328330000000002</v>
      </c>
      <c r="O298" t="b">
        <v>1</v>
      </c>
      <c r="Q298">
        <f t="shared" si="4"/>
        <v>1</v>
      </c>
    </row>
    <row r="299" spans="1:17" x14ac:dyDescent="0.4">
      <c r="A299">
        <v>335</v>
      </c>
      <c r="B299" t="s">
        <v>15</v>
      </c>
      <c r="C299">
        <v>1</v>
      </c>
      <c r="E299" t="s">
        <v>891</v>
      </c>
      <c r="F299" s="1">
        <v>45906</v>
      </c>
      <c r="G299" s="1">
        <v>45906</v>
      </c>
      <c r="H299" t="s">
        <v>892</v>
      </c>
      <c r="I299" t="s">
        <v>892</v>
      </c>
      <c r="J299" t="s">
        <v>863</v>
      </c>
      <c r="K299" t="s">
        <v>288</v>
      </c>
      <c r="L299" t="s">
        <v>1398</v>
      </c>
      <c r="M299" s="4">
        <v>42.809202999999997</v>
      </c>
      <c r="N299" s="4">
        <v>-3.0253009999999998</v>
      </c>
      <c r="O299" t="b">
        <v>1</v>
      </c>
      <c r="Q299">
        <f t="shared" si="4"/>
        <v>5</v>
      </c>
    </row>
    <row r="300" spans="1:17" x14ac:dyDescent="0.4">
      <c r="A300">
        <v>336</v>
      </c>
      <c r="B300" t="s">
        <v>20</v>
      </c>
      <c r="C300">
        <v>1</v>
      </c>
      <c r="E300" t="s">
        <v>893</v>
      </c>
      <c r="F300" s="1">
        <v>45906</v>
      </c>
      <c r="G300" s="1">
        <v>45906</v>
      </c>
      <c r="H300" t="s">
        <v>894</v>
      </c>
      <c r="I300" t="s">
        <v>895</v>
      </c>
      <c r="J300" t="s">
        <v>509</v>
      </c>
      <c r="K300" t="s">
        <v>214</v>
      </c>
      <c r="L300" t="s">
        <v>1383</v>
      </c>
      <c r="M300" s="4">
        <v>42.848739999999999</v>
      </c>
      <c r="N300" s="4">
        <v>-2.544238</v>
      </c>
      <c r="O300" t="b">
        <v>1</v>
      </c>
      <c r="Q300">
        <f t="shared" si="4"/>
        <v>3</v>
      </c>
    </row>
    <row r="301" spans="1:17" x14ac:dyDescent="0.4">
      <c r="A301">
        <v>337</v>
      </c>
      <c r="B301" t="s">
        <v>20</v>
      </c>
      <c r="C301">
        <v>1</v>
      </c>
      <c r="E301" t="s">
        <v>896</v>
      </c>
      <c r="F301" s="1">
        <v>45906</v>
      </c>
      <c r="G301" s="1">
        <v>45906</v>
      </c>
      <c r="H301" t="s">
        <v>897</v>
      </c>
      <c r="I301" t="s">
        <v>897</v>
      </c>
      <c r="J301" t="s">
        <v>574</v>
      </c>
      <c r="K301" t="s">
        <v>557</v>
      </c>
      <c r="L301" t="s">
        <v>1363</v>
      </c>
      <c r="M301" s="4">
        <v>43.04186</v>
      </c>
      <c r="N301" s="4">
        <v>-3.0641379999999998</v>
      </c>
      <c r="O301" t="b">
        <v>1</v>
      </c>
      <c r="Q301">
        <f t="shared" si="4"/>
        <v>1</v>
      </c>
    </row>
    <row r="302" spans="1:17" x14ac:dyDescent="0.4">
      <c r="A302">
        <v>338</v>
      </c>
      <c r="B302" t="s">
        <v>20</v>
      </c>
      <c r="C302">
        <v>1</v>
      </c>
      <c r="E302" t="s">
        <v>898</v>
      </c>
      <c r="F302" s="1">
        <v>45905</v>
      </c>
      <c r="G302" s="1">
        <v>45905</v>
      </c>
      <c r="H302" t="s">
        <v>899</v>
      </c>
      <c r="I302" t="s">
        <v>899</v>
      </c>
      <c r="J302" t="s">
        <v>900</v>
      </c>
      <c r="K302" t="s">
        <v>557</v>
      </c>
      <c r="L302" t="s">
        <v>1363</v>
      </c>
      <c r="M302" s="4">
        <v>43.043339000000003</v>
      </c>
      <c r="N302" s="4">
        <v>-3.0217200000000002</v>
      </c>
      <c r="O302" t="b">
        <v>1</v>
      </c>
      <c r="Q302">
        <f t="shared" si="4"/>
        <v>1</v>
      </c>
    </row>
    <row r="303" spans="1:17" x14ac:dyDescent="0.4">
      <c r="A303">
        <v>339</v>
      </c>
      <c r="B303" t="s">
        <v>20</v>
      </c>
      <c r="C303">
        <v>1</v>
      </c>
      <c r="E303" t="s">
        <v>901</v>
      </c>
      <c r="F303" s="1">
        <v>45905</v>
      </c>
      <c r="G303" s="1">
        <v>45905</v>
      </c>
      <c r="H303" t="s">
        <v>902</v>
      </c>
      <c r="I303" t="s">
        <v>902</v>
      </c>
      <c r="J303" t="s">
        <v>56</v>
      </c>
      <c r="K303" t="s">
        <v>288</v>
      </c>
      <c r="L303" t="s">
        <v>1398</v>
      </c>
      <c r="O303" t="b">
        <v>1</v>
      </c>
      <c r="Q303">
        <f t="shared" si="4"/>
        <v>5</v>
      </c>
    </row>
    <row r="304" spans="1:17" x14ac:dyDescent="0.4">
      <c r="A304">
        <v>340</v>
      </c>
      <c r="B304" t="s">
        <v>40</v>
      </c>
      <c r="C304">
        <v>2</v>
      </c>
      <c r="D304">
        <v>2</v>
      </c>
      <c r="E304" t="s">
        <v>903</v>
      </c>
      <c r="F304" s="1">
        <v>45905</v>
      </c>
      <c r="G304" s="1">
        <v>45905</v>
      </c>
      <c r="H304" t="s">
        <v>904</v>
      </c>
      <c r="I304" t="s">
        <v>904</v>
      </c>
      <c r="J304" t="s">
        <v>635</v>
      </c>
      <c r="K304" t="s">
        <v>557</v>
      </c>
      <c r="L304" t="s">
        <v>1363</v>
      </c>
      <c r="O304" t="b">
        <v>1</v>
      </c>
      <c r="Q304">
        <f t="shared" si="4"/>
        <v>1</v>
      </c>
    </row>
    <row r="305" spans="1:17" x14ac:dyDescent="0.4">
      <c r="A305">
        <v>341</v>
      </c>
      <c r="B305" t="s">
        <v>20</v>
      </c>
      <c r="C305">
        <v>1</v>
      </c>
      <c r="E305" t="s">
        <v>905</v>
      </c>
      <c r="F305" s="1">
        <v>45905</v>
      </c>
      <c r="G305" s="1">
        <v>45905</v>
      </c>
      <c r="H305" t="s">
        <v>906</v>
      </c>
      <c r="I305" t="s">
        <v>907</v>
      </c>
      <c r="J305" t="s">
        <v>105</v>
      </c>
      <c r="K305" t="s">
        <v>1412</v>
      </c>
      <c r="L305" t="s">
        <v>399</v>
      </c>
      <c r="M305" s="4">
        <v>42.749721999999998</v>
      </c>
      <c r="N305" s="4">
        <v>-2.4021710000000001</v>
      </c>
      <c r="O305" t="b">
        <v>1</v>
      </c>
      <c r="Q305">
        <f t="shared" si="4"/>
        <v>6</v>
      </c>
    </row>
    <row r="306" spans="1:17" x14ac:dyDescent="0.4">
      <c r="A306">
        <v>342</v>
      </c>
      <c r="B306" t="s">
        <v>20</v>
      </c>
      <c r="C306">
        <v>2</v>
      </c>
      <c r="D306">
        <v>8</v>
      </c>
      <c r="E306" t="s">
        <v>908</v>
      </c>
      <c r="F306" s="1">
        <v>45910</v>
      </c>
      <c r="G306" s="1">
        <v>45910</v>
      </c>
      <c r="H306" t="s">
        <v>909</v>
      </c>
      <c r="I306" t="s">
        <v>909</v>
      </c>
      <c r="J306" t="s">
        <v>863</v>
      </c>
      <c r="K306" t="s">
        <v>288</v>
      </c>
      <c r="L306" t="s">
        <v>1398</v>
      </c>
      <c r="O306" t="b">
        <v>1</v>
      </c>
      <c r="Q306">
        <f t="shared" si="4"/>
        <v>5</v>
      </c>
    </row>
    <row r="307" spans="1:17" x14ac:dyDescent="0.4">
      <c r="A307">
        <v>343</v>
      </c>
      <c r="B307" t="s">
        <v>20</v>
      </c>
      <c r="C307">
        <v>2</v>
      </c>
      <c r="D307">
        <v>8</v>
      </c>
      <c r="E307" t="s">
        <v>910</v>
      </c>
      <c r="F307" s="1">
        <v>45910</v>
      </c>
      <c r="G307" s="1">
        <v>45910</v>
      </c>
      <c r="H307" t="s">
        <v>911</v>
      </c>
      <c r="I307" t="s">
        <v>912</v>
      </c>
      <c r="J307" t="s">
        <v>66</v>
      </c>
      <c r="K307" t="s">
        <v>288</v>
      </c>
      <c r="L307" t="s">
        <v>1395</v>
      </c>
      <c r="O307" t="b">
        <v>1</v>
      </c>
      <c r="Q307">
        <f t="shared" si="4"/>
        <v>5</v>
      </c>
    </row>
    <row r="308" spans="1:17" x14ac:dyDescent="0.4">
      <c r="A308">
        <v>344</v>
      </c>
      <c r="B308" t="s">
        <v>20</v>
      </c>
      <c r="C308">
        <v>1</v>
      </c>
      <c r="E308" t="s">
        <v>913</v>
      </c>
      <c r="F308" s="1">
        <v>45910</v>
      </c>
      <c r="G308" s="1">
        <v>45925</v>
      </c>
      <c r="H308" t="s">
        <v>914</v>
      </c>
      <c r="I308" t="s">
        <v>914</v>
      </c>
      <c r="J308" t="s">
        <v>915</v>
      </c>
      <c r="K308" t="s">
        <v>288</v>
      </c>
      <c r="L308" t="s">
        <v>915</v>
      </c>
      <c r="M308" s="4">
        <v>42.683829000000003</v>
      </c>
      <c r="N308" s="4">
        <v>-2.8609059999999999</v>
      </c>
      <c r="O308" t="b">
        <v>1</v>
      </c>
      <c r="Q308">
        <f t="shared" si="4"/>
        <v>5</v>
      </c>
    </row>
    <row r="309" spans="1:17" x14ac:dyDescent="0.4">
      <c r="A309">
        <v>345</v>
      </c>
      <c r="B309" t="s">
        <v>32</v>
      </c>
      <c r="C309">
        <v>2</v>
      </c>
      <c r="D309">
        <v>3</v>
      </c>
      <c r="E309" t="s">
        <v>916</v>
      </c>
      <c r="F309" s="1">
        <v>45905</v>
      </c>
      <c r="G309" s="1">
        <v>45905</v>
      </c>
      <c r="H309" t="s">
        <v>917</v>
      </c>
      <c r="I309" t="s">
        <v>918</v>
      </c>
      <c r="J309" t="s">
        <v>919</v>
      </c>
      <c r="K309" t="s">
        <v>214</v>
      </c>
      <c r="L309" t="s">
        <v>258</v>
      </c>
      <c r="O309" t="b">
        <v>1</v>
      </c>
      <c r="Q309">
        <f t="shared" si="4"/>
        <v>3</v>
      </c>
    </row>
    <row r="310" spans="1:17" x14ac:dyDescent="0.4">
      <c r="A310">
        <v>346</v>
      </c>
      <c r="B310" t="s">
        <v>15</v>
      </c>
      <c r="C310">
        <v>2</v>
      </c>
      <c r="D310">
        <v>5</v>
      </c>
      <c r="E310" t="s">
        <v>920</v>
      </c>
      <c r="F310" s="1">
        <v>45905</v>
      </c>
      <c r="G310" s="1">
        <v>45905</v>
      </c>
      <c r="H310" t="s">
        <v>921</v>
      </c>
      <c r="I310" t="s">
        <v>922</v>
      </c>
      <c r="J310" t="s">
        <v>919</v>
      </c>
      <c r="K310" t="s">
        <v>214</v>
      </c>
      <c r="L310" t="s">
        <v>258</v>
      </c>
      <c r="O310" t="b">
        <v>1</v>
      </c>
      <c r="Q310">
        <f t="shared" si="4"/>
        <v>3</v>
      </c>
    </row>
    <row r="311" spans="1:17" x14ac:dyDescent="0.4">
      <c r="A311">
        <v>347</v>
      </c>
      <c r="B311" t="s">
        <v>20</v>
      </c>
      <c r="C311">
        <v>2</v>
      </c>
      <c r="D311">
        <v>7</v>
      </c>
      <c r="E311" t="s">
        <v>923</v>
      </c>
      <c r="F311" s="1">
        <v>45908</v>
      </c>
      <c r="G311" s="1">
        <v>45908</v>
      </c>
      <c r="H311" t="s">
        <v>924</v>
      </c>
      <c r="I311" t="s">
        <v>924</v>
      </c>
      <c r="J311" t="s">
        <v>509</v>
      </c>
      <c r="K311" t="s">
        <v>214</v>
      </c>
      <c r="L311" t="s">
        <v>1383</v>
      </c>
      <c r="O311" t="b">
        <v>1</v>
      </c>
      <c r="Q311">
        <f t="shared" si="4"/>
        <v>3</v>
      </c>
    </row>
    <row r="312" spans="1:17" x14ac:dyDescent="0.4">
      <c r="A312">
        <v>348</v>
      </c>
      <c r="B312" t="s">
        <v>20</v>
      </c>
      <c r="C312">
        <v>2</v>
      </c>
      <c r="D312">
        <v>7</v>
      </c>
      <c r="E312" t="s">
        <v>925</v>
      </c>
      <c r="F312" s="1">
        <v>45908</v>
      </c>
      <c r="G312" s="1">
        <v>45908</v>
      </c>
      <c r="H312" t="s">
        <v>926</v>
      </c>
      <c r="I312" t="s">
        <v>926</v>
      </c>
      <c r="J312" t="s">
        <v>915</v>
      </c>
      <c r="K312" t="s">
        <v>288</v>
      </c>
      <c r="L312" t="s">
        <v>915</v>
      </c>
      <c r="O312" t="b">
        <v>1</v>
      </c>
      <c r="Q312">
        <f t="shared" si="4"/>
        <v>5</v>
      </c>
    </row>
    <row r="313" spans="1:17" x14ac:dyDescent="0.4">
      <c r="A313">
        <v>349</v>
      </c>
      <c r="B313" t="s">
        <v>32</v>
      </c>
      <c r="C313">
        <v>2</v>
      </c>
      <c r="D313">
        <v>3</v>
      </c>
      <c r="E313" t="s">
        <v>927</v>
      </c>
      <c r="F313" s="1">
        <v>45908</v>
      </c>
      <c r="G313" s="1">
        <v>45908</v>
      </c>
      <c r="H313" t="s">
        <v>928</v>
      </c>
      <c r="I313" t="s">
        <v>928</v>
      </c>
      <c r="J313" t="s">
        <v>929</v>
      </c>
      <c r="K313" t="s">
        <v>288</v>
      </c>
      <c r="L313" t="s">
        <v>1398</v>
      </c>
      <c r="O313" t="b">
        <v>1</v>
      </c>
      <c r="Q313">
        <f t="shared" si="4"/>
        <v>5</v>
      </c>
    </row>
    <row r="314" spans="1:17" x14ac:dyDescent="0.4">
      <c r="A314">
        <v>350</v>
      </c>
      <c r="B314" t="s">
        <v>20</v>
      </c>
      <c r="C314">
        <v>2</v>
      </c>
      <c r="D314">
        <v>7</v>
      </c>
      <c r="E314" t="s">
        <v>930</v>
      </c>
      <c r="F314" s="1">
        <v>45908</v>
      </c>
      <c r="G314" s="1">
        <v>45908</v>
      </c>
      <c r="H314" t="s">
        <v>931</v>
      </c>
      <c r="I314" t="s">
        <v>931</v>
      </c>
      <c r="J314" t="s">
        <v>36</v>
      </c>
      <c r="K314" t="s">
        <v>557</v>
      </c>
      <c r="L314" t="s">
        <v>1363</v>
      </c>
      <c r="O314" t="b">
        <v>1</v>
      </c>
      <c r="Q314">
        <f t="shared" si="4"/>
        <v>1</v>
      </c>
    </row>
    <row r="315" spans="1:17" x14ac:dyDescent="0.4">
      <c r="A315">
        <v>351</v>
      </c>
      <c r="B315" t="s">
        <v>20</v>
      </c>
      <c r="C315">
        <v>2</v>
      </c>
      <c r="D315">
        <v>8</v>
      </c>
      <c r="E315" t="s">
        <v>932</v>
      </c>
      <c r="F315" s="1">
        <v>45910</v>
      </c>
      <c r="G315" s="1">
        <v>45910</v>
      </c>
      <c r="H315" t="s">
        <v>933</v>
      </c>
      <c r="I315" t="s">
        <v>934</v>
      </c>
      <c r="J315" t="s">
        <v>257</v>
      </c>
      <c r="K315" t="s">
        <v>214</v>
      </c>
      <c r="L315" t="s">
        <v>258</v>
      </c>
      <c r="O315" t="b">
        <v>1</v>
      </c>
      <c r="Q315">
        <f t="shared" si="4"/>
        <v>3</v>
      </c>
    </row>
    <row r="316" spans="1:17" x14ac:dyDescent="0.4">
      <c r="A316">
        <v>352</v>
      </c>
      <c r="B316" t="s">
        <v>20</v>
      </c>
      <c r="C316">
        <v>2</v>
      </c>
      <c r="D316">
        <v>8</v>
      </c>
      <c r="E316" t="s">
        <v>935</v>
      </c>
      <c r="F316" s="1">
        <v>45910</v>
      </c>
      <c r="G316" s="1">
        <v>45910</v>
      </c>
      <c r="H316" t="s">
        <v>936</v>
      </c>
      <c r="I316" t="s">
        <v>937</v>
      </c>
      <c r="J316" t="s">
        <v>257</v>
      </c>
      <c r="K316" t="s">
        <v>214</v>
      </c>
      <c r="L316" t="s">
        <v>258</v>
      </c>
      <c r="O316" t="b">
        <v>1</v>
      </c>
      <c r="Q316">
        <f t="shared" si="4"/>
        <v>3</v>
      </c>
    </row>
    <row r="317" spans="1:17" x14ac:dyDescent="0.4">
      <c r="A317">
        <v>353</v>
      </c>
      <c r="B317" t="s">
        <v>20</v>
      </c>
      <c r="C317">
        <v>2</v>
      </c>
      <c r="D317">
        <v>8</v>
      </c>
      <c r="E317" t="s">
        <v>938</v>
      </c>
      <c r="F317" s="1">
        <v>45910</v>
      </c>
      <c r="G317" s="1">
        <v>45910</v>
      </c>
      <c r="H317" t="s">
        <v>939</v>
      </c>
      <c r="I317" t="s">
        <v>939</v>
      </c>
      <c r="J317" t="s">
        <v>919</v>
      </c>
      <c r="K317" t="s">
        <v>214</v>
      </c>
      <c r="L317" t="s">
        <v>258</v>
      </c>
      <c r="O317" t="b">
        <v>1</v>
      </c>
      <c r="Q317">
        <f t="shared" si="4"/>
        <v>3</v>
      </c>
    </row>
    <row r="318" spans="1:17" x14ac:dyDescent="0.4">
      <c r="A318">
        <v>354</v>
      </c>
      <c r="B318" t="s">
        <v>32</v>
      </c>
      <c r="C318">
        <v>2</v>
      </c>
      <c r="D318">
        <v>3</v>
      </c>
      <c r="E318" t="s">
        <v>940</v>
      </c>
      <c r="F318" s="1">
        <v>45910</v>
      </c>
      <c r="G318" s="1">
        <v>45910</v>
      </c>
      <c r="H318" t="s">
        <v>941</v>
      </c>
      <c r="I318" t="s">
        <v>941</v>
      </c>
      <c r="J318" t="s">
        <v>509</v>
      </c>
      <c r="K318" t="s">
        <v>214</v>
      </c>
      <c r="L318" t="s">
        <v>1383</v>
      </c>
      <c r="O318" t="b">
        <v>1</v>
      </c>
      <c r="Q318">
        <f t="shared" si="4"/>
        <v>3</v>
      </c>
    </row>
    <row r="319" spans="1:17" x14ac:dyDescent="0.4">
      <c r="A319">
        <v>355</v>
      </c>
      <c r="B319" t="s">
        <v>20</v>
      </c>
      <c r="C319">
        <v>2</v>
      </c>
      <c r="D319">
        <v>8</v>
      </c>
      <c r="E319" t="s">
        <v>942</v>
      </c>
      <c r="F319" s="1">
        <v>45910</v>
      </c>
      <c r="G319" s="1">
        <v>45910</v>
      </c>
      <c r="H319" t="s">
        <v>943</v>
      </c>
      <c r="I319" t="s">
        <v>943</v>
      </c>
      <c r="J319" t="s">
        <v>537</v>
      </c>
      <c r="K319" t="s">
        <v>557</v>
      </c>
      <c r="L319" t="s">
        <v>1363</v>
      </c>
      <c r="O319" t="b">
        <v>1</v>
      </c>
      <c r="Q319">
        <f t="shared" si="4"/>
        <v>1</v>
      </c>
    </row>
    <row r="320" spans="1:17" x14ac:dyDescent="0.4">
      <c r="A320">
        <v>356</v>
      </c>
      <c r="B320" t="s">
        <v>20</v>
      </c>
      <c r="C320">
        <v>1</v>
      </c>
      <c r="E320" t="s">
        <v>944</v>
      </c>
      <c r="F320" s="1">
        <v>45910</v>
      </c>
      <c r="G320" s="1">
        <v>45910</v>
      </c>
      <c r="H320" t="s">
        <v>945</v>
      </c>
      <c r="I320" t="s">
        <v>945</v>
      </c>
      <c r="J320" t="s">
        <v>946</v>
      </c>
      <c r="K320" t="s">
        <v>557</v>
      </c>
      <c r="L320" t="s">
        <v>1364</v>
      </c>
      <c r="M320" s="4">
        <v>43.145808000000002</v>
      </c>
      <c r="N320" s="4">
        <v>-2.9425490000000001</v>
      </c>
      <c r="O320" t="b">
        <v>1</v>
      </c>
      <c r="Q320">
        <f t="shared" si="4"/>
        <v>1</v>
      </c>
    </row>
    <row r="321" spans="1:17" x14ac:dyDescent="0.4">
      <c r="A321">
        <v>357</v>
      </c>
      <c r="B321" t="s">
        <v>20</v>
      </c>
      <c r="C321">
        <v>1</v>
      </c>
      <c r="E321" t="s">
        <v>947</v>
      </c>
      <c r="F321" s="1">
        <v>45911</v>
      </c>
      <c r="G321" s="1">
        <v>45911</v>
      </c>
      <c r="H321" t="s">
        <v>158</v>
      </c>
      <c r="I321" t="s">
        <v>948</v>
      </c>
      <c r="J321" t="s">
        <v>949</v>
      </c>
      <c r="K321" t="s">
        <v>557</v>
      </c>
      <c r="L321" t="s">
        <v>1364</v>
      </c>
      <c r="M321" s="4">
        <v>43.143256999999998</v>
      </c>
      <c r="N321" s="4">
        <v>-2.963193</v>
      </c>
      <c r="O321" t="b">
        <v>1</v>
      </c>
      <c r="Q321">
        <f t="shared" si="4"/>
        <v>1</v>
      </c>
    </row>
    <row r="322" spans="1:17" x14ac:dyDescent="0.4">
      <c r="A322">
        <v>358</v>
      </c>
      <c r="B322" t="s">
        <v>15</v>
      </c>
      <c r="C322">
        <v>2</v>
      </c>
      <c r="D322">
        <v>3</v>
      </c>
      <c r="E322" t="s">
        <v>950</v>
      </c>
      <c r="F322" s="1">
        <v>45911</v>
      </c>
      <c r="G322" s="1">
        <v>45911</v>
      </c>
      <c r="H322" t="s">
        <v>951</v>
      </c>
      <c r="I322" t="s">
        <v>952</v>
      </c>
      <c r="J322" t="s">
        <v>76</v>
      </c>
      <c r="K322" t="s">
        <v>557</v>
      </c>
      <c r="L322" t="s">
        <v>1364</v>
      </c>
      <c r="O322" t="b">
        <v>1</v>
      </c>
      <c r="Q322">
        <f t="shared" si="4"/>
        <v>1</v>
      </c>
    </row>
    <row r="323" spans="1:17" x14ac:dyDescent="0.4">
      <c r="A323">
        <v>359</v>
      </c>
      <c r="B323" t="s">
        <v>15</v>
      </c>
      <c r="C323">
        <v>1</v>
      </c>
      <c r="E323" t="s">
        <v>953</v>
      </c>
      <c r="F323" s="1">
        <v>45912</v>
      </c>
      <c r="G323" s="1">
        <v>45912</v>
      </c>
      <c r="H323" t="s">
        <v>954</v>
      </c>
      <c r="I323" t="s">
        <v>954</v>
      </c>
      <c r="J323" t="s">
        <v>48</v>
      </c>
      <c r="K323" t="s">
        <v>557</v>
      </c>
      <c r="L323" t="s">
        <v>48</v>
      </c>
      <c r="O323" t="b">
        <v>1</v>
      </c>
      <c r="Q323">
        <f t="shared" ref="Q323:Q386" si="5">VLOOKUP(L323,$V$2:$W$253,2,FALSE)</f>
        <v>1</v>
      </c>
    </row>
    <row r="324" spans="1:17" x14ac:dyDescent="0.4">
      <c r="A324">
        <v>361</v>
      </c>
      <c r="B324" t="s">
        <v>15</v>
      </c>
      <c r="C324">
        <v>1</v>
      </c>
      <c r="E324" t="s">
        <v>955</v>
      </c>
      <c r="F324" s="1">
        <v>45911</v>
      </c>
      <c r="G324" s="1">
        <v>45911</v>
      </c>
      <c r="H324" t="s">
        <v>956</v>
      </c>
      <c r="I324" t="s">
        <v>956</v>
      </c>
      <c r="J324" t="s">
        <v>28</v>
      </c>
      <c r="K324" t="s">
        <v>557</v>
      </c>
      <c r="L324" t="s">
        <v>28</v>
      </c>
      <c r="M324" s="4">
        <v>43.053054000000003</v>
      </c>
      <c r="N324" s="4">
        <v>-3.0060120000000001</v>
      </c>
      <c r="O324" t="b">
        <v>1</v>
      </c>
      <c r="Q324">
        <f t="shared" si="5"/>
        <v>1</v>
      </c>
    </row>
    <row r="325" spans="1:17" x14ac:dyDescent="0.4">
      <c r="A325">
        <v>362</v>
      </c>
      <c r="B325" t="s">
        <v>20</v>
      </c>
      <c r="C325">
        <v>2</v>
      </c>
      <c r="D325">
        <v>8</v>
      </c>
      <c r="E325" t="s">
        <v>957</v>
      </c>
      <c r="F325" s="1">
        <v>45912</v>
      </c>
      <c r="G325" s="1">
        <v>45912</v>
      </c>
      <c r="H325" t="s">
        <v>958</v>
      </c>
      <c r="I325" t="s">
        <v>959</v>
      </c>
      <c r="J325" t="s">
        <v>28</v>
      </c>
      <c r="K325" t="s">
        <v>557</v>
      </c>
      <c r="L325" t="s">
        <v>28</v>
      </c>
      <c r="O325" t="b">
        <v>1</v>
      </c>
      <c r="Q325">
        <f t="shared" si="5"/>
        <v>1</v>
      </c>
    </row>
    <row r="326" spans="1:17" x14ac:dyDescent="0.4">
      <c r="A326">
        <v>363</v>
      </c>
      <c r="B326" t="s">
        <v>15</v>
      </c>
      <c r="C326">
        <v>1</v>
      </c>
      <c r="E326" t="s">
        <v>960</v>
      </c>
      <c r="F326" s="1">
        <v>45912</v>
      </c>
      <c r="G326" s="1">
        <v>45912</v>
      </c>
      <c r="H326" t="s">
        <v>961</v>
      </c>
      <c r="I326" t="s">
        <v>961</v>
      </c>
      <c r="J326" t="s">
        <v>48</v>
      </c>
      <c r="K326" t="s">
        <v>557</v>
      </c>
      <c r="L326" t="s">
        <v>48</v>
      </c>
      <c r="M326" s="4">
        <v>43.119529</v>
      </c>
      <c r="N326" s="4">
        <v>-3.1326429999999998</v>
      </c>
      <c r="O326" t="b">
        <v>1</v>
      </c>
      <c r="Q326">
        <f t="shared" si="5"/>
        <v>1</v>
      </c>
    </row>
    <row r="327" spans="1:17" x14ac:dyDescent="0.4">
      <c r="A327">
        <v>364</v>
      </c>
      <c r="B327" t="s">
        <v>20</v>
      </c>
      <c r="C327">
        <v>1</v>
      </c>
      <c r="E327" t="s">
        <v>962</v>
      </c>
      <c r="F327" s="1">
        <v>45910</v>
      </c>
      <c r="G327" s="1">
        <v>45910</v>
      </c>
      <c r="H327" t="s">
        <v>963</v>
      </c>
      <c r="I327" t="s">
        <v>963</v>
      </c>
      <c r="J327" t="s">
        <v>76</v>
      </c>
      <c r="K327" t="s">
        <v>557</v>
      </c>
      <c r="L327" t="s">
        <v>1364</v>
      </c>
      <c r="M327" s="4">
        <v>43.149082999999997</v>
      </c>
      <c r="N327" s="4">
        <v>-2.97098</v>
      </c>
      <c r="O327" t="b">
        <v>1</v>
      </c>
      <c r="Q327">
        <f t="shared" si="5"/>
        <v>1</v>
      </c>
    </row>
    <row r="328" spans="1:17" x14ac:dyDescent="0.4">
      <c r="A328">
        <v>365</v>
      </c>
      <c r="B328" t="s">
        <v>20</v>
      </c>
      <c r="C328">
        <v>1</v>
      </c>
      <c r="E328" t="s">
        <v>964</v>
      </c>
      <c r="F328" s="1">
        <v>45909</v>
      </c>
      <c r="G328" s="1">
        <v>45909</v>
      </c>
      <c r="H328" t="s">
        <v>965</v>
      </c>
      <c r="I328" t="s">
        <v>966</v>
      </c>
      <c r="J328" t="s">
        <v>76</v>
      </c>
      <c r="K328" t="s">
        <v>557</v>
      </c>
      <c r="L328" t="s">
        <v>1364</v>
      </c>
      <c r="M328" s="4">
        <v>43.145808000000002</v>
      </c>
      <c r="N328" s="4">
        <v>-2.9425490000000001</v>
      </c>
      <c r="O328" t="b">
        <v>1</v>
      </c>
      <c r="Q328">
        <f t="shared" si="5"/>
        <v>1</v>
      </c>
    </row>
    <row r="329" spans="1:17" x14ac:dyDescent="0.4">
      <c r="A329">
        <v>366</v>
      </c>
      <c r="B329" t="s">
        <v>20</v>
      </c>
      <c r="C329">
        <v>1</v>
      </c>
      <c r="E329" t="s">
        <v>967</v>
      </c>
      <c r="F329" s="1">
        <v>45911</v>
      </c>
      <c r="G329" s="1">
        <v>45911</v>
      </c>
      <c r="H329" t="s">
        <v>968</v>
      </c>
      <c r="I329" t="s">
        <v>969</v>
      </c>
      <c r="J329" t="s">
        <v>76</v>
      </c>
      <c r="K329" t="s">
        <v>557</v>
      </c>
      <c r="L329" t="s">
        <v>1364</v>
      </c>
      <c r="M329" s="4">
        <v>43.145961</v>
      </c>
      <c r="N329" s="4">
        <v>-2.9733339999999999</v>
      </c>
      <c r="O329" t="b">
        <v>1</v>
      </c>
      <c r="Q329">
        <f t="shared" si="5"/>
        <v>1</v>
      </c>
    </row>
    <row r="330" spans="1:17" x14ac:dyDescent="0.4">
      <c r="A330">
        <v>367</v>
      </c>
      <c r="B330" t="s">
        <v>15</v>
      </c>
      <c r="C330">
        <v>1</v>
      </c>
      <c r="E330" t="s">
        <v>970</v>
      </c>
      <c r="F330" s="1">
        <v>45917</v>
      </c>
      <c r="G330" s="1">
        <v>45917</v>
      </c>
      <c r="H330" t="s">
        <v>971</v>
      </c>
      <c r="I330" t="s">
        <v>971</v>
      </c>
      <c r="J330" t="s">
        <v>48</v>
      </c>
      <c r="K330" t="s">
        <v>557</v>
      </c>
      <c r="L330" t="s">
        <v>48</v>
      </c>
      <c r="O330" t="b">
        <v>1</v>
      </c>
      <c r="Q330">
        <f t="shared" si="5"/>
        <v>1</v>
      </c>
    </row>
    <row r="331" spans="1:17" x14ac:dyDescent="0.4">
      <c r="A331">
        <v>368</v>
      </c>
      <c r="B331" t="s">
        <v>20</v>
      </c>
      <c r="C331">
        <v>1</v>
      </c>
      <c r="E331" t="s">
        <v>972</v>
      </c>
      <c r="F331" s="1">
        <v>45915</v>
      </c>
      <c r="G331" s="1">
        <v>45915</v>
      </c>
      <c r="H331" t="s">
        <v>973</v>
      </c>
      <c r="I331" t="s">
        <v>973</v>
      </c>
      <c r="J331" t="s">
        <v>128</v>
      </c>
      <c r="K331" t="s">
        <v>288</v>
      </c>
      <c r="L331" t="s">
        <v>1394</v>
      </c>
      <c r="M331" s="4">
        <v>42.751179</v>
      </c>
      <c r="N331" s="4">
        <v>-3.0480879999999999</v>
      </c>
      <c r="O331" t="b">
        <v>1</v>
      </c>
      <c r="Q331">
        <f t="shared" si="5"/>
        <v>5</v>
      </c>
    </row>
    <row r="332" spans="1:17" x14ac:dyDescent="0.4">
      <c r="A332">
        <v>369</v>
      </c>
      <c r="B332" t="s">
        <v>20</v>
      </c>
      <c r="C332">
        <v>1</v>
      </c>
      <c r="E332" t="s">
        <v>974</v>
      </c>
      <c r="F332" s="1">
        <v>45915</v>
      </c>
      <c r="G332" s="1">
        <v>45915</v>
      </c>
      <c r="H332" t="s">
        <v>295</v>
      </c>
      <c r="I332" t="s">
        <v>295</v>
      </c>
      <c r="J332" t="s">
        <v>196</v>
      </c>
      <c r="K332" t="s">
        <v>288</v>
      </c>
      <c r="L332" t="s">
        <v>196</v>
      </c>
      <c r="M332" s="4">
        <v>42.660992</v>
      </c>
      <c r="N332" s="4">
        <v>-2.8798509999999999</v>
      </c>
      <c r="O332" t="b">
        <v>1</v>
      </c>
      <c r="Q332">
        <f t="shared" si="5"/>
        <v>5</v>
      </c>
    </row>
    <row r="333" spans="1:17" x14ac:dyDescent="0.4">
      <c r="A333">
        <v>370</v>
      </c>
      <c r="B333" t="s">
        <v>20</v>
      </c>
      <c r="C333">
        <v>1</v>
      </c>
      <c r="E333" t="s">
        <v>975</v>
      </c>
      <c r="F333" s="1">
        <v>45915</v>
      </c>
      <c r="G333" s="1">
        <v>45915</v>
      </c>
      <c r="H333" t="s">
        <v>976</v>
      </c>
      <c r="I333" t="s">
        <v>977</v>
      </c>
      <c r="J333" t="s">
        <v>56</v>
      </c>
      <c r="K333" t="s">
        <v>288</v>
      </c>
      <c r="L333" t="s">
        <v>1398</v>
      </c>
      <c r="M333" s="4">
        <v>42.809638999999997</v>
      </c>
      <c r="N333" s="4">
        <v>-3.0466500000000001</v>
      </c>
      <c r="O333" t="b">
        <v>1</v>
      </c>
      <c r="Q333">
        <f t="shared" si="5"/>
        <v>5</v>
      </c>
    </row>
    <row r="334" spans="1:17" x14ac:dyDescent="0.4">
      <c r="A334">
        <v>371</v>
      </c>
      <c r="B334" t="s">
        <v>20</v>
      </c>
      <c r="C334">
        <v>2</v>
      </c>
      <c r="D334">
        <v>10</v>
      </c>
      <c r="E334" t="s">
        <v>978</v>
      </c>
      <c r="F334" s="1">
        <v>45915</v>
      </c>
      <c r="G334" s="1">
        <v>45915</v>
      </c>
      <c r="H334" t="s">
        <v>979</v>
      </c>
      <c r="I334" t="s">
        <v>980</v>
      </c>
      <c r="J334" t="s">
        <v>56</v>
      </c>
      <c r="K334" t="s">
        <v>288</v>
      </c>
      <c r="L334" t="s">
        <v>1398</v>
      </c>
      <c r="O334" t="b">
        <v>1</v>
      </c>
      <c r="Q334">
        <f t="shared" si="5"/>
        <v>5</v>
      </c>
    </row>
    <row r="335" spans="1:17" x14ac:dyDescent="0.4">
      <c r="A335">
        <v>372</v>
      </c>
      <c r="B335" t="s">
        <v>20</v>
      </c>
      <c r="C335">
        <v>2</v>
      </c>
      <c r="D335">
        <v>10</v>
      </c>
      <c r="E335" t="s">
        <v>981</v>
      </c>
      <c r="F335" s="1">
        <v>45915</v>
      </c>
      <c r="G335" s="1">
        <v>45915</v>
      </c>
      <c r="H335" t="s">
        <v>979</v>
      </c>
      <c r="I335" t="s">
        <v>980</v>
      </c>
      <c r="J335" t="s">
        <v>56</v>
      </c>
      <c r="K335" t="s">
        <v>288</v>
      </c>
      <c r="L335" t="s">
        <v>1398</v>
      </c>
      <c r="O335" t="b">
        <v>1</v>
      </c>
      <c r="Q335">
        <f t="shared" si="5"/>
        <v>5</v>
      </c>
    </row>
    <row r="336" spans="1:17" x14ac:dyDescent="0.4">
      <c r="A336">
        <v>373</v>
      </c>
      <c r="B336" t="s">
        <v>20</v>
      </c>
      <c r="C336">
        <v>2</v>
      </c>
      <c r="D336">
        <v>8</v>
      </c>
      <c r="E336" t="s">
        <v>982</v>
      </c>
      <c r="F336" s="1">
        <v>45915</v>
      </c>
      <c r="G336" s="1">
        <v>45915</v>
      </c>
      <c r="H336" t="s">
        <v>983</v>
      </c>
      <c r="I336" t="s">
        <v>984</v>
      </c>
      <c r="J336" t="s">
        <v>135</v>
      </c>
      <c r="K336" t="s">
        <v>288</v>
      </c>
      <c r="L336" t="s">
        <v>1398</v>
      </c>
      <c r="O336" t="b">
        <v>1</v>
      </c>
      <c r="Q336">
        <f t="shared" si="5"/>
        <v>5</v>
      </c>
    </row>
    <row r="337" spans="1:17" x14ac:dyDescent="0.4">
      <c r="A337">
        <v>374</v>
      </c>
      <c r="B337" t="s">
        <v>20</v>
      </c>
      <c r="C337">
        <v>2</v>
      </c>
      <c r="D337">
        <v>8</v>
      </c>
      <c r="E337" t="s">
        <v>985</v>
      </c>
      <c r="F337" s="1">
        <v>45915</v>
      </c>
      <c r="G337" s="1">
        <v>45915</v>
      </c>
      <c r="H337" t="s">
        <v>983</v>
      </c>
      <c r="I337" t="s">
        <v>983</v>
      </c>
      <c r="J337" t="s">
        <v>135</v>
      </c>
      <c r="K337" t="s">
        <v>288</v>
      </c>
      <c r="L337" t="s">
        <v>1398</v>
      </c>
      <c r="O337" t="b">
        <v>1</v>
      </c>
      <c r="Q337">
        <f t="shared" si="5"/>
        <v>5</v>
      </c>
    </row>
    <row r="338" spans="1:17" x14ac:dyDescent="0.4">
      <c r="A338">
        <v>375</v>
      </c>
      <c r="B338" t="s">
        <v>20</v>
      </c>
      <c r="C338">
        <v>2</v>
      </c>
      <c r="D338">
        <v>8</v>
      </c>
      <c r="E338" t="s">
        <v>986</v>
      </c>
      <c r="F338" s="1">
        <v>45915</v>
      </c>
      <c r="G338" s="1">
        <v>45915</v>
      </c>
      <c r="H338" t="s">
        <v>983</v>
      </c>
      <c r="I338" t="s">
        <v>983</v>
      </c>
      <c r="J338" t="s">
        <v>135</v>
      </c>
      <c r="K338" t="s">
        <v>288</v>
      </c>
      <c r="L338" t="s">
        <v>1398</v>
      </c>
      <c r="O338" t="b">
        <v>1</v>
      </c>
      <c r="Q338">
        <f t="shared" si="5"/>
        <v>5</v>
      </c>
    </row>
    <row r="339" spans="1:17" x14ac:dyDescent="0.4">
      <c r="A339">
        <v>376</v>
      </c>
      <c r="B339" t="s">
        <v>20</v>
      </c>
      <c r="C339">
        <v>2</v>
      </c>
      <c r="D339">
        <v>8</v>
      </c>
      <c r="E339" t="s">
        <v>987</v>
      </c>
      <c r="F339" s="1">
        <v>45915</v>
      </c>
      <c r="G339" s="1">
        <v>45915</v>
      </c>
      <c r="H339" t="s">
        <v>983</v>
      </c>
      <c r="I339" t="s">
        <v>983</v>
      </c>
      <c r="J339" t="s">
        <v>135</v>
      </c>
      <c r="K339" t="s">
        <v>288</v>
      </c>
      <c r="L339" t="s">
        <v>1398</v>
      </c>
      <c r="O339" t="b">
        <v>1</v>
      </c>
      <c r="Q339">
        <f t="shared" si="5"/>
        <v>5</v>
      </c>
    </row>
    <row r="340" spans="1:17" x14ac:dyDescent="0.4">
      <c r="A340">
        <v>377</v>
      </c>
      <c r="B340" t="s">
        <v>20</v>
      </c>
      <c r="C340">
        <v>2</v>
      </c>
      <c r="D340">
        <v>8</v>
      </c>
      <c r="E340" t="s">
        <v>988</v>
      </c>
      <c r="F340" s="1">
        <v>45912</v>
      </c>
      <c r="G340" s="1">
        <v>45912</v>
      </c>
      <c r="H340" t="s">
        <v>989</v>
      </c>
      <c r="I340" t="s">
        <v>989</v>
      </c>
      <c r="J340" t="s">
        <v>546</v>
      </c>
      <c r="K340" t="s">
        <v>288</v>
      </c>
      <c r="L340" t="s">
        <v>1395</v>
      </c>
      <c r="O340" t="b">
        <v>1</v>
      </c>
      <c r="Q340">
        <f t="shared" si="5"/>
        <v>5</v>
      </c>
    </row>
    <row r="341" spans="1:17" x14ac:dyDescent="0.4">
      <c r="A341">
        <v>378</v>
      </c>
      <c r="B341" t="s">
        <v>20</v>
      </c>
      <c r="C341">
        <v>2</v>
      </c>
      <c r="D341">
        <v>8</v>
      </c>
      <c r="E341" t="s">
        <v>990</v>
      </c>
      <c r="F341" s="1">
        <v>45915</v>
      </c>
      <c r="G341" s="1">
        <v>45915</v>
      </c>
      <c r="H341" t="s">
        <v>983</v>
      </c>
      <c r="I341" t="s">
        <v>983</v>
      </c>
      <c r="J341" t="s">
        <v>135</v>
      </c>
      <c r="K341" t="s">
        <v>288</v>
      </c>
      <c r="L341" t="s">
        <v>1398</v>
      </c>
      <c r="O341" t="b">
        <v>1</v>
      </c>
      <c r="Q341">
        <f t="shared" si="5"/>
        <v>5</v>
      </c>
    </row>
    <row r="342" spans="1:17" x14ac:dyDescent="0.4">
      <c r="A342">
        <v>379</v>
      </c>
      <c r="B342" t="s">
        <v>20</v>
      </c>
      <c r="C342">
        <v>1</v>
      </c>
      <c r="E342" t="s">
        <v>991</v>
      </c>
      <c r="F342" s="1">
        <v>45909</v>
      </c>
      <c r="G342" s="1">
        <v>45909</v>
      </c>
      <c r="H342" t="s">
        <v>902</v>
      </c>
      <c r="I342" t="s">
        <v>902</v>
      </c>
      <c r="J342" t="s">
        <v>56</v>
      </c>
      <c r="K342" t="s">
        <v>288</v>
      </c>
      <c r="L342" t="s">
        <v>1398</v>
      </c>
      <c r="M342" s="4">
        <v>42.807507999999999</v>
      </c>
      <c r="N342" s="4">
        <v>-3.0481959999999999</v>
      </c>
      <c r="O342" t="b">
        <v>1</v>
      </c>
      <c r="Q342">
        <f t="shared" si="5"/>
        <v>5</v>
      </c>
    </row>
    <row r="343" spans="1:17" x14ac:dyDescent="0.4">
      <c r="A343">
        <v>380</v>
      </c>
      <c r="B343" t="s">
        <v>20</v>
      </c>
      <c r="C343">
        <v>1</v>
      </c>
      <c r="E343" t="s">
        <v>992</v>
      </c>
      <c r="F343" s="1">
        <v>45908</v>
      </c>
      <c r="G343" s="1">
        <v>45908</v>
      </c>
      <c r="H343" t="s">
        <v>899</v>
      </c>
      <c r="I343" t="s">
        <v>899</v>
      </c>
      <c r="J343" t="s">
        <v>900</v>
      </c>
      <c r="K343" t="s">
        <v>557</v>
      </c>
      <c r="L343" t="s">
        <v>1363</v>
      </c>
      <c r="M343" s="4">
        <v>43.043398000000003</v>
      </c>
      <c r="N343" s="4">
        <v>-3.0213649999999999</v>
      </c>
      <c r="O343" t="b">
        <v>1</v>
      </c>
      <c r="Q343">
        <f t="shared" si="5"/>
        <v>1</v>
      </c>
    </row>
    <row r="344" spans="1:17" x14ac:dyDescent="0.4">
      <c r="A344">
        <v>381</v>
      </c>
      <c r="B344" t="s">
        <v>20</v>
      </c>
      <c r="C344">
        <v>1</v>
      </c>
      <c r="E344" t="s">
        <v>993</v>
      </c>
      <c r="F344" s="1">
        <v>45908</v>
      </c>
      <c r="G344" s="1">
        <v>45908</v>
      </c>
      <c r="H344" t="s">
        <v>994</v>
      </c>
      <c r="I344" t="s">
        <v>994</v>
      </c>
      <c r="J344" t="s">
        <v>641</v>
      </c>
      <c r="K344" t="s">
        <v>557</v>
      </c>
      <c r="L344" t="s">
        <v>28</v>
      </c>
      <c r="O344" t="b">
        <v>1</v>
      </c>
      <c r="Q344">
        <f t="shared" si="5"/>
        <v>1</v>
      </c>
    </row>
    <row r="345" spans="1:17" x14ac:dyDescent="0.4">
      <c r="A345">
        <v>382</v>
      </c>
      <c r="B345" t="s">
        <v>20</v>
      </c>
      <c r="C345">
        <v>1</v>
      </c>
      <c r="E345" t="s">
        <v>995</v>
      </c>
      <c r="F345" s="1">
        <v>45908</v>
      </c>
      <c r="G345" s="1">
        <v>45908</v>
      </c>
      <c r="H345" t="s">
        <v>996</v>
      </c>
      <c r="I345" t="s">
        <v>996</v>
      </c>
      <c r="J345" t="s">
        <v>997</v>
      </c>
      <c r="K345" t="s">
        <v>557</v>
      </c>
      <c r="L345" t="s">
        <v>28</v>
      </c>
      <c r="M345" s="4">
        <v>43.051223999999998</v>
      </c>
      <c r="N345" s="4">
        <v>-2.922641</v>
      </c>
      <c r="O345" t="b">
        <v>1</v>
      </c>
      <c r="Q345">
        <f t="shared" si="5"/>
        <v>1</v>
      </c>
    </row>
    <row r="346" spans="1:17" x14ac:dyDescent="0.4">
      <c r="A346">
        <v>383</v>
      </c>
      <c r="B346" t="s">
        <v>15</v>
      </c>
      <c r="C346">
        <v>2</v>
      </c>
      <c r="D346">
        <v>3</v>
      </c>
      <c r="E346" t="s">
        <v>998</v>
      </c>
      <c r="F346" s="1">
        <v>45909</v>
      </c>
      <c r="G346" s="1">
        <v>45909</v>
      </c>
      <c r="H346" t="s">
        <v>999</v>
      </c>
      <c r="I346" t="s">
        <v>999</v>
      </c>
      <c r="J346" t="s">
        <v>48</v>
      </c>
      <c r="K346" t="s">
        <v>557</v>
      </c>
      <c r="L346" t="s">
        <v>48</v>
      </c>
      <c r="O346" t="b">
        <v>1</v>
      </c>
      <c r="Q346">
        <f t="shared" si="5"/>
        <v>1</v>
      </c>
    </row>
    <row r="347" spans="1:17" x14ac:dyDescent="0.4">
      <c r="A347">
        <v>384</v>
      </c>
      <c r="B347" t="s">
        <v>20</v>
      </c>
      <c r="C347">
        <v>1</v>
      </c>
      <c r="E347" t="s">
        <v>1000</v>
      </c>
      <c r="F347" s="1">
        <v>45910</v>
      </c>
      <c r="G347" s="1">
        <v>45910</v>
      </c>
      <c r="H347" t="s">
        <v>1001</v>
      </c>
      <c r="I347" t="s">
        <v>1001</v>
      </c>
      <c r="J347" t="s">
        <v>811</v>
      </c>
      <c r="K347" t="s">
        <v>557</v>
      </c>
      <c r="L347" t="s">
        <v>1363</v>
      </c>
      <c r="O347" t="b">
        <v>1</v>
      </c>
      <c r="Q347">
        <f t="shared" si="5"/>
        <v>1</v>
      </c>
    </row>
    <row r="348" spans="1:17" x14ac:dyDescent="0.4">
      <c r="A348">
        <v>385</v>
      </c>
      <c r="B348" t="s">
        <v>20</v>
      </c>
      <c r="C348">
        <v>1</v>
      </c>
      <c r="E348" t="s">
        <v>1002</v>
      </c>
      <c r="F348" s="1">
        <v>45910</v>
      </c>
      <c r="G348" s="1">
        <v>45910</v>
      </c>
      <c r="H348" t="s">
        <v>1003</v>
      </c>
      <c r="I348" t="s">
        <v>1003</v>
      </c>
      <c r="J348" t="s">
        <v>277</v>
      </c>
      <c r="K348" t="s">
        <v>288</v>
      </c>
      <c r="L348" t="s">
        <v>1398</v>
      </c>
      <c r="O348" t="b">
        <v>1</v>
      </c>
      <c r="Q348">
        <f t="shared" si="5"/>
        <v>5</v>
      </c>
    </row>
    <row r="349" spans="1:17" x14ac:dyDescent="0.4">
      <c r="A349">
        <v>386</v>
      </c>
      <c r="B349" t="s">
        <v>20</v>
      </c>
      <c r="C349">
        <v>1</v>
      </c>
      <c r="E349" t="s">
        <v>1004</v>
      </c>
      <c r="F349" s="1">
        <v>45911</v>
      </c>
      <c r="G349" s="1">
        <v>45911</v>
      </c>
      <c r="H349" t="s">
        <v>1005</v>
      </c>
      <c r="I349" t="s">
        <v>1005</v>
      </c>
      <c r="J349" t="s">
        <v>405</v>
      </c>
      <c r="K349" t="s">
        <v>1418</v>
      </c>
      <c r="L349" t="s">
        <v>1417</v>
      </c>
      <c r="M349" s="4">
        <v>42.857737</v>
      </c>
      <c r="N349" s="4">
        <v>-2.55864</v>
      </c>
      <c r="O349" t="b">
        <v>1</v>
      </c>
      <c r="Q349" t="e">
        <f t="shared" si="5"/>
        <v>#N/A</v>
      </c>
    </row>
    <row r="350" spans="1:17" x14ac:dyDescent="0.4">
      <c r="A350">
        <v>387</v>
      </c>
      <c r="B350" t="s">
        <v>20</v>
      </c>
      <c r="C350">
        <v>1</v>
      </c>
      <c r="E350" t="s">
        <v>1006</v>
      </c>
      <c r="F350" s="1">
        <v>45911</v>
      </c>
      <c r="G350" s="1">
        <v>45911</v>
      </c>
      <c r="H350" t="s">
        <v>1007</v>
      </c>
      <c r="I350" t="s">
        <v>1008</v>
      </c>
      <c r="J350" t="s">
        <v>36</v>
      </c>
      <c r="K350" t="s">
        <v>557</v>
      </c>
      <c r="L350" t="s">
        <v>1363</v>
      </c>
      <c r="M350" s="4">
        <v>43.106321999999999</v>
      </c>
      <c r="N350" s="4">
        <v>-3.0451920000000001</v>
      </c>
      <c r="O350" t="b">
        <v>1</v>
      </c>
      <c r="Q350">
        <f t="shared" si="5"/>
        <v>1</v>
      </c>
    </row>
    <row r="351" spans="1:17" x14ac:dyDescent="0.4">
      <c r="A351">
        <v>388</v>
      </c>
      <c r="B351" t="s">
        <v>20</v>
      </c>
      <c r="C351">
        <v>2</v>
      </c>
      <c r="D351">
        <v>17</v>
      </c>
      <c r="E351" t="s">
        <v>1009</v>
      </c>
      <c r="F351" s="1">
        <v>45911</v>
      </c>
      <c r="G351" s="1">
        <v>45911</v>
      </c>
      <c r="H351" t="s">
        <v>1010</v>
      </c>
      <c r="I351" t="s">
        <v>1010</v>
      </c>
      <c r="J351" t="s">
        <v>28</v>
      </c>
      <c r="K351" t="s">
        <v>557</v>
      </c>
      <c r="L351" t="s">
        <v>28</v>
      </c>
      <c r="O351" t="b">
        <v>1</v>
      </c>
      <c r="Q351">
        <f t="shared" si="5"/>
        <v>1</v>
      </c>
    </row>
    <row r="352" spans="1:17" x14ac:dyDescent="0.4">
      <c r="A352">
        <v>389</v>
      </c>
      <c r="B352" t="s">
        <v>20</v>
      </c>
      <c r="C352">
        <v>1</v>
      </c>
      <c r="E352" t="s">
        <v>1011</v>
      </c>
      <c r="F352" s="1">
        <v>45911</v>
      </c>
      <c r="G352" s="1">
        <v>45911</v>
      </c>
      <c r="H352" t="s">
        <v>1012</v>
      </c>
      <c r="I352" t="s">
        <v>1013</v>
      </c>
      <c r="J352" t="s">
        <v>76</v>
      </c>
      <c r="K352" t="s">
        <v>557</v>
      </c>
      <c r="L352" t="s">
        <v>1364</v>
      </c>
      <c r="M352" s="4">
        <v>43.143473999999998</v>
      </c>
      <c r="N352" s="4">
        <v>-2.9629180000000002</v>
      </c>
      <c r="O352" t="b">
        <v>1</v>
      </c>
      <c r="Q352">
        <f t="shared" si="5"/>
        <v>1</v>
      </c>
    </row>
    <row r="353" spans="1:17" x14ac:dyDescent="0.4">
      <c r="A353">
        <v>390</v>
      </c>
      <c r="B353" t="s">
        <v>40</v>
      </c>
      <c r="C353">
        <v>2</v>
      </c>
      <c r="D353">
        <v>2</v>
      </c>
      <c r="E353" t="s">
        <v>1014</v>
      </c>
      <c r="F353" s="1">
        <v>45912</v>
      </c>
      <c r="G353" s="1">
        <v>45912</v>
      </c>
      <c r="H353" t="s">
        <v>1015</v>
      </c>
      <c r="I353" t="s">
        <v>1016</v>
      </c>
      <c r="J353" t="s">
        <v>1017</v>
      </c>
      <c r="K353" t="s">
        <v>214</v>
      </c>
      <c r="L353" t="s">
        <v>1385</v>
      </c>
      <c r="O353" t="b">
        <v>1</v>
      </c>
      <c r="Q353">
        <f t="shared" si="5"/>
        <v>3</v>
      </c>
    </row>
    <row r="354" spans="1:17" x14ac:dyDescent="0.4">
      <c r="A354">
        <v>391</v>
      </c>
      <c r="B354" t="s">
        <v>20</v>
      </c>
      <c r="C354">
        <v>1</v>
      </c>
      <c r="E354" t="s">
        <v>1018</v>
      </c>
      <c r="F354" s="1">
        <v>45912</v>
      </c>
      <c r="G354" s="1">
        <v>45912</v>
      </c>
      <c r="H354" t="s">
        <v>1019</v>
      </c>
      <c r="I354" t="s">
        <v>1019</v>
      </c>
      <c r="J354" t="s">
        <v>915</v>
      </c>
      <c r="K354" t="s">
        <v>288</v>
      </c>
      <c r="L354" t="s">
        <v>915</v>
      </c>
      <c r="M354" s="4">
        <v>42.683407000000003</v>
      </c>
      <c r="N354" s="4">
        <v>-2.8591500000000001</v>
      </c>
      <c r="O354" t="b">
        <v>1</v>
      </c>
      <c r="Q354">
        <f t="shared" si="5"/>
        <v>5</v>
      </c>
    </row>
    <row r="355" spans="1:17" x14ac:dyDescent="0.4">
      <c r="A355">
        <v>392</v>
      </c>
      <c r="B355" t="s">
        <v>20</v>
      </c>
      <c r="C355">
        <v>1</v>
      </c>
      <c r="E355" t="s">
        <v>1020</v>
      </c>
      <c r="F355" s="1">
        <v>45913</v>
      </c>
      <c r="G355" s="1">
        <v>45913</v>
      </c>
      <c r="H355" t="s">
        <v>1021</v>
      </c>
      <c r="I355" t="s">
        <v>1021</v>
      </c>
      <c r="J355" t="s">
        <v>196</v>
      </c>
      <c r="K355" t="s">
        <v>288</v>
      </c>
      <c r="L355" t="s">
        <v>196</v>
      </c>
      <c r="M355" s="4">
        <v>42.664059000000002</v>
      </c>
      <c r="N355" s="4">
        <v>-2.8802940000000001</v>
      </c>
      <c r="O355" t="b">
        <v>1</v>
      </c>
      <c r="Q355">
        <f t="shared" si="5"/>
        <v>5</v>
      </c>
    </row>
    <row r="356" spans="1:17" x14ac:dyDescent="0.4">
      <c r="A356">
        <v>393</v>
      </c>
      <c r="B356" t="s">
        <v>20</v>
      </c>
      <c r="C356">
        <v>1</v>
      </c>
      <c r="E356" t="s">
        <v>1022</v>
      </c>
      <c r="F356" s="1">
        <v>45913</v>
      </c>
      <c r="G356" s="1">
        <v>45913</v>
      </c>
      <c r="H356" t="s">
        <v>1023</v>
      </c>
      <c r="I356" t="s">
        <v>1023</v>
      </c>
      <c r="J356" t="s">
        <v>457</v>
      </c>
      <c r="K356" t="s">
        <v>557</v>
      </c>
      <c r="L356" t="s">
        <v>1363</v>
      </c>
      <c r="M356" s="4">
        <v>43.07443</v>
      </c>
      <c r="N356" s="4">
        <v>-3.112962</v>
      </c>
      <c r="O356" t="b">
        <v>1</v>
      </c>
      <c r="Q356">
        <f t="shared" si="5"/>
        <v>1</v>
      </c>
    </row>
    <row r="357" spans="1:17" x14ac:dyDescent="0.4">
      <c r="A357">
        <v>394</v>
      </c>
      <c r="B357" t="s">
        <v>15</v>
      </c>
      <c r="C357">
        <v>1</v>
      </c>
      <c r="E357" t="s">
        <v>1024</v>
      </c>
      <c r="F357" s="1">
        <v>45913</v>
      </c>
      <c r="G357" s="1">
        <v>45913</v>
      </c>
      <c r="H357" t="s">
        <v>1025</v>
      </c>
      <c r="I357" t="s">
        <v>1025</v>
      </c>
      <c r="J357" t="s">
        <v>43</v>
      </c>
      <c r="K357" t="s">
        <v>214</v>
      </c>
      <c r="L357" t="s">
        <v>1385</v>
      </c>
      <c r="M357" s="4">
        <v>42.847745000000003</v>
      </c>
      <c r="N357" s="4">
        <v>-2.3949020000000001</v>
      </c>
      <c r="O357" t="b">
        <v>1</v>
      </c>
      <c r="Q357">
        <f t="shared" si="5"/>
        <v>3</v>
      </c>
    </row>
    <row r="358" spans="1:17" x14ac:dyDescent="0.4">
      <c r="A358">
        <v>395</v>
      </c>
      <c r="B358" t="s">
        <v>20</v>
      </c>
      <c r="C358">
        <v>1</v>
      </c>
      <c r="E358" t="s">
        <v>1026</v>
      </c>
      <c r="F358" s="1">
        <v>45913</v>
      </c>
      <c r="G358" s="1">
        <v>45913</v>
      </c>
      <c r="H358" t="s">
        <v>1027</v>
      </c>
      <c r="I358" t="s">
        <v>1027</v>
      </c>
      <c r="J358" t="s">
        <v>76</v>
      </c>
      <c r="K358" t="s">
        <v>557</v>
      </c>
      <c r="L358" t="s">
        <v>1364</v>
      </c>
      <c r="M358" s="4">
        <v>43.145232</v>
      </c>
      <c r="N358" s="4">
        <v>-2.9590049999999999</v>
      </c>
      <c r="O358" t="b">
        <v>1</v>
      </c>
      <c r="Q358">
        <f t="shared" si="5"/>
        <v>1</v>
      </c>
    </row>
    <row r="359" spans="1:17" x14ac:dyDescent="0.4">
      <c r="A359">
        <v>396</v>
      </c>
      <c r="B359" t="s">
        <v>15</v>
      </c>
      <c r="C359">
        <v>1</v>
      </c>
      <c r="E359" t="s">
        <v>1028</v>
      </c>
      <c r="F359" s="1">
        <v>45914</v>
      </c>
      <c r="G359" s="1">
        <v>45914</v>
      </c>
      <c r="H359" t="s">
        <v>1029</v>
      </c>
      <c r="I359" t="s">
        <v>1029</v>
      </c>
      <c r="J359" t="s">
        <v>48</v>
      </c>
      <c r="K359" t="s">
        <v>557</v>
      </c>
      <c r="L359" t="s">
        <v>48</v>
      </c>
      <c r="M359" s="4">
        <v>43.121208000000003</v>
      </c>
      <c r="N359" s="4">
        <v>-3.1301480000000002</v>
      </c>
      <c r="O359" t="b">
        <v>1</v>
      </c>
      <c r="Q359">
        <f t="shared" si="5"/>
        <v>1</v>
      </c>
    </row>
    <row r="360" spans="1:17" x14ac:dyDescent="0.4">
      <c r="A360">
        <v>397</v>
      </c>
      <c r="B360" t="s">
        <v>20</v>
      </c>
      <c r="C360">
        <v>1</v>
      </c>
      <c r="E360" t="s">
        <v>1030</v>
      </c>
      <c r="F360" s="1">
        <v>45914</v>
      </c>
      <c r="G360" s="1">
        <v>45914</v>
      </c>
      <c r="H360" t="s">
        <v>1031</v>
      </c>
      <c r="I360" t="s">
        <v>1031</v>
      </c>
      <c r="J360" t="s">
        <v>43</v>
      </c>
      <c r="K360" t="s">
        <v>214</v>
      </c>
      <c r="L360" t="s">
        <v>1385</v>
      </c>
      <c r="M360" s="4">
        <v>42.849446999999998</v>
      </c>
      <c r="N360" s="4">
        <v>-2.38856</v>
      </c>
      <c r="O360" t="b">
        <v>1</v>
      </c>
      <c r="Q360">
        <f t="shared" si="5"/>
        <v>3</v>
      </c>
    </row>
    <row r="361" spans="1:17" x14ac:dyDescent="0.4">
      <c r="A361">
        <v>398</v>
      </c>
      <c r="B361" t="s">
        <v>20</v>
      </c>
      <c r="C361">
        <v>1</v>
      </c>
      <c r="E361" t="s">
        <v>1032</v>
      </c>
      <c r="F361" s="1">
        <v>45916</v>
      </c>
      <c r="G361" s="1">
        <v>45926</v>
      </c>
      <c r="H361" t="s">
        <v>1033</v>
      </c>
      <c r="I361" t="s">
        <v>1033</v>
      </c>
      <c r="J361" t="s">
        <v>28</v>
      </c>
      <c r="K361" t="s">
        <v>557</v>
      </c>
      <c r="L361" t="s">
        <v>28</v>
      </c>
      <c r="M361" s="4">
        <v>43.050845000000002</v>
      </c>
      <c r="N361" s="4">
        <v>-2.9999449999999999</v>
      </c>
      <c r="O361" t="b">
        <v>1</v>
      </c>
      <c r="Q361">
        <f t="shared" si="5"/>
        <v>1</v>
      </c>
    </row>
    <row r="362" spans="1:17" x14ac:dyDescent="0.4">
      <c r="A362">
        <v>399</v>
      </c>
      <c r="B362" t="s">
        <v>20</v>
      </c>
      <c r="C362">
        <v>1</v>
      </c>
      <c r="E362" t="s">
        <v>1034</v>
      </c>
      <c r="F362" s="1">
        <v>45916</v>
      </c>
      <c r="G362" s="1">
        <v>45916</v>
      </c>
      <c r="H362" t="s">
        <v>1035</v>
      </c>
      <c r="I362" t="s">
        <v>1035</v>
      </c>
      <c r="J362" t="s">
        <v>39</v>
      </c>
      <c r="K362" t="s">
        <v>557</v>
      </c>
      <c r="L362" t="s">
        <v>1363</v>
      </c>
      <c r="M362" s="4">
        <v>43.069093000000002</v>
      </c>
      <c r="N362" s="4">
        <v>-3.073315</v>
      </c>
      <c r="O362" t="b">
        <v>1</v>
      </c>
      <c r="Q362">
        <f t="shared" si="5"/>
        <v>1</v>
      </c>
    </row>
    <row r="363" spans="1:17" x14ac:dyDescent="0.4">
      <c r="A363">
        <v>400</v>
      </c>
      <c r="B363" t="s">
        <v>15</v>
      </c>
      <c r="C363">
        <v>1</v>
      </c>
      <c r="E363" t="s">
        <v>1036</v>
      </c>
      <c r="F363" s="1">
        <v>45916</v>
      </c>
      <c r="G363" s="1">
        <v>45916</v>
      </c>
      <c r="H363" t="s">
        <v>1037</v>
      </c>
      <c r="I363" t="s">
        <v>1037</v>
      </c>
      <c r="J363" t="s">
        <v>179</v>
      </c>
      <c r="K363" t="s">
        <v>557</v>
      </c>
      <c r="L363" t="s">
        <v>1363</v>
      </c>
      <c r="M363" s="4">
        <v>43.093139999999998</v>
      </c>
      <c r="N363" s="4">
        <v>-3.0023629999999999</v>
      </c>
      <c r="O363" t="b">
        <v>1</v>
      </c>
      <c r="Q363">
        <f t="shared" si="5"/>
        <v>1</v>
      </c>
    </row>
    <row r="364" spans="1:17" x14ac:dyDescent="0.4">
      <c r="A364">
        <v>401</v>
      </c>
      <c r="B364" t="s">
        <v>15</v>
      </c>
      <c r="C364">
        <v>1</v>
      </c>
      <c r="E364" t="s">
        <v>1038</v>
      </c>
      <c r="F364" s="1">
        <v>45916</v>
      </c>
      <c r="G364" s="1">
        <v>45917</v>
      </c>
      <c r="H364" t="s">
        <v>1039</v>
      </c>
      <c r="I364" t="s">
        <v>1039</v>
      </c>
      <c r="J364" t="s">
        <v>80</v>
      </c>
      <c r="K364" t="s">
        <v>288</v>
      </c>
      <c r="L364" t="s">
        <v>1395</v>
      </c>
      <c r="M364" s="4">
        <v>42.801546000000002</v>
      </c>
      <c r="N364" s="4">
        <v>-2.8993639999999998</v>
      </c>
      <c r="O364" t="b">
        <v>1</v>
      </c>
      <c r="Q364">
        <f t="shared" si="5"/>
        <v>5</v>
      </c>
    </row>
    <row r="365" spans="1:17" x14ac:dyDescent="0.4">
      <c r="A365">
        <v>402</v>
      </c>
      <c r="B365" t="s">
        <v>15</v>
      </c>
      <c r="C365">
        <v>1</v>
      </c>
      <c r="E365" t="s">
        <v>1040</v>
      </c>
      <c r="F365" s="1">
        <v>45915</v>
      </c>
      <c r="G365" s="1">
        <v>45916</v>
      </c>
      <c r="H365" t="s">
        <v>1041</v>
      </c>
      <c r="I365" t="s">
        <v>1041</v>
      </c>
      <c r="J365" t="s">
        <v>66</v>
      </c>
      <c r="K365" t="s">
        <v>288</v>
      </c>
      <c r="L365" t="s">
        <v>1395</v>
      </c>
      <c r="O365" t="b">
        <v>1</v>
      </c>
      <c r="Q365">
        <f t="shared" si="5"/>
        <v>5</v>
      </c>
    </row>
    <row r="366" spans="1:17" x14ac:dyDescent="0.4">
      <c r="A366">
        <v>403</v>
      </c>
      <c r="B366" t="s">
        <v>20</v>
      </c>
      <c r="C366">
        <v>2</v>
      </c>
      <c r="D366">
        <v>8</v>
      </c>
      <c r="E366" t="s">
        <v>1042</v>
      </c>
      <c r="F366" s="1">
        <v>45912</v>
      </c>
      <c r="G366" s="1">
        <v>45912</v>
      </c>
      <c r="H366" t="s">
        <v>626</v>
      </c>
      <c r="I366" t="s">
        <v>626</v>
      </c>
      <c r="J366" t="s">
        <v>43</v>
      </c>
      <c r="K366" t="s">
        <v>214</v>
      </c>
      <c r="L366" t="s">
        <v>1385</v>
      </c>
      <c r="O366" t="b">
        <v>1</v>
      </c>
      <c r="Q366">
        <f t="shared" si="5"/>
        <v>3</v>
      </c>
    </row>
    <row r="367" spans="1:17" x14ac:dyDescent="0.4">
      <c r="A367">
        <v>404</v>
      </c>
      <c r="B367" t="s">
        <v>20</v>
      </c>
      <c r="C367">
        <v>2</v>
      </c>
      <c r="D367">
        <v>9</v>
      </c>
      <c r="E367" t="s">
        <v>1043</v>
      </c>
      <c r="F367" s="1">
        <v>45912</v>
      </c>
      <c r="G367" s="1">
        <v>45912</v>
      </c>
      <c r="H367" t="s">
        <v>1044</v>
      </c>
      <c r="I367" t="s">
        <v>1044</v>
      </c>
      <c r="J367" t="s">
        <v>28</v>
      </c>
      <c r="K367" t="s">
        <v>557</v>
      </c>
      <c r="L367" t="s">
        <v>28</v>
      </c>
      <c r="O367" t="b">
        <v>1</v>
      </c>
      <c r="Q367">
        <f t="shared" si="5"/>
        <v>1</v>
      </c>
    </row>
    <row r="368" spans="1:17" x14ac:dyDescent="0.4">
      <c r="A368">
        <v>405</v>
      </c>
      <c r="B368" t="s">
        <v>20</v>
      </c>
      <c r="C368">
        <v>2</v>
      </c>
      <c r="D368">
        <v>10</v>
      </c>
      <c r="E368" t="s">
        <v>1045</v>
      </c>
      <c r="F368" s="1">
        <v>45912</v>
      </c>
      <c r="G368" s="1">
        <v>45912</v>
      </c>
      <c r="H368" t="s">
        <v>1046</v>
      </c>
      <c r="I368" t="s">
        <v>1046</v>
      </c>
      <c r="J368" t="s">
        <v>257</v>
      </c>
      <c r="K368" t="s">
        <v>214</v>
      </c>
      <c r="L368" t="s">
        <v>258</v>
      </c>
      <c r="O368" t="b">
        <v>1</v>
      </c>
      <c r="Q368">
        <f t="shared" si="5"/>
        <v>3</v>
      </c>
    </row>
    <row r="369" spans="1:17" x14ac:dyDescent="0.4">
      <c r="A369">
        <v>406</v>
      </c>
      <c r="B369" t="s">
        <v>20</v>
      </c>
      <c r="C369">
        <v>2</v>
      </c>
      <c r="D369">
        <v>8</v>
      </c>
      <c r="E369" t="s">
        <v>1047</v>
      </c>
      <c r="F369" s="1">
        <v>45915</v>
      </c>
      <c r="G369" s="1">
        <v>45915</v>
      </c>
      <c r="H369" t="s">
        <v>1048</v>
      </c>
      <c r="I369" t="s">
        <v>1048</v>
      </c>
      <c r="J369" t="s">
        <v>76</v>
      </c>
      <c r="K369" t="s">
        <v>557</v>
      </c>
      <c r="L369" t="s">
        <v>1364</v>
      </c>
      <c r="O369" t="b">
        <v>1</v>
      </c>
      <c r="Q369">
        <f t="shared" si="5"/>
        <v>1</v>
      </c>
    </row>
    <row r="370" spans="1:17" x14ac:dyDescent="0.4">
      <c r="A370">
        <v>407</v>
      </c>
      <c r="B370" t="s">
        <v>20</v>
      </c>
      <c r="C370">
        <v>2</v>
      </c>
      <c r="D370">
        <v>10</v>
      </c>
      <c r="E370" t="s">
        <v>1049</v>
      </c>
      <c r="F370" s="1">
        <v>45911</v>
      </c>
      <c r="G370" s="1">
        <v>45911</v>
      </c>
      <c r="H370" t="s">
        <v>1050</v>
      </c>
      <c r="I370" t="s">
        <v>689</v>
      </c>
      <c r="J370" t="s">
        <v>66</v>
      </c>
      <c r="K370" t="s">
        <v>288</v>
      </c>
      <c r="L370" t="s">
        <v>1395</v>
      </c>
      <c r="O370" t="b">
        <v>1</v>
      </c>
      <c r="Q370">
        <f t="shared" si="5"/>
        <v>5</v>
      </c>
    </row>
    <row r="371" spans="1:17" x14ac:dyDescent="0.4">
      <c r="A371">
        <v>408</v>
      </c>
      <c r="B371" t="s">
        <v>20</v>
      </c>
      <c r="C371">
        <v>2</v>
      </c>
      <c r="D371">
        <v>10</v>
      </c>
      <c r="E371" t="s">
        <v>1051</v>
      </c>
      <c r="F371" s="1">
        <v>45915</v>
      </c>
      <c r="G371" s="1">
        <v>45915</v>
      </c>
      <c r="H371" t="s">
        <v>1052</v>
      </c>
      <c r="I371" t="s">
        <v>1052</v>
      </c>
      <c r="J371" t="s">
        <v>56</v>
      </c>
      <c r="K371" t="s">
        <v>288</v>
      </c>
      <c r="L371" t="s">
        <v>1398</v>
      </c>
      <c r="O371" t="b">
        <v>1</v>
      </c>
      <c r="Q371">
        <f t="shared" si="5"/>
        <v>5</v>
      </c>
    </row>
    <row r="372" spans="1:17" x14ac:dyDescent="0.4">
      <c r="A372">
        <v>409</v>
      </c>
      <c r="B372" t="s">
        <v>20</v>
      </c>
      <c r="C372">
        <v>2</v>
      </c>
      <c r="D372">
        <v>8</v>
      </c>
      <c r="E372" t="s">
        <v>1053</v>
      </c>
      <c r="F372" s="1">
        <v>45915</v>
      </c>
      <c r="G372" s="1">
        <v>45915</v>
      </c>
      <c r="H372" t="s">
        <v>626</v>
      </c>
      <c r="I372" t="s">
        <v>626</v>
      </c>
      <c r="J372" t="s">
        <v>43</v>
      </c>
      <c r="K372" t="s">
        <v>214</v>
      </c>
      <c r="L372" t="s">
        <v>1385</v>
      </c>
      <c r="O372" t="b">
        <v>1</v>
      </c>
      <c r="Q372">
        <f t="shared" si="5"/>
        <v>3</v>
      </c>
    </row>
    <row r="373" spans="1:17" x14ac:dyDescent="0.4">
      <c r="A373">
        <v>410</v>
      </c>
      <c r="B373" t="s">
        <v>20</v>
      </c>
      <c r="C373">
        <v>2</v>
      </c>
      <c r="D373">
        <v>8</v>
      </c>
      <c r="E373" t="s">
        <v>1054</v>
      </c>
      <c r="F373" s="1">
        <v>45915</v>
      </c>
      <c r="G373" s="1">
        <v>45915</v>
      </c>
      <c r="H373" t="s">
        <v>1055</v>
      </c>
      <c r="I373" t="s">
        <v>1055</v>
      </c>
      <c r="J373" t="s">
        <v>76</v>
      </c>
      <c r="K373" t="s">
        <v>557</v>
      </c>
      <c r="L373" t="s">
        <v>1364</v>
      </c>
      <c r="O373" t="b">
        <v>1</v>
      </c>
      <c r="Q373">
        <f t="shared" si="5"/>
        <v>1</v>
      </c>
    </row>
    <row r="374" spans="1:17" x14ac:dyDescent="0.4">
      <c r="A374">
        <v>411</v>
      </c>
      <c r="B374" t="s">
        <v>20</v>
      </c>
      <c r="C374">
        <v>2</v>
      </c>
      <c r="D374">
        <v>10</v>
      </c>
      <c r="E374" t="s">
        <v>1056</v>
      </c>
      <c r="F374" s="1">
        <v>45915</v>
      </c>
      <c r="G374" s="1">
        <v>45915</v>
      </c>
      <c r="H374" t="s">
        <v>1057</v>
      </c>
      <c r="I374" t="s">
        <v>1057</v>
      </c>
      <c r="J374" t="s">
        <v>39</v>
      </c>
      <c r="K374" t="s">
        <v>557</v>
      </c>
      <c r="L374" t="s">
        <v>1363</v>
      </c>
      <c r="O374" t="b">
        <v>1</v>
      </c>
      <c r="Q374">
        <f t="shared" si="5"/>
        <v>1</v>
      </c>
    </row>
    <row r="375" spans="1:17" x14ac:dyDescent="0.4">
      <c r="A375">
        <v>412</v>
      </c>
      <c r="B375" t="s">
        <v>20</v>
      </c>
      <c r="C375">
        <v>2</v>
      </c>
      <c r="D375">
        <v>8</v>
      </c>
      <c r="E375" t="s">
        <v>1058</v>
      </c>
      <c r="F375" s="1">
        <v>45915</v>
      </c>
      <c r="G375" s="1">
        <v>45915</v>
      </c>
      <c r="H375" t="s">
        <v>1059</v>
      </c>
      <c r="I375" t="s">
        <v>1059</v>
      </c>
      <c r="J375" t="s">
        <v>124</v>
      </c>
      <c r="K375" t="s">
        <v>1412</v>
      </c>
      <c r="L375" t="s">
        <v>399</v>
      </c>
      <c r="O375" t="b">
        <v>1</v>
      </c>
      <c r="Q375">
        <f t="shared" si="5"/>
        <v>6</v>
      </c>
    </row>
    <row r="376" spans="1:17" x14ac:dyDescent="0.4">
      <c r="A376">
        <v>413</v>
      </c>
      <c r="B376" t="s">
        <v>20</v>
      </c>
      <c r="C376">
        <v>2</v>
      </c>
      <c r="D376">
        <v>10</v>
      </c>
      <c r="E376" t="s">
        <v>1060</v>
      </c>
      <c r="F376" s="1">
        <v>45915</v>
      </c>
      <c r="G376" s="1">
        <v>45915</v>
      </c>
      <c r="H376" t="s">
        <v>1061</v>
      </c>
      <c r="I376" t="s">
        <v>1061</v>
      </c>
      <c r="J376" t="s">
        <v>36</v>
      </c>
      <c r="K376" t="s">
        <v>557</v>
      </c>
      <c r="L376" t="s">
        <v>1363</v>
      </c>
      <c r="O376" t="b">
        <v>1</v>
      </c>
      <c r="Q376">
        <f t="shared" si="5"/>
        <v>1</v>
      </c>
    </row>
    <row r="377" spans="1:17" x14ac:dyDescent="0.4">
      <c r="A377">
        <v>414</v>
      </c>
      <c r="B377" t="s">
        <v>20</v>
      </c>
      <c r="C377">
        <v>2</v>
      </c>
      <c r="D377">
        <v>10</v>
      </c>
      <c r="E377" t="s">
        <v>1062</v>
      </c>
      <c r="F377" s="1">
        <v>45915</v>
      </c>
      <c r="G377" s="1">
        <v>45915</v>
      </c>
      <c r="H377" t="s">
        <v>983</v>
      </c>
      <c r="I377" t="s">
        <v>1063</v>
      </c>
      <c r="J377" t="s">
        <v>135</v>
      </c>
      <c r="K377" t="s">
        <v>288</v>
      </c>
      <c r="L377" t="s">
        <v>1398</v>
      </c>
      <c r="O377" t="b">
        <v>1</v>
      </c>
      <c r="Q377">
        <f t="shared" si="5"/>
        <v>5</v>
      </c>
    </row>
    <row r="378" spans="1:17" x14ac:dyDescent="0.4">
      <c r="A378">
        <v>415</v>
      </c>
      <c r="B378" t="s">
        <v>20</v>
      </c>
      <c r="C378">
        <v>1</v>
      </c>
      <c r="E378" t="s">
        <v>1064</v>
      </c>
      <c r="F378" s="1">
        <v>45917</v>
      </c>
      <c r="G378" s="1">
        <v>45917</v>
      </c>
      <c r="H378" t="s">
        <v>1065</v>
      </c>
      <c r="I378" t="s">
        <v>1065</v>
      </c>
      <c r="J378" t="s">
        <v>574</v>
      </c>
      <c r="K378" t="s">
        <v>557</v>
      </c>
      <c r="L378" t="s">
        <v>1363</v>
      </c>
      <c r="M378" s="4">
        <v>43.035575000000001</v>
      </c>
      <c r="N378" s="4">
        <v>-3.072336</v>
      </c>
      <c r="O378" t="b">
        <v>1</v>
      </c>
      <c r="Q378">
        <f t="shared" si="5"/>
        <v>1</v>
      </c>
    </row>
    <row r="379" spans="1:17" x14ac:dyDescent="0.4">
      <c r="A379">
        <v>416</v>
      </c>
      <c r="B379" t="s">
        <v>20</v>
      </c>
      <c r="C379">
        <v>1</v>
      </c>
      <c r="E379" t="s">
        <v>1066</v>
      </c>
      <c r="F379" s="1">
        <v>45917</v>
      </c>
      <c r="G379" s="1">
        <v>45917</v>
      </c>
      <c r="H379" t="s">
        <v>1067</v>
      </c>
      <c r="I379" t="s">
        <v>1067</v>
      </c>
      <c r="J379" t="s">
        <v>92</v>
      </c>
      <c r="K379" t="s">
        <v>557</v>
      </c>
      <c r="L379" t="s">
        <v>1363</v>
      </c>
      <c r="M379" s="4">
        <v>43.087997000000001</v>
      </c>
      <c r="N379" s="4">
        <v>-3.044206</v>
      </c>
      <c r="O379" t="b">
        <v>1</v>
      </c>
      <c r="Q379">
        <f t="shared" si="5"/>
        <v>1</v>
      </c>
    </row>
    <row r="380" spans="1:17" x14ac:dyDescent="0.4">
      <c r="A380">
        <v>417</v>
      </c>
      <c r="B380" t="s">
        <v>20</v>
      </c>
      <c r="C380">
        <v>1</v>
      </c>
      <c r="E380" t="s">
        <v>1068</v>
      </c>
      <c r="F380" s="1">
        <v>45917</v>
      </c>
      <c r="G380" s="1">
        <v>45917</v>
      </c>
      <c r="H380" t="s">
        <v>1069</v>
      </c>
      <c r="I380" t="s">
        <v>1069</v>
      </c>
      <c r="J380" t="s">
        <v>592</v>
      </c>
      <c r="K380" t="s">
        <v>288</v>
      </c>
      <c r="L380" t="s">
        <v>288</v>
      </c>
      <c r="O380" t="b">
        <v>1</v>
      </c>
      <c r="Q380">
        <f t="shared" si="5"/>
        <v>5</v>
      </c>
    </row>
    <row r="381" spans="1:17" x14ac:dyDescent="0.4">
      <c r="A381">
        <v>418</v>
      </c>
      <c r="B381" t="s">
        <v>20</v>
      </c>
      <c r="C381">
        <v>2</v>
      </c>
      <c r="D381">
        <v>18</v>
      </c>
      <c r="E381" t="s">
        <v>1070</v>
      </c>
      <c r="F381" s="1">
        <v>45917</v>
      </c>
      <c r="G381" s="1">
        <v>45917</v>
      </c>
      <c r="H381" t="s">
        <v>1071</v>
      </c>
      <c r="I381" t="s">
        <v>1072</v>
      </c>
      <c r="J381" t="s">
        <v>28</v>
      </c>
      <c r="K381" t="s">
        <v>557</v>
      </c>
      <c r="L381" t="s">
        <v>28</v>
      </c>
      <c r="O381" t="b">
        <v>1</v>
      </c>
      <c r="Q381">
        <f t="shared" si="5"/>
        <v>1</v>
      </c>
    </row>
    <row r="382" spans="1:17" x14ac:dyDescent="0.4">
      <c r="A382">
        <v>419</v>
      </c>
      <c r="E382" t="s">
        <v>1073</v>
      </c>
      <c r="O382" t="b">
        <v>1</v>
      </c>
      <c r="Q382" t="e">
        <f t="shared" si="5"/>
        <v>#N/A</v>
      </c>
    </row>
    <row r="383" spans="1:17" x14ac:dyDescent="0.4">
      <c r="A383">
        <v>420</v>
      </c>
      <c r="B383" t="s">
        <v>20</v>
      </c>
      <c r="C383">
        <v>2</v>
      </c>
      <c r="D383">
        <v>10</v>
      </c>
      <c r="E383" t="s">
        <v>1074</v>
      </c>
      <c r="F383" s="1">
        <v>45917</v>
      </c>
      <c r="G383" s="1">
        <v>45917</v>
      </c>
      <c r="H383" t="s">
        <v>1075</v>
      </c>
      <c r="I383" t="s">
        <v>1075</v>
      </c>
      <c r="J383" t="s">
        <v>164</v>
      </c>
      <c r="K383" t="s">
        <v>214</v>
      </c>
      <c r="L383" t="s">
        <v>1385</v>
      </c>
      <c r="O383" t="b">
        <v>1</v>
      </c>
      <c r="Q383">
        <f t="shared" si="5"/>
        <v>3</v>
      </c>
    </row>
    <row r="384" spans="1:17" x14ac:dyDescent="0.4">
      <c r="A384">
        <v>421</v>
      </c>
      <c r="B384" t="s">
        <v>20</v>
      </c>
      <c r="C384">
        <v>2</v>
      </c>
      <c r="D384">
        <v>8</v>
      </c>
      <c r="E384" t="s">
        <v>1076</v>
      </c>
      <c r="F384" s="1">
        <v>45917</v>
      </c>
      <c r="G384" s="1">
        <v>45917</v>
      </c>
      <c r="H384" t="s">
        <v>1077</v>
      </c>
      <c r="I384" t="s">
        <v>1077</v>
      </c>
      <c r="J384" t="s">
        <v>76</v>
      </c>
      <c r="K384" t="s">
        <v>557</v>
      </c>
      <c r="L384" t="s">
        <v>1364</v>
      </c>
      <c r="O384" t="b">
        <v>1</v>
      </c>
      <c r="Q384">
        <f t="shared" si="5"/>
        <v>1</v>
      </c>
    </row>
    <row r="385" spans="1:17" x14ac:dyDescent="0.4">
      <c r="A385">
        <v>422</v>
      </c>
      <c r="B385" t="s">
        <v>15</v>
      </c>
      <c r="C385">
        <v>2</v>
      </c>
      <c r="D385">
        <v>3</v>
      </c>
      <c r="E385" t="s">
        <v>1078</v>
      </c>
      <c r="F385" s="1">
        <v>45917</v>
      </c>
      <c r="G385" s="1">
        <v>45917</v>
      </c>
      <c r="H385" t="s">
        <v>1079</v>
      </c>
      <c r="I385" t="s">
        <v>1080</v>
      </c>
      <c r="J385" t="s">
        <v>43</v>
      </c>
      <c r="K385" t="s">
        <v>214</v>
      </c>
      <c r="L385" t="s">
        <v>1385</v>
      </c>
      <c r="O385" t="b">
        <v>1</v>
      </c>
      <c r="Q385">
        <f t="shared" si="5"/>
        <v>3</v>
      </c>
    </row>
    <row r="386" spans="1:17" x14ac:dyDescent="0.4">
      <c r="A386">
        <v>424</v>
      </c>
      <c r="B386" t="s">
        <v>20</v>
      </c>
      <c r="C386">
        <v>1</v>
      </c>
      <c r="E386" t="s">
        <v>1081</v>
      </c>
      <c r="F386" s="1">
        <v>45917</v>
      </c>
      <c r="G386" s="1">
        <v>45917</v>
      </c>
      <c r="H386" t="s">
        <v>1082</v>
      </c>
      <c r="I386" t="s">
        <v>1082</v>
      </c>
      <c r="J386" t="s">
        <v>76</v>
      </c>
      <c r="K386" t="s">
        <v>557</v>
      </c>
      <c r="L386" t="s">
        <v>1364</v>
      </c>
      <c r="M386" s="4">
        <v>43.146928000000003</v>
      </c>
      <c r="N386" s="4">
        <v>-2.9433020000000001</v>
      </c>
      <c r="O386" t="b">
        <v>1</v>
      </c>
      <c r="Q386">
        <f t="shared" si="5"/>
        <v>1</v>
      </c>
    </row>
    <row r="387" spans="1:17" x14ac:dyDescent="0.4">
      <c r="A387">
        <v>425</v>
      </c>
      <c r="B387" t="s">
        <v>20</v>
      </c>
      <c r="C387">
        <v>1</v>
      </c>
      <c r="E387" t="s">
        <v>1083</v>
      </c>
      <c r="F387" s="1">
        <v>45918</v>
      </c>
      <c r="G387" s="1">
        <v>45918</v>
      </c>
      <c r="H387" t="s">
        <v>1084</v>
      </c>
      <c r="I387" t="s">
        <v>1084</v>
      </c>
      <c r="J387" t="s">
        <v>76</v>
      </c>
      <c r="K387" t="s">
        <v>557</v>
      </c>
      <c r="L387" t="s">
        <v>1364</v>
      </c>
      <c r="M387" s="4">
        <v>43.145001000000001</v>
      </c>
      <c r="N387" s="4">
        <v>-2.9599709999999999</v>
      </c>
      <c r="O387" t="b">
        <v>1</v>
      </c>
      <c r="Q387">
        <f t="shared" ref="Q387:Q450" si="6">VLOOKUP(L387,$V$2:$W$253,2,FALSE)</f>
        <v>1</v>
      </c>
    </row>
    <row r="388" spans="1:17" x14ac:dyDescent="0.4">
      <c r="A388">
        <v>426</v>
      </c>
      <c r="B388" t="s">
        <v>20</v>
      </c>
      <c r="C388">
        <v>1</v>
      </c>
      <c r="E388" t="s">
        <v>1085</v>
      </c>
      <c r="F388" s="1">
        <v>45918</v>
      </c>
      <c r="G388" s="1">
        <v>45918</v>
      </c>
      <c r="H388" t="s">
        <v>1086</v>
      </c>
      <c r="I388" t="s">
        <v>1087</v>
      </c>
      <c r="J388" t="s">
        <v>76</v>
      </c>
      <c r="K388" t="s">
        <v>557</v>
      </c>
      <c r="L388" t="s">
        <v>1364</v>
      </c>
      <c r="M388" s="4">
        <v>43.144979999999997</v>
      </c>
      <c r="N388" s="4">
        <v>-2.965023</v>
      </c>
      <c r="O388" t="b">
        <v>1</v>
      </c>
      <c r="Q388">
        <f t="shared" si="6"/>
        <v>1</v>
      </c>
    </row>
    <row r="389" spans="1:17" x14ac:dyDescent="0.4">
      <c r="A389">
        <v>427</v>
      </c>
      <c r="B389" t="s">
        <v>40</v>
      </c>
      <c r="C389">
        <v>1</v>
      </c>
      <c r="E389" t="s">
        <v>1088</v>
      </c>
      <c r="F389" s="1">
        <v>45918</v>
      </c>
      <c r="G389" s="1">
        <v>45918</v>
      </c>
      <c r="H389" t="s">
        <v>1089</v>
      </c>
      <c r="I389" t="s">
        <v>1089</v>
      </c>
      <c r="J389" t="s">
        <v>28</v>
      </c>
      <c r="K389" t="s">
        <v>557</v>
      </c>
      <c r="L389" t="s">
        <v>28</v>
      </c>
      <c r="O389" t="b">
        <v>1</v>
      </c>
      <c r="Q389">
        <f t="shared" si="6"/>
        <v>1</v>
      </c>
    </row>
    <row r="390" spans="1:17" x14ac:dyDescent="0.4">
      <c r="A390">
        <v>428</v>
      </c>
      <c r="B390" t="s">
        <v>20</v>
      </c>
      <c r="C390">
        <v>1</v>
      </c>
      <c r="E390" t="s">
        <v>1090</v>
      </c>
      <c r="F390" s="1">
        <v>45918</v>
      </c>
      <c r="G390" s="1">
        <v>45918</v>
      </c>
      <c r="H390" t="s">
        <v>1091</v>
      </c>
      <c r="I390" t="s">
        <v>1091</v>
      </c>
      <c r="J390" t="s">
        <v>509</v>
      </c>
      <c r="K390" t="s">
        <v>214</v>
      </c>
      <c r="L390" t="s">
        <v>1383</v>
      </c>
      <c r="M390" s="4">
        <v>42.850552</v>
      </c>
      <c r="N390" s="4">
        <v>-2.5389360000000001</v>
      </c>
      <c r="O390" t="b">
        <v>1</v>
      </c>
      <c r="Q390">
        <f t="shared" si="6"/>
        <v>3</v>
      </c>
    </row>
    <row r="391" spans="1:17" x14ac:dyDescent="0.4">
      <c r="A391">
        <v>429</v>
      </c>
      <c r="B391" t="s">
        <v>15</v>
      </c>
      <c r="C391">
        <v>2</v>
      </c>
      <c r="D391">
        <v>3</v>
      </c>
      <c r="E391" t="s">
        <v>1092</v>
      </c>
      <c r="F391" s="1">
        <v>45918</v>
      </c>
      <c r="G391" s="1">
        <v>45918</v>
      </c>
      <c r="H391" t="s">
        <v>1093</v>
      </c>
      <c r="I391" t="s">
        <v>1093</v>
      </c>
      <c r="J391" t="s">
        <v>43</v>
      </c>
      <c r="K391" t="s">
        <v>214</v>
      </c>
      <c r="L391" t="s">
        <v>1385</v>
      </c>
      <c r="O391" t="b">
        <v>1</v>
      </c>
      <c r="Q391">
        <f t="shared" si="6"/>
        <v>3</v>
      </c>
    </row>
    <row r="392" spans="1:17" x14ac:dyDescent="0.4">
      <c r="A392">
        <v>430</v>
      </c>
      <c r="B392" t="s">
        <v>20</v>
      </c>
      <c r="C392">
        <v>2</v>
      </c>
      <c r="D392">
        <v>10</v>
      </c>
      <c r="E392" t="s">
        <v>1094</v>
      </c>
      <c r="F392" s="1">
        <v>45918</v>
      </c>
      <c r="G392" s="1">
        <v>45918</v>
      </c>
      <c r="H392" t="s">
        <v>1095</v>
      </c>
      <c r="I392" t="s">
        <v>1095</v>
      </c>
      <c r="J392" t="s">
        <v>257</v>
      </c>
      <c r="K392" t="s">
        <v>214</v>
      </c>
      <c r="L392" t="s">
        <v>258</v>
      </c>
      <c r="O392" t="b">
        <v>1</v>
      </c>
      <c r="Q392">
        <f t="shared" si="6"/>
        <v>3</v>
      </c>
    </row>
    <row r="393" spans="1:17" x14ac:dyDescent="0.4">
      <c r="A393">
        <v>432</v>
      </c>
      <c r="B393" t="s">
        <v>20</v>
      </c>
      <c r="C393">
        <v>2</v>
      </c>
      <c r="D393">
        <v>12</v>
      </c>
      <c r="E393" t="s">
        <v>1096</v>
      </c>
      <c r="F393" s="1">
        <v>45912</v>
      </c>
      <c r="G393" s="1">
        <v>45912</v>
      </c>
      <c r="H393" t="s">
        <v>1097</v>
      </c>
      <c r="I393" t="s">
        <v>1097</v>
      </c>
      <c r="J393" t="s">
        <v>76</v>
      </c>
      <c r="K393" t="s">
        <v>557</v>
      </c>
      <c r="L393" t="s">
        <v>1364</v>
      </c>
      <c r="O393" t="b">
        <v>1</v>
      </c>
      <c r="Q393">
        <f t="shared" si="6"/>
        <v>1</v>
      </c>
    </row>
    <row r="394" spans="1:17" x14ac:dyDescent="0.4">
      <c r="A394">
        <v>433</v>
      </c>
      <c r="B394" t="s">
        <v>20</v>
      </c>
      <c r="C394">
        <v>1</v>
      </c>
      <c r="E394" t="s">
        <v>1098</v>
      </c>
      <c r="F394" s="1">
        <v>45916</v>
      </c>
      <c r="G394" s="1">
        <v>45916</v>
      </c>
      <c r="H394" t="s">
        <v>1099</v>
      </c>
      <c r="I394" t="s">
        <v>1099</v>
      </c>
      <c r="J394" t="s">
        <v>28</v>
      </c>
      <c r="K394" t="s">
        <v>557</v>
      </c>
      <c r="L394" t="s">
        <v>28</v>
      </c>
      <c r="M394" s="4">
        <v>43.049000999999997</v>
      </c>
      <c r="N394" s="4">
        <v>-3.002075</v>
      </c>
      <c r="O394" t="b">
        <v>1</v>
      </c>
      <c r="Q394">
        <f t="shared" si="6"/>
        <v>1</v>
      </c>
    </row>
    <row r="395" spans="1:17" x14ac:dyDescent="0.4">
      <c r="A395">
        <v>434</v>
      </c>
      <c r="B395" t="s">
        <v>15</v>
      </c>
      <c r="C395">
        <v>1</v>
      </c>
      <c r="E395" t="s">
        <v>1100</v>
      </c>
      <c r="F395" s="1">
        <v>45918</v>
      </c>
      <c r="G395" s="1">
        <v>45919</v>
      </c>
      <c r="H395" t="s">
        <v>961</v>
      </c>
      <c r="I395" t="s">
        <v>961</v>
      </c>
      <c r="J395" t="s">
        <v>48</v>
      </c>
      <c r="K395" t="s">
        <v>557</v>
      </c>
      <c r="L395" t="s">
        <v>48</v>
      </c>
      <c r="M395" s="4">
        <v>43.121026999999998</v>
      </c>
      <c r="N395" s="4">
        <v>-3.1297959999999998</v>
      </c>
      <c r="O395" t="b">
        <v>1</v>
      </c>
      <c r="Q395">
        <f t="shared" si="6"/>
        <v>1</v>
      </c>
    </row>
    <row r="396" spans="1:17" x14ac:dyDescent="0.4">
      <c r="A396">
        <v>436</v>
      </c>
      <c r="B396" t="s">
        <v>20</v>
      </c>
      <c r="C396">
        <v>1</v>
      </c>
      <c r="E396" t="s">
        <v>1101</v>
      </c>
      <c r="F396" s="1">
        <v>45908</v>
      </c>
      <c r="G396" s="1">
        <v>45908</v>
      </c>
      <c r="H396" t="s">
        <v>1102</v>
      </c>
      <c r="I396" t="s">
        <v>1102</v>
      </c>
      <c r="J396" t="s">
        <v>509</v>
      </c>
      <c r="K396" t="s">
        <v>214</v>
      </c>
      <c r="L396" t="s">
        <v>1383</v>
      </c>
      <c r="M396" s="4">
        <v>42.849178000000002</v>
      </c>
      <c r="N396" s="4">
        <v>-2.5460240000000001</v>
      </c>
      <c r="O396" t="b">
        <v>1</v>
      </c>
      <c r="Q396">
        <f t="shared" si="6"/>
        <v>3</v>
      </c>
    </row>
    <row r="397" spans="1:17" x14ac:dyDescent="0.4">
      <c r="A397">
        <v>437</v>
      </c>
      <c r="B397" t="s">
        <v>20</v>
      </c>
      <c r="C397">
        <v>1</v>
      </c>
      <c r="E397" t="s">
        <v>1103</v>
      </c>
      <c r="F397" s="1">
        <v>45915</v>
      </c>
      <c r="G397" s="1">
        <v>45915</v>
      </c>
      <c r="H397" t="s">
        <v>1104</v>
      </c>
      <c r="I397" t="s">
        <v>1104</v>
      </c>
      <c r="J397" t="s">
        <v>641</v>
      </c>
      <c r="K397" t="s">
        <v>557</v>
      </c>
      <c r="L397" t="s">
        <v>28</v>
      </c>
      <c r="O397" t="b">
        <v>1</v>
      </c>
      <c r="Q397">
        <f t="shared" si="6"/>
        <v>1</v>
      </c>
    </row>
    <row r="398" spans="1:17" x14ac:dyDescent="0.4">
      <c r="A398">
        <v>438</v>
      </c>
      <c r="B398" t="s">
        <v>15</v>
      </c>
      <c r="C398">
        <v>1</v>
      </c>
      <c r="E398" t="s">
        <v>1105</v>
      </c>
      <c r="F398" s="1">
        <v>45915</v>
      </c>
      <c r="G398" s="1">
        <v>45915</v>
      </c>
      <c r="H398" t="s">
        <v>1106</v>
      </c>
      <c r="I398" t="s">
        <v>1106</v>
      </c>
      <c r="J398" t="s">
        <v>80</v>
      </c>
      <c r="K398" t="s">
        <v>288</v>
      </c>
      <c r="L398" t="s">
        <v>1395</v>
      </c>
      <c r="O398" t="b">
        <v>1</v>
      </c>
      <c r="Q398">
        <f t="shared" si="6"/>
        <v>5</v>
      </c>
    </row>
    <row r="399" spans="1:17" x14ac:dyDescent="0.4">
      <c r="A399">
        <v>439</v>
      </c>
      <c r="B399" t="s">
        <v>20</v>
      </c>
      <c r="C399">
        <v>1</v>
      </c>
      <c r="E399" t="s">
        <v>1107</v>
      </c>
      <c r="F399" s="1">
        <v>45915</v>
      </c>
      <c r="G399" s="1">
        <v>45915</v>
      </c>
      <c r="H399" t="s">
        <v>1108</v>
      </c>
      <c r="I399" t="s">
        <v>1108</v>
      </c>
      <c r="J399" t="s">
        <v>76</v>
      </c>
      <c r="K399" t="s">
        <v>557</v>
      </c>
      <c r="L399" t="s">
        <v>1364</v>
      </c>
      <c r="O399" t="b">
        <v>1</v>
      </c>
      <c r="Q399">
        <f t="shared" si="6"/>
        <v>1</v>
      </c>
    </row>
    <row r="400" spans="1:17" x14ac:dyDescent="0.4">
      <c r="A400">
        <v>440</v>
      </c>
      <c r="B400" t="s">
        <v>40</v>
      </c>
      <c r="C400">
        <v>1</v>
      </c>
      <c r="E400" t="s">
        <v>1109</v>
      </c>
      <c r="F400" s="1">
        <v>45916</v>
      </c>
      <c r="G400" s="1">
        <v>45916</v>
      </c>
      <c r="H400" t="s">
        <v>1110</v>
      </c>
      <c r="I400" t="s">
        <v>1111</v>
      </c>
      <c r="J400" t="s">
        <v>997</v>
      </c>
      <c r="K400" t="s">
        <v>557</v>
      </c>
      <c r="L400" t="s">
        <v>28</v>
      </c>
      <c r="O400" t="b">
        <v>1</v>
      </c>
      <c r="Q400">
        <f t="shared" si="6"/>
        <v>1</v>
      </c>
    </row>
    <row r="401" spans="1:17" x14ac:dyDescent="0.4">
      <c r="A401">
        <v>441</v>
      </c>
      <c r="B401" t="s">
        <v>15</v>
      </c>
      <c r="C401">
        <v>1</v>
      </c>
      <c r="E401" t="s">
        <v>1112</v>
      </c>
      <c r="F401" s="1">
        <v>45918</v>
      </c>
      <c r="G401" s="1">
        <v>45918</v>
      </c>
      <c r="H401" t="s">
        <v>1113</v>
      </c>
      <c r="I401" t="s">
        <v>1113</v>
      </c>
      <c r="J401" t="s">
        <v>171</v>
      </c>
      <c r="K401" t="s">
        <v>557</v>
      </c>
      <c r="L401" t="s">
        <v>1363</v>
      </c>
      <c r="O401" t="b">
        <v>1</v>
      </c>
      <c r="Q401">
        <f t="shared" si="6"/>
        <v>1</v>
      </c>
    </row>
    <row r="402" spans="1:17" x14ac:dyDescent="0.4">
      <c r="A402">
        <v>442</v>
      </c>
      <c r="B402" t="s">
        <v>20</v>
      </c>
      <c r="C402">
        <v>1</v>
      </c>
      <c r="E402" t="s">
        <v>1114</v>
      </c>
      <c r="F402" s="1">
        <v>45918</v>
      </c>
      <c r="G402" s="1">
        <v>45919</v>
      </c>
      <c r="H402" t="s">
        <v>1115</v>
      </c>
      <c r="I402" t="s">
        <v>1115</v>
      </c>
      <c r="J402" t="s">
        <v>257</v>
      </c>
      <c r="K402" t="s">
        <v>214</v>
      </c>
      <c r="L402" t="s">
        <v>258</v>
      </c>
      <c r="O402" t="b">
        <v>1</v>
      </c>
      <c r="Q402">
        <f t="shared" si="6"/>
        <v>3</v>
      </c>
    </row>
    <row r="403" spans="1:17" x14ac:dyDescent="0.4">
      <c r="A403">
        <v>443</v>
      </c>
      <c r="B403" t="s">
        <v>40</v>
      </c>
      <c r="C403">
        <v>1</v>
      </c>
      <c r="E403" t="s">
        <v>1116</v>
      </c>
      <c r="F403" s="1">
        <v>45918</v>
      </c>
      <c r="G403" s="1">
        <v>45919</v>
      </c>
      <c r="H403" t="s">
        <v>1117</v>
      </c>
      <c r="I403" t="s">
        <v>1117</v>
      </c>
      <c r="J403" t="s">
        <v>997</v>
      </c>
      <c r="K403" t="s">
        <v>557</v>
      </c>
      <c r="L403" t="s">
        <v>28</v>
      </c>
      <c r="O403" t="b">
        <v>1</v>
      </c>
      <c r="Q403">
        <f t="shared" si="6"/>
        <v>1</v>
      </c>
    </row>
    <row r="404" spans="1:17" x14ac:dyDescent="0.4">
      <c r="A404">
        <v>444</v>
      </c>
      <c r="B404" t="s">
        <v>40</v>
      </c>
      <c r="C404">
        <v>2</v>
      </c>
      <c r="D404">
        <v>2</v>
      </c>
      <c r="E404" t="s">
        <v>1118</v>
      </c>
      <c r="F404" s="1">
        <v>45919</v>
      </c>
      <c r="G404" s="1">
        <v>45919</v>
      </c>
      <c r="H404" t="s">
        <v>1119</v>
      </c>
      <c r="I404" t="s">
        <v>1119</v>
      </c>
      <c r="J404" t="s">
        <v>557</v>
      </c>
      <c r="K404" t="s">
        <v>557</v>
      </c>
      <c r="L404" t="s">
        <v>1417</v>
      </c>
      <c r="O404" t="b">
        <v>1</v>
      </c>
      <c r="Q404" t="e">
        <f t="shared" si="6"/>
        <v>#N/A</v>
      </c>
    </row>
    <row r="405" spans="1:17" x14ac:dyDescent="0.4">
      <c r="A405">
        <v>445</v>
      </c>
      <c r="B405" t="s">
        <v>20</v>
      </c>
      <c r="C405">
        <v>1</v>
      </c>
      <c r="E405" t="s">
        <v>1120</v>
      </c>
      <c r="F405" s="1">
        <v>45919</v>
      </c>
      <c r="G405" s="1">
        <v>45925</v>
      </c>
      <c r="H405" t="s">
        <v>1121</v>
      </c>
      <c r="I405" t="s">
        <v>1121</v>
      </c>
      <c r="J405" t="s">
        <v>43</v>
      </c>
      <c r="K405" t="s">
        <v>214</v>
      </c>
      <c r="L405" t="s">
        <v>1385</v>
      </c>
      <c r="O405" t="b">
        <v>1</v>
      </c>
      <c r="Q405">
        <f t="shared" si="6"/>
        <v>3</v>
      </c>
    </row>
    <row r="406" spans="1:17" x14ac:dyDescent="0.4">
      <c r="A406">
        <v>447</v>
      </c>
      <c r="B406" t="s">
        <v>20</v>
      </c>
      <c r="C406">
        <v>1</v>
      </c>
      <c r="E406" t="s">
        <v>1122</v>
      </c>
      <c r="F406" s="1">
        <v>45920</v>
      </c>
      <c r="G406" s="1">
        <v>45920</v>
      </c>
      <c r="H406" t="s">
        <v>1123</v>
      </c>
      <c r="I406" t="s">
        <v>1123</v>
      </c>
      <c r="J406" t="s">
        <v>24</v>
      </c>
      <c r="K406" t="s">
        <v>557</v>
      </c>
      <c r="L406" t="s">
        <v>1363</v>
      </c>
      <c r="O406" t="b">
        <v>1</v>
      </c>
      <c r="Q406">
        <f t="shared" si="6"/>
        <v>1</v>
      </c>
    </row>
    <row r="407" spans="1:17" x14ac:dyDescent="0.4">
      <c r="A407">
        <v>448</v>
      </c>
      <c r="B407" t="s">
        <v>20</v>
      </c>
      <c r="C407">
        <v>1</v>
      </c>
      <c r="E407" t="s">
        <v>1124</v>
      </c>
      <c r="F407" s="1">
        <v>45920</v>
      </c>
      <c r="G407" s="1">
        <v>45920</v>
      </c>
      <c r="H407" t="s">
        <v>1125</v>
      </c>
      <c r="I407" t="s">
        <v>1125</v>
      </c>
      <c r="J407" t="s">
        <v>887</v>
      </c>
      <c r="K407" t="s">
        <v>288</v>
      </c>
      <c r="L407" t="s">
        <v>1392</v>
      </c>
      <c r="O407" t="b">
        <v>1</v>
      </c>
      <c r="Q407">
        <f t="shared" si="6"/>
        <v>5</v>
      </c>
    </row>
    <row r="408" spans="1:17" x14ac:dyDescent="0.4">
      <c r="A408">
        <v>449</v>
      </c>
      <c r="B408" t="s">
        <v>15</v>
      </c>
      <c r="C408">
        <v>1</v>
      </c>
      <c r="E408" t="s">
        <v>1126</v>
      </c>
      <c r="F408" s="1">
        <v>45920</v>
      </c>
      <c r="G408" s="1">
        <v>45920</v>
      </c>
      <c r="H408" t="s">
        <v>1127</v>
      </c>
      <c r="I408" t="s">
        <v>1127</v>
      </c>
      <c r="J408" t="s">
        <v>257</v>
      </c>
      <c r="K408" t="s">
        <v>214</v>
      </c>
      <c r="L408" t="s">
        <v>258</v>
      </c>
      <c r="O408" t="b">
        <v>1</v>
      </c>
      <c r="Q408">
        <f t="shared" si="6"/>
        <v>3</v>
      </c>
    </row>
    <row r="409" spans="1:17" x14ac:dyDescent="0.4">
      <c r="A409">
        <v>450</v>
      </c>
      <c r="B409" t="s">
        <v>15</v>
      </c>
      <c r="C409">
        <v>1</v>
      </c>
      <c r="E409" t="s">
        <v>1128</v>
      </c>
      <c r="F409" s="1">
        <v>45920</v>
      </c>
      <c r="G409" s="1">
        <v>45920</v>
      </c>
      <c r="H409" t="s">
        <v>1129</v>
      </c>
      <c r="I409" t="s">
        <v>1129</v>
      </c>
      <c r="J409" t="s">
        <v>48</v>
      </c>
      <c r="K409" t="s">
        <v>557</v>
      </c>
      <c r="L409" t="s">
        <v>48</v>
      </c>
      <c r="O409" t="b">
        <v>1</v>
      </c>
      <c r="Q409">
        <f t="shared" si="6"/>
        <v>1</v>
      </c>
    </row>
    <row r="410" spans="1:17" x14ac:dyDescent="0.4">
      <c r="A410">
        <v>451</v>
      </c>
      <c r="B410" t="s">
        <v>20</v>
      </c>
      <c r="C410">
        <v>1</v>
      </c>
      <c r="E410" t="s">
        <v>1130</v>
      </c>
      <c r="F410" s="1">
        <v>45920</v>
      </c>
      <c r="G410" s="1">
        <v>45920</v>
      </c>
      <c r="H410" t="s">
        <v>1131</v>
      </c>
      <c r="I410" t="s">
        <v>1131</v>
      </c>
      <c r="J410" t="s">
        <v>605</v>
      </c>
      <c r="K410" t="s">
        <v>557</v>
      </c>
      <c r="L410" t="s">
        <v>1363</v>
      </c>
      <c r="O410" t="b">
        <v>1</v>
      </c>
      <c r="Q410">
        <f t="shared" si="6"/>
        <v>1</v>
      </c>
    </row>
    <row r="411" spans="1:17" x14ac:dyDescent="0.4">
      <c r="A411">
        <v>452</v>
      </c>
      <c r="B411" t="s">
        <v>20</v>
      </c>
      <c r="C411">
        <v>1</v>
      </c>
      <c r="E411" t="s">
        <v>1132</v>
      </c>
      <c r="F411" s="1">
        <v>45921</v>
      </c>
      <c r="G411" s="1">
        <v>45921</v>
      </c>
      <c r="H411" t="s">
        <v>1133</v>
      </c>
      <c r="I411" t="s">
        <v>1133</v>
      </c>
      <c r="J411" t="s">
        <v>1134</v>
      </c>
      <c r="K411" t="s">
        <v>1412</v>
      </c>
      <c r="L411" t="s">
        <v>1135</v>
      </c>
      <c r="O411" t="b">
        <v>1</v>
      </c>
      <c r="Q411">
        <f t="shared" si="6"/>
        <v>6</v>
      </c>
    </row>
    <row r="412" spans="1:17" x14ac:dyDescent="0.4">
      <c r="A412">
        <v>453</v>
      </c>
      <c r="B412" t="s">
        <v>15</v>
      </c>
      <c r="C412">
        <v>1</v>
      </c>
      <c r="E412" t="s">
        <v>1136</v>
      </c>
      <c r="F412" s="1">
        <v>45921</v>
      </c>
      <c r="G412" s="1">
        <v>45921</v>
      </c>
      <c r="H412" t="s">
        <v>1137</v>
      </c>
      <c r="I412" t="s">
        <v>1137</v>
      </c>
      <c r="J412" t="s">
        <v>28</v>
      </c>
      <c r="K412" t="s">
        <v>557</v>
      </c>
      <c r="L412" t="s">
        <v>28</v>
      </c>
      <c r="O412" t="b">
        <v>1</v>
      </c>
      <c r="Q412">
        <f t="shared" si="6"/>
        <v>1</v>
      </c>
    </row>
    <row r="413" spans="1:17" x14ac:dyDescent="0.4">
      <c r="A413">
        <v>454</v>
      </c>
      <c r="B413" t="s">
        <v>20</v>
      </c>
      <c r="C413">
        <v>2</v>
      </c>
      <c r="D413">
        <v>8</v>
      </c>
      <c r="E413" t="s">
        <v>1138</v>
      </c>
      <c r="F413" s="1">
        <v>45912</v>
      </c>
      <c r="G413" s="1">
        <v>45912</v>
      </c>
      <c r="H413" t="s">
        <v>1139</v>
      </c>
      <c r="I413" t="s">
        <v>1139</v>
      </c>
      <c r="J413" t="s">
        <v>76</v>
      </c>
      <c r="K413" t="s">
        <v>557</v>
      </c>
      <c r="L413" t="s">
        <v>1364</v>
      </c>
      <c r="O413" t="b">
        <v>1</v>
      </c>
      <c r="Q413">
        <f t="shared" si="6"/>
        <v>1</v>
      </c>
    </row>
    <row r="414" spans="1:17" x14ac:dyDescent="0.4">
      <c r="A414">
        <v>455</v>
      </c>
      <c r="B414" t="s">
        <v>20</v>
      </c>
      <c r="C414">
        <v>1</v>
      </c>
      <c r="E414" t="s">
        <v>1140</v>
      </c>
      <c r="F414" s="1">
        <v>45921</v>
      </c>
      <c r="G414" s="1">
        <v>45924</v>
      </c>
      <c r="H414" t="s">
        <v>1141</v>
      </c>
      <c r="I414" t="s">
        <v>1141</v>
      </c>
      <c r="J414" t="s">
        <v>76</v>
      </c>
      <c r="K414" t="s">
        <v>557</v>
      </c>
      <c r="L414" t="s">
        <v>1364</v>
      </c>
      <c r="O414" t="b">
        <v>1</v>
      </c>
      <c r="Q414">
        <f t="shared" si="6"/>
        <v>1</v>
      </c>
    </row>
    <row r="415" spans="1:17" x14ac:dyDescent="0.4">
      <c r="A415">
        <v>456</v>
      </c>
      <c r="B415" t="s">
        <v>20</v>
      </c>
      <c r="C415">
        <v>1</v>
      </c>
      <c r="E415" t="s">
        <v>1142</v>
      </c>
      <c r="F415" s="1">
        <v>45919</v>
      </c>
      <c r="G415" s="1">
        <v>45919</v>
      </c>
      <c r="H415" t="s">
        <v>1143</v>
      </c>
      <c r="I415" t="s">
        <v>1143</v>
      </c>
      <c r="J415" t="s">
        <v>1144</v>
      </c>
      <c r="K415" t="s">
        <v>557</v>
      </c>
      <c r="L415" t="s">
        <v>1363</v>
      </c>
      <c r="M415" s="4">
        <v>43.067357000000001</v>
      </c>
      <c r="N415" s="4">
        <v>-3.0980099999999999</v>
      </c>
      <c r="O415" t="b">
        <v>1</v>
      </c>
      <c r="Q415">
        <f t="shared" si="6"/>
        <v>1</v>
      </c>
    </row>
    <row r="416" spans="1:17" x14ac:dyDescent="0.4">
      <c r="A416">
        <v>457</v>
      </c>
      <c r="B416" t="s">
        <v>20</v>
      </c>
      <c r="C416">
        <v>2</v>
      </c>
      <c r="D416">
        <v>8</v>
      </c>
      <c r="E416" t="s">
        <v>1145</v>
      </c>
      <c r="F416" s="1">
        <v>45919</v>
      </c>
      <c r="G416" s="1">
        <v>45919</v>
      </c>
      <c r="H416" t="s">
        <v>1146</v>
      </c>
      <c r="I416" t="s">
        <v>1146</v>
      </c>
      <c r="J416" t="s">
        <v>179</v>
      </c>
      <c r="K416" t="s">
        <v>557</v>
      </c>
      <c r="L416" t="s">
        <v>1363</v>
      </c>
      <c r="O416" t="b">
        <v>1</v>
      </c>
      <c r="Q416">
        <f t="shared" si="6"/>
        <v>1</v>
      </c>
    </row>
    <row r="417" spans="1:17" x14ac:dyDescent="0.4">
      <c r="A417">
        <v>458</v>
      </c>
      <c r="B417" t="s">
        <v>20</v>
      </c>
      <c r="C417">
        <v>1</v>
      </c>
      <c r="E417" t="s">
        <v>1147</v>
      </c>
      <c r="F417" s="1">
        <v>45919</v>
      </c>
      <c r="G417" s="1">
        <v>45925</v>
      </c>
      <c r="H417" t="s">
        <v>1148</v>
      </c>
      <c r="I417" t="s">
        <v>1149</v>
      </c>
      <c r="J417" t="s">
        <v>171</v>
      </c>
      <c r="K417" t="s">
        <v>557</v>
      </c>
      <c r="L417" t="s">
        <v>1363</v>
      </c>
      <c r="O417" t="b">
        <v>1</v>
      </c>
      <c r="Q417">
        <f t="shared" si="6"/>
        <v>1</v>
      </c>
    </row>
    <row r="418" spans="1:17" x14ac:dyDescent="0.4">
      <c r="A418">
        <v>459</v>
      </c>
      <c r="B418" t="s">
        <v>20</v>
      </c>
      <c r="C418">
        <v>1</v>
      </c>
      <c r="E418" t="s">
        <v>1150</v>
      </c>
      <c r="F418" s="1">
        <v>45920</v>
      </c>
      <c r="G418" s="1">
        <v>45920</v>
      </c>
      <c r="H418" t="s">
        <v>1151</v>
      </c>
      <c r="I418" t="s">
        <v>1151</v>
      </c>
      <c r="J418" t="s">
        <v>605</v>
      </c>
      <c r="K418" t="s">
        <v>557</v>
      </c>
      <c r="L418" t="s">
        <v>1363</v>
      </c>
      <c r="O418" t="b">
        <v>1</v>
      </c>
      <c r="Q418">
        <f t="shared" si="6"/>
        <v>1</v>
      </c>
    </row>
    <row r="419" spans="1:17" x14ac:dyDescent="0.4">
      <c r="A419">
        <v>460</v>
      </c>
      <c r="B419" t="s">
        <v>15</v>
      </c>
      <c r="C419">
        <v>1</v>
      </c>
      <c r="E419" t="s">
        <v>1152</v>
      </c>
      <c r="F419" s="1">
        <v>45920</v>
      </c>
      <c r="G419" s="1">
        <v>45920</v>
      </c>
      <c r="H419" t="s">
        <v>1153</v>
      </c>
      <c r="I419" t="s">
        <v>1153</v>
      </c>
      <c r="J419" t="s">
        <v>257</v>
      </c>
      <c r="K419" t="s">
        <v>214</v>
      </c>
      <c r="L419" t="s">
        <v>258</v>
      </c>
      <c r="O419" t="b">
        <v>1</v>
      </c>
      <c r="Q419">
        <f t="shared" si="6"/>
        <v>3</v>
      </c>
    </row>
    <row r="420" spans="1:17" x14ac:dyDescent="0.4">
      <c r="A420">
        <v>461</v>
      </c>
      <c r="B420" t="s">
        <v>32</v>
      </c>
      <c r="C420">
        <v>2</v>
      </c>
      <c r="D420">
        <v>3</v>
      </c>
      <c r="E420" t="s">
        <v>1154</v>
      </c>
      <c r="F420" s="1">
        <v>45922</v>
      </c>
      <c r="G420" s="1">
        <v>45922</v>
      </c>
      <c r="H420" t="s">
        <v>1155</v>
      </c>
      <c r="I420" t="s">
        <v>1155</v>
      </c>
      <c r="J420" t="s">
        <v>402</v>
      </c>
      <c r="K420" t="s">
        <v>1412</v>
      </c>
      <c r="L420" t="s">
        <v>1399</v>
      </c>
      <c r="O420" t="b">
        <v>1</v>
      </c>
      <c r="Q420">
        <f t="shared" si="6"/>
        <v>6</v>
      </c>
    </row>
    <row r="421" spans="1:17" x14ac:dyDescent="0.4">
      <c r="A421">
        <v>462</v>
      </c>
      <c r="B421" t="s">
        <v>20</v>
      </c>
      <c r="C421">
        <v>1</v>
      </c>
      <c r="E421" t="s">
        <v>1156</v>
      </c>
      <c r="F421" s="1">
        <v>45922</v>
      </c>
      <c r="G421" s="1">
        <v>45922</v>
      </c>
      <c r="H421" t="s">
        <v>1157</v>
      </c>
      <c r="I421" t="s">
        <v>1157</v>
      </c>
      <c r="J421" t="s">
        <v>28</v>
      </c>
      <c r="K421" t="s">
        <v>557</v>
      </c>
      <c r="L421" t="s">
        <v>28</v>
      </c>
      <c r="O421" t="b">
        <v>1</v>
      </c>
      <c r="Q421">
        <f t="shared" si="6"/>
        <v>1</v>
      </c>
    </row>
    <row r="422" spans="1:17" x14ac:dyDescent="0.4">
      <c r="A422">
        <v>464</v>
      </c>
      <c r="B422" t="s">
        <v>15</v>
      </c>
      <c r="C422">
        <v>1</v>
      </c>
      <c r="E422" t="s">
        <v>1158</v>
      </c>
      <c r="F422" s="1">
        <v>45923</v>
      </c>
      <c r="G422" s="1">
        <v>45923</v>
      </c>
      <c r="H422" t="s">
        <v>1159</v>
      </c>
      <c r="I422" t="s">
        <v>1159</v>
      </c>
      <c r="J422" t="s">
        <v>48</v>
      </c>
      <c r="K422" t="s">
        <v>557</v>
      </c>
      <c r="L422" t="s">
        <v>48</v>
      </c>
      <c r="O422" t="b">
        <v>1</v>
      </c>
      <c r="Q422">
        <f t="shared" si="6"/>
        <v>1</v>
      </c>
    </row>
    <row r="423" spans="1:17" x14ac:dyDescent="0.4">
      <c r="A423">
        <v>465</v>
      </c>
      <c r="B423" t="s">
        <v>15</v>
      </c>
      <c r="C423">
        <v>1</v>
      </c>
      <c r="E423" t="s">
        <v>1160</v>
      </c>
      <c r="F423" s="1">
        <v>45923</v>
      </c>
      <c r="G423" s="1">
        <v>45923</v>
      </c>
      <c r="H423" t="s">
        <v>1161</v>
      </c>
      <c r="I423" t="s">
        <v>1161</v>
      </c>
      <c r="J423" t="s">
        <v>76</v>
      </c>
      <c r="K423" t="s">
        <v>557</v>
      </c>
      <c r="L423" t="s">
        <v>1364</v>
      </c>
      <c r="O423" t="b">
        <v>1</v>
      </c>
      <c r="Q423">
        <f t="shared" si="6"/>
        <v>1</v>
      </c>
    </row>
    <row r="424" spans="1:17" x14ac:dyDescent="0.4">
      <c r="A424">
        <v>466</v>
      </c>
      <c r="B424" t="s">
        <v>15</v>
      </c>
      <c r="C424">
        <v>1</v>
      </c>
      <c r="E424" t="s">
        <v>1162</v>
      </c>
      <c r="F424" s="1">
        <v>45923</v>
      </c>
      <c r="G424" s="1">
        <v>45926</v>
      </c>
      <c r="H424" t="s">
        <v>1163</v>
      </c>
      <c r="I424" t="s">
        <v>1163</v>
      </c>
      <c r="J424" t="s">
        <v>66</v>
      </c>
      <c r="K424" t="s">
        <v>288</v>
      </c>
      <c r="L424" t="s">
        <v>1395</v>
      </c>
      <c r="O424" t="b">
        <v>1</v>
      </c>
      <c r="Q424">
        <f t="shared" si="6"/>
        <v>5</v>
      </c>
    </row>
    <row r="425" spans="1:17" x14ac:dyDescent="0.4">
      <c r="A425">
        <v>467</v>
      </c>
      <c r="B425" t="s">
        <v>20</v>
      </c>
      <c r="C425">
        <v>1</v>
      </c>
      <c r="E425" t="s">
        <v>1164</v>
      </c>
      <c r="F425" s="1">
        <v>45923</v>
      </c>
      <c r="H425" t="s">
        <v>1165</v>
      </c>
      <c r="I425" t="s">
        <v>1165</v>
      </c>
      <c r="J425" t="s">
        <v>76</v>
      </c>
      <c r="K425" t="s">
        <v>557</v>
      </c>
      <c r="L425" t="s">
        <v>1364</v>
      </c>
      <c r="O425" t="b">
        <v>0</v>
      </c>
      <c r="Q425">
        <f t="shared" si="6"/>
        <v>1</v>
      </c>
    </row>
    <row r="426" spans="1:17" x14ac:dyDescent="0.4">
      <c r="A426">
        <v>468</v>
      </c>
      <c r="B426" t="s">
        <v>20</v>
      </c>
      <c r="C426">
        <v>2</v>
      </c>
      <c r="D426">
        <v>9</v>
      </c>
      <c r="E426" t="s">
        <v>1166</v>
      </c>
      <c r="F426" s="1">
        <v>45923</v>
      </c>
      <c r="G426" s="1">
        <v>45923</v>
      </c>
      <c r="H426" t="s">
        <v>1167</v>
      </c>
      <c r="I426" t="s">
        <v>1167</v>
      </c>
      <c r="J426" t="s">
        <v>80</v>
      </c>
      <c r="K426" t="s">
        <v>288</v>
      </c>
      <c r="L426" t="s">
        <v>1395</v>
      </c>
      <c r="O426" t="b">
        <v>1</v>
      </c>
      <c r="Q426">
        <f t="shared" si="6"/>
        <v>5</v>
      </c>
    </row>
    <row r="427" spans="1:17" x14ac:dyDescent="0.4">
      <c r="A427">
        <v>469</v>
      </c>
      <c r="B427" t="s">
        <v>20</v>
      </c>
      <c r="C427">
        <v>2</v>
      </c>
      <c r="D427">
        <v>8</v>
      </c>
      <c r="E427" t="s">
        <v>1168</v>
      </c>
      <c r="F427" s="1">
        <v>45923</v>
      </c>
      <c r="G427" s="1">
        <v>45923</v>
      </c>
      <c r="H427" t="s">
        <v>1169</v>
      </c>
      <c r="I427" t="s">
        <v>1169</v>
      </c>
      <c r="J427" t="s">
        <v>1170</v>
      </c>
      <c r="K427" t="s">
        <v>1412</v>
      </c>
      <c r="L427" t="s">
        <v>1399</v>
      </c>
      <c r="O427" t="b">
        <v>1</v>
      </c>
      <c r="Q427">
        <f t="shared" si="6"/>
        <v>6</v>
      </c>
    </row>
    <row r="428" spans="1:17" x14ac:dyDescent="0.4">
      <c r="A428">
        <v>471</v>
      </c>
      <c r="B428" t="s">
        <v>15</v>
      </c>
      <c r="C428">
        <v>1</v>
      </c>
      <c r="E428" t="s">
        <v>1171</v>
      </c>
      <c r="F428" s="1">
        <v>45924</v>
      </c>
      <c r="H428" t="s">
        <v>1172</v>
      </c>
      <c r="I428" t="s">
        <v>1172</v>
      </c>
      <c r="J428" t="s">
        <v>48</v>
      </c>
      <c r="K428" t="s">
        <v>557</v>
      </c>
      <c r="L428" t="s">
        <v>48</v>
      </c>
      <c r="O428" t="b">
        <v>0</v>
      </c>
      <c r="Q428">
        <f t="shared" si="6"/>
        <v>1</v>
      </c>
    </row>
    <row r="429" spans="1:17" x14ac:dyDescent="0.4">
      <c r="A429">
        <v>472</v>
      </c>
      <c r="B429" t="s">
        <v>20</v>
      </c>
      <c r="C429">
        <v>2</v>
      </c>
      <c r="D429">
        <v>8</v>
      </c>
      <c r="E429" t="s">
        <v>1173</v>
      </c>
      <c r="F429" s="1">
        <v>45901</v>
      </c>
      <c r="G429" s="1">
        <v>45901</v>
      </c>
      <c r="H429" t="s">
        <v>1174</v>
      </c>
      <c r="I429" t="s">
        <v>1174</v>
      </c>
      <c r="J429" t="s">
        <v>76</v>
      </c>
      <c r="K429" t="s">
        <v>557</v>
      </c>
      <c r="L429" t="s">
        <v>1364</v>
      </c>
      <c r="O429" t="b">
        <v>1</v>
      </c>
      <c r="Q429">
        <f t="shared" si="6"/>
        <v>1</v>
      </c>
    </row>
    <row r="430" spans="1:17" x14ac:dyDescent="0.4">
      <c r="A430">
        <v>473</v>
      </c>
      <c r="B430" t="s">
        <v>20</v>
      </c>
      <c r="C430">
        <v>1</v>
      </c>
      <c r="E430" t="s">
        <v>1175</v>
      </c>
      <c r="F430" s="1">
        <v>45922</v>
      </c>
      <c r="G430" s="1">
        <v>45922</v>
      </c>
      <c r="H430" t="s">
        <v>1176</v>
      </c>
      <c r="I430" t="s">
        <v>1176</v>
      </c>
      <c r="J430" t="s">
        <v>76</v>
      </c>
      <c r="K430" t="s">
        <v>557</v>
      </c>
      <c r="L430" t="s">
        <v>1364</v>
      </c>
      <c r="O430" t="b">
        <v>1</v>
      </c>
      <c r="Q430">
        <f t="shared" si="6"/>
        <v>1</v>
      </c>
    </row>
    <row r="431" spans="1:17" x14ac:dyDescent="0.4">
      <c r="A431">
        <v>474</v>
      </c>
      <c r="B431" t="s">
        <v>20</v>
      </c>
      <c r="C431">
        <v>1</v>
      </c>
      <c r="E431" t="s">
        <v>1177</v>
      </c>
      <c r="F431" s="1">
        <v>45922</v>
      </c>
      <c r="G431" s="1">
        <v>45922</v>
      </c>
      <c r="H431" t="s">
        <v>1178</v>
      </c>
      <c r="I431" t="s">
        <v>1178</v>
      </c>
      <c r="J431" t="s">
        <v>28</v>
      </c>
      <c r="K431" t="s">
        <v>557</v>
      </c>
      <c r="L431" t="s">
        <v>28</v>
      </c>
      <c r="M431" s="4">
        <v>43.048881999999999</v>
      </c>
      <c r="N431" s="4">
        <v>-2.9951479999999999</v>
      </c>
      <c r="O431" t="b">
        <v>1</v>
      </c>
      <c r="Q431">
        <f t="shared" si="6"/>
        <v>1</v>
      </c>
    </row>
    <row r="432" spans="1:17" x14ac:dyDescent="0.4">
      <c r="A432">
        <v>475</v>
      </c>
      <c r="B432" t="s">
        <v>20</v>
      </c>
      <c r="C432">
        <v>2</v>
      </c>
      <c r="D432">
        <v>13</v>
      </c>
      <c r="E432" t="s">
        <v>1179</v>
      </c>
      <c r="F432" s="1">
        <v>45923</v>
      </c>
      <c r="G432" s="1">
        <v>45923</v>
      </c>
      <c r="H432" t="s">
        <v>1180</v>
      </c>
      <c r="I432" t="s">
        <v>1180</v>
      </c>
      <c r="J432" t="s">
        <v>76</v>
      </c>
      <c r="K432" t="s">
        <v>557</v>
      </c>
      <c r="L432" t="s">
        <v>1364</v>
      </c>
      <c r="O432" t="b">
        <v>1</v>
      </c>
      <c r="Q432">
        <f t="shared" si="6"/>
        <v>1</v>
      </c>
    </row>
    <row r="433" spans="1:17" x14ac:dyDescent="0.4">
      <c r="A433">
        <v>476</v>
      </c>
      <c r="B433" t="s">
        <v>15</v>
      </c>
      <c r="C433">
        <v>2</v>
      </c>
      <c r="D433">
        <v>1</v>
      </c>
      <c r="E433" t="s">
        <v>1181</v>
      </c>
      <c r="F433" s="1">
        <v>45924</v>
      </c>
      <c r="G433" s="1">
        <v>45924</v>
      </c>
      <c r="H433" t="s">
        <v>1182</v>
      </c>
      <c r="I433" t="s">
        <v>1182</v>
      </c>
      <c r="J433" t="s">
        <v>257</v>
      </c>
      <c r="K433" t="s">
        <v>214</v>
      </c>
      <c r="L433" t="s">
        <v>258</v>
      </c>
      <c r="O433" t="b">
        <v>1</v>
      </c>
      <c r="Q433">
        <f t="shared" si="6"/>
        <v>3</v>
      </c>
    </row>
    <row r="434" spans="1:17" x14ac:dyDescent="0.4">
      <c r="A434">
        <v>477</v>
      </c>
      <c r="B434" t="s">
        <v>20</v>
      </c>
      <c r="C434">
        <v>2</v>
      </c>
      <c r="D434">
        <v>13</v>
      </c>
      <c r="E434" t="s">
        <v>1183</v>
      </c>
      <c r="F434" s="1">
        <v>45922</v>
      </c>
      <c r="G434" s="1">
        <v>45922</v>
      </c>
      <c r="H434" t="s">
        <v>1184</v>
      </c>
      <c r="I434" t="s">
        <v>1184</v>
      </c>
      <c r="J434" t="s">
        <v>574</v>
      </c>
      <c r="K434" t="s">
        <v>557</v>
      </c>
      <c r="L434" t="s">
        <v>1363</v>
      </c>
      <c r="O434" t="b">
        <v>1</v>
      </c>
      <c r="Q434">
        <f t="shared" si="6"/>
        <v>1</v>
      </c>
    </row>
    <row r="435" spans="1:17" x14ac:dyDescent="0.4">
      <c r="A435">
        <v>478</v>
      </c>
      <c r="B435" t="s">
        <v>20</v>
      </c>
      <c r="C435">
        <v>1</v>
      </c>
      <c r="E435" t="s">
        <v>1185</v>
      </c>
      <c r="F435" s="1">
        <v>45924</v>
      </c>
      <c r="G435" s="1">
        <v>45924</v>
      </c>
      <c r="H435" t="s">
        <v>1186</v>
      </c>
      <c r="I435" t="s">
        <v>1186</v>
      </c>
      <c r="J435" t="s">
        <v>171</v>
      </c>
      <c r="K435" t="s">
        <v>557</v>
      </c>
      <c r="L435" t="s">
        <v>1363</v>
      </c>
      <c r="O435" t="b">
        <v>1</v>
      </c>
      <c r="Q435">
        <f t="shared" si="6"/>
        <v>1</v>
      </c>
    </row>
    <row r="436" spans="1:17" x14ac:dyDescent="0.4">
      <c r="A436">
        <v>479</v>
      </c>
      <c r="B436" t="s">
        <v>15</v>
      </c>
      <c r="C436">
        <v>1</v>
      </c>
      <c r="E436" t="s">
        <v>1187</v>
      </c>
      <c r="F436" s="1">
        <v>45926</v>
      </c>
      <c r="G436" s="1">
        <v>45926</v>
      </c>
      <c r="H436" t="s">
        <v>1188</v>
      </c>
      <c r="I436" t="s">
        <v>1188</v>
      </c>
      <c r="J436" t="s">
        <v>179</v>
      </c>
      <c r="K436" t="s">
        <v>557</v>
      </c>
      <c r="L436" t="s">
        <v>1363</v>
      </c>
      <c r="O436" t="b">
        <v>1</v>
      </c>
      <c r="Q436">
        <f t="shared" si="6"/>
        <v>1</v>
      </c>
    </row>
    <row r="437" spans="1:17" x14ac:dyDescent="0.4">
      <c r="A437">
        <v>480</v>
      </c>
      <c r="B437" t="s">
        <v>20</v>
      </c>
      <c r="C437">
        <v>2</v>
      </c>
      <c r="D437">
        <v>8</v>
      </c>
      <c r="E437" t="s">
        <v>1189</v>
      </c>
      <c r="F437" s="1">
        <v>45924</v>
      </c>
      <c r="G437" s="1">
        <v>45924</v>
      </c>
      <c r="H437" t="s">
        <v>1190</v>
      </c>
      <c r="I437" t="s">
        <v>1190</v>
      </c>
      <c r="J437" t="s">
        <v>76</v>
      </c>
      <c r="K437" t="s">
        <v>557</v>
      </c>
      <c r="L437" t="s">
        <v>1364</v>
      </c>
      <c r="O437" t="b">
        <v>1</v>
      </c>
      <c r="Q437">
        <f t="shared" si="6"/>
        <v>1</v>
      </c>
    </row>
    <row r="438" spans="1:17" x14ac:dyDescent="0.4">
      <c r="A438">
        <v>481</v>
      </c>
      <c r="B438" t="s">
        <v>20</v>
      </c>
      <c r="C438">
        <v>2</v>
      </c>
      <c r="D438">
        <v>10</v>
      </c>
      <c r="E438" t="s">
        <v>1191</v>
      </c>
      <c r="F438" s="1">
        <v>45924</v>
      </c>
      <c r="G438" s="1">
        <v>45924</v>
      </c>
      <c r="H438" t="s">
        <v>1192</v>
      </c>
      <c r="I438" t="s">
        <v>1192</v>
      </c>
      <c r="J438" t="s">
        <v>48</v>
      </c>
      <c r="K438" t="s">
        <v>557</v>
      </c>
      <c r="L438" t="s">
        <v>48</v>
      </c>
      <c r="O438" t="b">
        <v>1</v>
      </c>
      <c r="Q438">
        <f t="shared" si="6"/>
        <v>1</v>
      </c>
    </row>
    <row r="439" spans="1:17" x14ac:dyDescent="0.4">
      <c r="A439">
        <v>482</v>
      </c>
      <c r="B439" t="s">
        <v>20</v>
      </c>
      <c r="C439">
        <v>2</v>
      </c>
      <c r="D439">
        <v>12</v>
      </c>
      <c r="E439" t="s">
        <v>1193</v>
      </c>
      <c r="F439" s="1">
        <v>45924</v>
      </c>
      <c r="G439" s="1">
        <v>45924</v>
      </c>
      <c r="H439" t="s">
        <v>1194</v>
      </c>
      <c r="I439" t="s">
        <v>1194</v>
      </c>
      <c r="J439" t="s">
        <v>28</v>
      </c>
      <c r="K439" t="s">
        <v>557</v>
      </c>
      <c r="L439" t="s">
        <v>28</v>
      </c>
      <c r="O439" t="b">
        <v>1</v>
      </c>
      <c r="Q439">
        <f t="shared" si="6"/>
        <v>1</v>
      </c>
    </row>
    <row r="440" spans="1:17" x14ac:dyDescent="0.4">
      <c r="A440">
        <v>483</v>
      </c>
      <c r="B440" t="s">
        <v>20</v>
      </c>
      <c r="C440">
        <v>2</v>
      </c>
      <c r="D440">
        <v>8</v>
      </c>
      <c r="E440" t="s">
        <v>1195</v>
      </c>
      <c r="F440" s="1">
        <v>45923</v>
      </c>
      <c r="G440" s="1">
        <v>45923</v>
      </c>
      <c r="H440" t="s">
        <v>1196</v>
      </c>
      <c r="I440" t="s">
        <v>1196</v>
      </c>
      <c r="J440" t="s">
        <v>1170</v>
      </c>
      <c r="K440" t="s">
        <v>1412</v>
      </c>
      <c r="L440" t="s">
        <v>1399</v>
      </c>
      <c r="O440" t="b">
        <v>1</v>
      </c>
      <c r="Q440">
        <f t="shared" si="6"/>
        <v>6</v>
      </c>
    </row>
    <row r="441" spans="1:17" x14ac:dyDescent="0.4">
      <c r="A441">
        <v>484</v>
      </c>
      <c r="B441" t="s">
        <v>20</v>
      </c>
      <c r="C441">
        <v>2</v>
      </c>
      <c r="D441">
        <v>7</v>
      </c>
      <c r="E441" t="s">
        <v>1197</v>
      </c>
      <c r="F441" s="1">
        <v>45923</v>
      </c>
      <c r="G441" s="1">
        <v>45923</v>
      </c>
      <c r="H441" t="s">
        <v>1198</v>
      </c>
      <c r="I441" t="s">
        <v>1198</v>
      </c>
      <c r="J441" t="s">
        <v>43</v>
      </c>
      <c r="K441" t="s">
        <v>214</v>
      </c>
      <c r="L441" t="s">
        <v>1385</v>
      </c>
      <c r="O441" t="b">
        <v>1</v>
      </c>
      <c r="Q441">
        <f t="shared" si="6"/>
        <v>3</v>
      </c>
    </row>
    <row r="442" spans="1:17" x14ac:dyDescent="0.4">
      <c r="A442">
        <v>485</v>
      </c>
      <c r="B442" t="s">
        <v>15</v>
      </c>
      <c r="C442">
        <v>1</v>
      </c>
      <c r="E442" t="s">
        <v>1199</v>
      </c>
      <c r="F442" s="1">
        <v>45925</v>
      </c>
      <c r="G442" s="1">
        <v>45925</v>
      </c>
      <c r="H442" t="s">
        <v>1200</v>
      </c>
      <c r="I442" t="s">
        <v>1200</v>
      </c>
      <c r="J442" t="s">
        <v>43</v>
      </c>
      <c r="K442" t="s">
        <v>214</v>
      </c>
      <c r="L442" t="s">
        <v>1385</v>
      </c>
      <c r="O442" t="b">
        <v>1</v>
      </c>
      <c r="Q442">
        <f t="shared" si="6"/>
        <v>3</v>
      </c>
    </row>
    <row r="443" spans="1:17" x14ac:dyDescent="0.4">
      <c r="A443">
        <v>486</v>
      </c>
      <c r="B443" t="s">
        <v>15</v>
      </c>
      <c r="C443">
        <v>2</v>
      </c>
      <c r="D443">
        <v>1</v>
      </c>
      <c r="E443" t="s">
        <v>1201</v>
      </c>
      <c r="F443" s="1">
        <v>45915</v>
      </c>
      <c r="G443" s="1">
        <v>45918</v>
      </c>
      <c r="H443" t="s">
        <v>1202</v>
      </c>
      <c r="I443" t="s">
        <v>1202</v>
      </c>
      <c r="J443" t="s">
        <v>43</v>
      </c>
      <c r="K443" t="s">
        <v>214</v>
      </c>
      <c r="L443" t="s">
        <v>1385</v>
      </c>
      <c r="O443" t="b">
        <v>1</v>
      </c>
      <c r="Q443">
        <f t="shared" si="6"/>
        <v>3</v>
      </c>
    </row>
    <row r="444" spans="1:17" x14ac:dyDescent="0.4">
      <c r="A444">
        <v>487</v>
      </c>
      <c r="B444" t="s">
        <v>15</v>
      </c>
      <c r="C444">
        <v>2</v>
      </c>
      <c r="D444">
        <v>1</v>
      </c>
      <c r="E444" t="s">
        <v>1203</v>
      </c>
      <c r="F444" s="1">
        <v>45916</v>
      </c>
      <c r="G444" s="1">
        <v>45916</v>
      </c>
      <c r="H444" t="s">
        <v>1204</v>
      </c>
      <c r="I444" t="s">
        <v>1204</v>
      </c>
      <c r="J444" t="s">
        <v>66</v>
      </c>
      <c r="K444" t="s">
        <v>288</v>
      </c>
      <c r="L444" t="s">
        <v>1395</v>
      </c>
      <c r="O444" t="b">
        <v>1</v>
      </c>
      <c r="Q444">
        <f t="shared" si="6"/>
        <v>5</v>
      </c>
    </row>
    <row r="445" spans="1:17" x14ac:dyDescent="0.4">
      <c r="A445">
        <v>488</v>
      </c>
      <c r="B445" t="s">
        <v>20</v>
      </c>
      <c r="C445">
        <v>1</v>
      </c>
      <c r="E445" t="s">
        <v>1205</v>
      </c>
      <c r="F445" s="1">
        <v>45919</v>
      </c>
      <c r="G445" s="1">
        <v>45922</v>
      </c>
      <c r="H445" t="s">
        <v>1206</v>
      </c>
      <c r="I445" t="s">
        <v>1206</v>
      </c>
      <c r="J445" t="s">
        <v>605</v>
      </c>
      <c r="K445" t="s">
        <v>557</v>
      </c>
      <c r="L445" t="s">
        <v>1363</v>
      </c>
      <c r="O445" t="b">
        <v>1</v>
      </c>
      <c r="Q445">
        <f t="shared" si="6"/>
        <v>1</v>
      </c>
    </row>
    <row r="446" spans="1:17" x14ac:dyDescent="0.4">
      <c r="A446">
        <v>489</v>
      </c>
      <c r="B446" t="s">
        <v>15</v>
      </c>
      <c r="C446">
        <v>1</v>
      </c>
      <c r="E446" t="s">
        <v>1207</v>
      </c>
      <c r="F446" s="1">
        <v>45922</v>
      </c>
      <c r="G446" s="1">
        <v>45925</v>
      </c>
      <c r="H446" t="s">
        <v>1208</v>
      </c>
      <c r="I446" t="s">
        <v>1208</v>
      </c>
      <c r="J446" t="s">
        <v>402</v>
      </c>
      <c r="K446" t="s">
        <v>1412</v>
      </c>
      <c r="L446" t="s">
        <v>1399</v>
      </c>
      <c r="M446" s="4">
        <v>42.694142999999997</v>
      </c>
      <c r="N446" s="4">
        <v>-2.3979650000000001</v>
      </c>
      <c r="O446" t="b">
        <v>1</v>
      </c>
      <c r="Q446">
        <f t="shared" si="6"/>
        <v>6</v>
      </c>
    </row>
    <row r="447" spans="1:17" x14ac:dyDescent="0.4">
      <c r="A447">
        <v>490</v>
      </c>
      <c r="B447" t="s">
        <v>20</v>
      </c>
      <c r="C447">
        <v>2</v>
      </c>
      <c r="D447">
        <v>10</v>
      </c>
      <c r="E447" t="s">
        <v>1209</v>
      </c>
      <c r="F447" s="1">
        <v>45925</v>
      </c>
      <c r="G447" s="1">
        <v>45925</v>
      </c>
      <c r="H447" t="s">
        <v>1210</v>
      </c>
      <c r="I447" t="s">
        <v>1211</v>
      </c>
      <c r="J447" t="s">
        <v>915</v>
      </c>
      <c r="K447" t="s">
        <v>288</v>
      </c>
      <c r="L447" t="s">
        <v>915</v>
      </c>
      <c r="O447" t="b">
        <v>1</v>
      </c>
      <c r="Q447">
        <f t="shared" si="6"/>
        <v>5</v>
      </c>
    </row>
    <row r="448" spans="1:17" x14ac:dyDescent="0.4">
      <c r="A448">
        <v>491</v>
      </c>
      <c r="B448" t="s">
        <v>20</v>
      </c>
      <c r="C448">
        <v>1</v>
      </c>
      <c r="E448" t="s">
        <v>1212</v>
      </c>
      <c r="F448" s="1">
        <v>45925</v>
      </c>
      <c r="G448" s="1">
        <v>45926</v>
      </c>
      <c r="H448" t="s">
        <v>976</v>
      </c>
      <c r="I448" t="s">
        <v>976</v>
      </c>
      <c r="J448" t="s">
        <v>56</v>
      </c>
      <c r="K448" t="s">
        <v>288</v>
      </c>
      <c r="L448" t="s">
        <v>1398</v>
      </c>
      <c r="O448" t="b">
        <v>1</v>
      </c>
      <c r="Q448">
        <f t="shared" si="6"/>
        <v>5</v>
      </c>
    </row>
    <row r="449" spans="1:17" x14ac:dyDescent="0.4">
      <c r="A449">
        <v>492</v>
      </c>
      <c r="B449" t="s">
        <v>20</v>
      </c>
      <c r="C449">
        <v>1</v>
      </c>
      <c r="E449" t="s">
        <v>1213</v>
      </c>
      <c r="F449" s="1">
        <v>45922</v>
      </c>
      <c r="G449" s="1">
        <v>45925</v>
      </c>
      <c r="H449" t="s">
        <v>120</v>
      </c>
      <c r="I449" t="s">
        <v>120</v>
      </c>
      <c r="J449" t="s">
        <v>24</v>
      </c>
      <c r="K449" t="s">
        <v>557</v>
      </c>
      <c r="L449" t="s">
        <v>1363</v>
      </c>
      <c r="O449" t="b">
        <v>1</v>
      </c>
      <c r="Q449">
        <f t="shared" si="6"/>
        <v>1</v>
      </c>
    </row>
    <row r="450" spans="1:17" x14ac:dyDescent="0.4">
      <c r="A450">
        <v>493</v>
      </c>
      <c r="B450" t="s">
        <v>15</v>
      </c>
      <c r="C450">
        <v>2</v>
      </c>
      <c r="D450">
        <v>1</v>
      </c>
      <c r="E450" t="s">
        <v>1214</v>
      </c>
      <c r="F450" s="1">
        <v>45925</v>
      </c>
      <c r="G450" s="1">
        <v>45925</v>
      </c>
      <c r="H450" t="s">
        <v>1215</v>
      </c>
      <c r="I450" t="s">
        <v>1215</v>
      </c>
      <c r="J450" t="s">
        <v>257</v>
      </c>
      <c r="K450" t="s">
        <v>214</v>
      </c>
      <c r="L450" t="s">
        <v>258</v>
      </c>
      <c r="O450" t="b">
        <v>1</v>
      </c>
      <c r="Q450">
        <f t="shared" si="6"/>
        <v>3</v>
      </c>
    </row>
    <row r="451" spans="1:17" x14ac:dyDescent="0.4">
      <c r="A451">
        <v>494</v>
      </c>
      <c r="B451" t="s">
        <v>20</v>
      </c>
      <c r="C451">
        <v>2</v>
      </c>
      <c r="D451">
        <v>10</v>
      </c>
      <c r="E451" t="s">
        <v>1216</v>
      </c>
      <c r="F451" s="1">
        <v>45925</v>
      </c>
      <c r="G451" s="1">
        <v>45925</v>
      </c>
      <c r="H451" t="s">
        <v>1217</v>
      </c>
      <c r="I451" t="s">
        <v>1217</v>
      </c>
      <c r="J451" t="s">
        <v>915</v>
      </c>
      <c r="K451" t="s">
        <v>288</v>
      </c>
      <c r="L451" t="s">
        <v>1395</v>
      </c>
      <c r="O451" t="b">
        <v>1</v>
      </c>
      <c r="Q451">
        <f t="shared" ref="Q451:Q510" si="7">VLOOKUP(L451,$V$2:$W$253,2,FALSE)</f>
        <v>5</v>
      </c>
    </row>
    <row r="452" spans="1:17" x14ac:dyDescent="0.4">
      <c r="A452">
        <v>495</v>
      </c>
      <c r="B452" t="s">
        <v>20</v>
      </c>
      <c r="C452">
        <v>2</v>
      </c>
      <c r="D452">
        <v>10</v>
      </c>
      <c r="E452" t="s">
        <v>1218</v>
      </c>
      <c r="F452" s="1">
        <v>45925</v>
      </c>
      <c r="G452" s="1">
        <v>45925</v>
      </c>
      <c r="H452" t="s">
        <v>1219</v>
      </c>
      <c r="I452" t="s">
        <v>1219</v>
      </c>
      <c r="J452" t="s">
        <v>66</v>
      </c>
      <c r="K452" t="s">
        <v>288</v>
      </c>
      <c r="L452" t="s">
        <v>1395</v>
      </c>
      <c r="O452" t="b">
        <v>1</v>
      </c>
      <c r="Q452">
        <f t="shared" si="7"/>
        <v>5</v>
      </c>
    </row>
    <row r="453" spans="1:17" x14ac:dyDescent="0.4">
      <c r="A453">
        <v>496</v>
      </c>
      <c r="B453" t="s">
        <v>20</v>
      </c>
      <c r="C453">
        <v>2</v>
      </c>
      <c r="D453">
        <v>7</v>
      </c>
      <c r="E453" t="s">
        <v>1220</v>
      </c>
      <c r="F453" s="1">
        <v>45925</v>
      </c>
      <c r="G453" s="1">
        <v>45925</v>
      </c>
      <c r="H453" t="s">
        <v>1221</v>
      </c>
      <c r="I453" t="s">
        <v>1221</v>
      </c>
      <c r="J453" t="s">
        <v>43</v>
      </c>
      <c r="K453" t="s">
        <v>214</v>
      </c>
      <c r="L453" t="s">
        <v>1385</v>
      </c>
      <c r="O453" t="b">
        <v>1</v>
      </c>
      <c r="Q453">
        <f t="shared" si="7"/>
        <v>3</v>
      </c>
    </row>
    <row r="454" spans="1:17" x14ac:dyDescent="0.4">
      <c r="A454">
        <v>497</v>
      </c>
      <c r="B454" t="s">
        <v>20</v>
      </c>
      <c r="C454">
        <v>2</v>
      </c>
      <c r="D454">
        <v>7</v>
      </c>
      <c r="E454" t="s">
        <v>1222</v>
      </c>
      <c r="F454" s="1">
        <v>45924</v>
      </c>
      <c r="G454" s="1">
        <v>45924</v>
      </c>
      <c r="H454" t="s">
        <v>1198</v>
      </c>
      <c r="I454" t="s">
        <v>1198</v>
      </c>
      <c r="J454" t="s">
        <v>43</v>
      </c>
      <c r="K454" t="s">
        <v>214</v>
      </c>
      <c r="L454" t="s">
        <v>1385</v>
      </c>
      <c r="O454" t="b">
        <v>1</v>
      </c>
      <c r="Q454">
        <f t="shared" si="7"/>
        <v>3</v>
      </c>
    </row>
    <row r="455" spans="1:17" x14ac:dyDescent="0.4">
      <c r="A455">
        <v>498</v>
      </c>
      <c r="B455" t="s">
        <v>20</v>
      </c>
      <c r="C455">
        <v>2</v>
      </c>
      <c r="D455">
        <v>7</v>
      </c>
      <c r="E455" t="s">
        <v>1223</v>
      </c>
      <c r="F455" s="1">
        <v>45923</v>
      </c>
      <c r="G455" s="1">
        <v>45923</v>
      </c>
      <c r="H455" t="s">
        <v>1224</v>
      </c>
      <c r="I455" t="s">
        <v>1224</v>
      </c>
      <c r="J455" t="s">
        <v>553</v>
      </c>
      <c r="K455" t="s">
        <v>288</v>
      </c>
      <c r="L455" t="s">
        <v>1395</v>
      </c>
      <c r="O455" t="b">
        <v>1</v>
      </c>
      <c r="Q455">
        <f t="shared" si="7"/>
        <v>5</v>
      </c>
    </row>
    <row r="456" spans="1:17" x14ac:dyDescent="0.4">
      <c r="A456">
        <v>499</v>
      </c>
      <c r="B456" t="s">
        <v>15</v>
      </c>
      <c r="C456">
        <v>2</v>
      </c>
      <c r="D456">
        <v>3</v>
      </c>
      <c r="E456" t="s">
        <v>1225</v>
      </c>
      <c r="F456" s="1">
        <v>45922</v>
      </c>
      <c r="G456" s="1">
        <v>45922</v>
      </c>
      <c r="H456" t="s">
        <v>1226</v>
      </c>
      <c r="I456" t="s">
        <v>1226</v>
      </c>
      <c r="J456" t="s">
        <v>1227</v>
      </c>
      <c r="K456" t="s">
        <v>557</v>
      </c>
      <c r="L456" t="s">
        <v>28</v>
      </c>
      <c r="O456" t="b">
        <v>1</v>
      </c>
      <c r="Q456">
        <f t="shared" si="7"/>
        <v>1</v>
      </c>
    </row>
    <row r="457" spans="1:17" x14ac:dyDescent="0.4">
      <c r="A457">
        <v>500</v>
      </c>
      <c r="B457" t="s">
        <v>20</v>
      </c>
      <c r="C457">
        <v>2</v>
      </c>
      <c r="D457">
        <v>7</v>
      </c>
      <c r="E457" t="s">
        <v>1228</v>
      </c>
      <c r="F457" s="1">
        <v>45922</v>
      </c>
      <c r="G457" s="1">
        <v>45922</v>
      </c>
      <c r="H457" t="s">
        <v>1229</v>
      </c>
      <c r="I457" t="s">
        <v>1229</v>
      </c>
      <c r="J457" t="s">
        <v>1230</v>
      </c>
      <c r="K457" t="s">
        <v>557</v>
      </c>
      <c r="L457" t="s">
        <v>48</v>
      </c>
      <c r="O457" t="b">
        <v>1</v>
      </c>
      <c r="Q457">
        <f t="shared" si="7"/>
        <v>1</v>
      </c>
    </row>
    <row r="458" spans="1:17" x14ac:dyDescent="0.4">
      <c r="A458">
        <v>501</v>
      </c>
      <c r="B458" t="s">
        <v>20</v>
      </c>
      <c r="C458">
        <v>2</v>
      </c>
      <c r="D458">
        <v>7</v>
      </c>
      <c r="E458" t="s">
        <v>1231</v>
      </c>
      <c r="F458" s="1">
        <v>45922</v>
      </c>
      <c r="G458" s="1">
        <v>45922</v>
      </c>
      <c r="H458" t="s">
        <v>1232</v>
      </c>
      <c r="I458" t="s">
        <v>1233</v>
      </c>
      <c r="J458" t="s">
        <v>1234</v>
      </c>
      <c r="K458" t="s">
        <v>557</v>
      </c>
      <c r="L458" t="s">
        <v>48</v>
      </c>
      <c r="O458" t="b">
        <v>1</v>
      </c>
      <c r="Q458">
        <f t="shared" si="7"/>
        <v>1</v>
      </c>
    </row>
    <row r="459" spans="1:17" x14ac:dyDescent="0.4">
      <c r="A459">
        <v>502</v>
      </c>
      <c r="B459" t="s">
        <v>20</v>
      </c>
      <c r="C459">
        <v>2</v>
      </c>
      <c r="D459">
        <v>7</v>
      </c>
      <c r="E459" t="s">
        <v>1235</v>
      </c>
      <c r="F459" s="1">
        <v>45919</v>
      </c>
      <c r="G459" s="1">
        <v>45919</v>
      </c>
      <c r="H459" t="s">
        <v>1236</v>
      </c>
      <c r="I459" t="s">
        <v>1236</v>
      </c>
      <c r="J459" t="s">
        <v>36</v>
      </c>
      <c r="K459" t="s">
        <v>557</v>
      </c>
      <c r="L459" t="s">
        <v>1363</v>
      </c>
      <c r="O459" t="b">
        <v>1</v>
      </c>
      <c r="Q459">
        <f t="shared" si="7"/>
        <v>1</v>
      </c>
    </row>
    <row r="460" spans="1:17" x14ac:dyDescent="0.4">
      <c r="A460">
        <v>503</v>
      </c>
      <c r="B460" t="s">
        <v>40</v>
      </c>
      <c r="C460">
        <v>2</v>
      </c>
      <c r="D460">
        <v>7</v>
      </c>
      <c r="E460" t="s">
        <v>1237</v>
      </c>
      <c r="F460" s="1">
        <v>45918</v>
      </c>
      <c r="G460" s="1">
        <v>45918</v>
      </c>
      <c r="H460" t="s">
        <v>1238</v>
      </c>
      <c r="I460" t="s">
        <v>1238</v>
      </c>
      <c r="J460" t="s">
        <v>48</v>
      </c>
      <c r="K460" t="s">
        <v>557</v>
      </c>
      <c r="L460" t="s">
        <v>48</v>
      </c>
      <c r="O460" t="b">
        <v>1</v>
      </c>
      <c r="Q460">
        <f t="shared" si="7"/>
        <v>1</v>
      </c>
    </row>
    <row r="461" spans="1:17" x14ac:dyDescent="0.4">
      <c r="A461">
        <v>504</v>
      </c>
      <c r="B461" t="s">
        <v>20</v>
      </c>
      <c r="C461">
        <v>2</v>
      </c>
      <c r="D461">
        <v>7</v>
      </c>
      <c r="E461" t="s">
        <v>1239</v>
      </c>
      <c r="F461" s="1">
        <v>45916</v>
      </c>
      <c r="G461" s="1">
        <v>45916</v>
      </c>
      <c r="H461" t="s">
        <v>1240</v>
      </c>
      <c r="I461" t="s">
        <v>1240</v>
      </c>
      <c r="J461" t="s">
        <v>179</v>
      </c>
      <c r="K461" t="s">
        <v>557</v>
      </c>
      <c r="L461" t="s">
        <v>1363</v>
      </c>
      <c r="O461" t="b">
        <v>1</v>
      </c>
      <c r="Q461">
        <f t="shared" si="7"/>
        <v>1</v>
      </c>
    </row>
    <row r="462" spans="1:17" x14ac:dyDescent="0.4">
      <c r="A462">
        <v>505</v>
      </c>
      <c r="B462" t="s">
        <v>15</v>
      </c>
      <c r="C462">
        <v>2</v>
      </c>
      <c r="D462">
        <v>1</v>
      </c>
      <c r="E462" t="s">
        <v>1241</v>
      </c>
      <c r="F462" s="1">
        <v>45915</v>
      </c>
      <c r="G462" s="1">
        <v>45915</v>
      </c>
      <c r="H462" t="s">
        <v>1242</v>
      </c>
      <c r="I462" t="s">
        <v>1242</v>
      </c>
      <c r="J462" t="s">
        <v>66</v>
      </c>
      <c r="K462" t="s">
        <v>288</v>
      </c>
      <c r="L462" t="s">
        <v>1395</v>
      </c>
      <c r="O462" t="b">
        <v>1</v>
      </c>
      <c r="Q462">
        <f t="shared" si="7"/>
        <v>5</v>
      </c>
    </row>
    <row r="463" spans="1:17" x14ac:dyDescent="0.4">
      <c r="A463">
        <v>506</v>
      </c>
      <c r="B463" t="s">
        <v>20</v>
      </c>
      <c r="C463">
        <v>2</v>
      </c>
      <c r="D463">
        <v>7</v>
      </c>
      <c r="E463" t="s">
        <v>1243</v>
      </c>
      <c r="F463" s="1">
        <v>45915</v>
      </c>
      <c r="G463" s="1">
        <v>45915</v>
      </c>
      <c r="H463" t="s">
        <v>1244</v>
      </c>
      <c r="I463" t="s">
        <v>1244</v>
      </c>
      <c r="J463" t="s">
        <v>306</v>
      </c>
      <c r="K463" t="s">
        <v>1409</v>
      </c>
      <c r="L463" t="s">
        <v>307</v>
      </c>
      <c r="O463" t="b">
        <v>1</v>
      </c>
      <c r="Q463">
        <f t="shared" si="7"/>
        <v>4</v>
      </c>
    </row>
    <row r="464" spans="1:17" x14ac:dyDescent="0.4">
      <c r="A464">
        <v>507</v>
      </c>
      <c r="B464" t="s">
        <v>15</v>
      </c>
      <c r="C464">
        <v>2</v>
      </c>
      <c r="D464">
        <v>1</v>
      </c>
      <c r="E464" t="s">
        <v>1245</v>
      </c>
      <c r="F464" s="1">
        <v>45912</v>
      </c>
      <c r="G464" s="1">
        <v>45912</v>
      </c>
      <c r="H464" t="s">
        <v>1246</v>
      </c>
      <c r="I464" t="s">
        <v>1246</v>
      </c>
      <c r="J464" t="s">
        <v>43</v>
      </c>
      <c r="K464" t="s">
        <v>214</v>
      </c>
      <c r="L464" t="s">
        <v>1385</v>
      </c>
      <c r="O464" t="b">
        <v>1</v>
      </c>
      <c r="Q464">
        <f t="shared" si="7"/>
        <v>3</v>
      </c>
    </row>
    <row r="465" spans="1:17" x14ac:dyDescent="0.4">
      <c r="A465">
        <v>508</v>
      </c>
      <c r="B465" t="s">
        <v>20</v>
      </c>
      <c r="C465">
        <v>2</v>
      </c>
      <c r="D465">
        <v>7</v>
      </c>
      <c r="E465" t="s">
        <v>1247</v>
      </c>
      <c r="F465" s="1">
        <v>45912</v>
      </c>
      <c r="G465" s="1">
        <v>45912</v>
      </c>
      <c r="H465" t="s">
        <v>1248</v>
      </c>
      <c r="I465" t="s">
        <v>1249</v>
      </c>
      <c r="J465" t="s">
        <v>179</v>
      </c>
      <c r="K465" t="s">
        <v>557</v>
      </c>
      <c r="L465" t="s">
        <v>1363</v>
      </c>
      <c r="O465" t="b">
        <v>1</v>
      </c>
      <c r="Q465">
        <f t="shared" si="7"/>
        <v>1</v>
      </c>
    </row>
    <row r="466" spans="1:17" x14ac:dyDescent="0.4">
      <c r="A466">
        <v>509</v>
      </c>
      <c r="B466" t="s">
        <v>20</v>
      </c>
      <c r="C466">
        <v>2</v>
      </c>
      <c r="D466">
        <v>7</v>
      </c>
      <c r="E466" t="s">
        <v>1250</v>
      </c>
      <c r="F466" s="1">
        <v>45911</v>
      </c>
      <c r="G466" s="1">
        <v>45911</v>
      </c>
      <c r="H466" t="s">
        <v>1251</v>
      </c>
      <c r="I466" t="s">
        <v>1251</v>
      </c>
      <c r="J466" t="s">
        <v>915</v>
      </c>
      <c r="K466" t="s">
        <v>288</v>
      </c>
      <c r="L466" t="s">
        <v>1395</v>
      </c>
      <c r="O466" t="b">
        <v>1</v>
      </c>
      <c r="Q466">
        <f t="shared" si="7"/>
        <v>5</v>
      </c>
    </row>
    <row r="467" spans="1:17" x14ac:dyDescent="0.4">
      <c r="A467">
        <v>510</v>
      </c>
      <c r="B467" t="s">
        <v>15</v>
      </c>
      <c r="C467">
        <v>2</v>
      </c>
      <c r="D467">
        <v>21</v>
      </c>
      <c r="E467" t="s">
        <v>1252</v>
      </c>
      <c r="F467" s="1">
        <v>45911</v>
      </c>
      <c r="G467" s="1">
        <v>45911</v>
      </c>
      <c r="H467" t="s">
        <v>1253</v>
      </c>
      <c r="I467" t="s">
        <v>1253</v>
      </c>
      <c r="J467" t="s">
        <v>28</v>
      </c>
      <c r="K467" t="s">
        <v>557</v>
      </c>
      <c r="L467" t="s">
        <v>28</v>
      </c>
      <c r="O467" t="b">
        <v>1</v>
      </c>
      <c r="Q467">
        <f t="shared" si="7"/>
        <v>1</v>
      </c>
    </row>
    <row r="468" spans="1:17" x14ac:dyDescent="0.4">
      <c r="A468">
        <v>512</v>
      </c>
      <c r="B468" t="s">
        <v>675</v>
      </c>
      <c r="C468">
        <v>3</v>
      </c>
      <c r="E468" t="s">
        <v>1254</v>
      </c>
      <c r="F468" s="1">
        <v>45901</v>
      </c>
      <c r="G468" s="1">
        <v>45930</v>
      </c>
      <c r="H468" t="s">
        <v>677</v>
      </c>
      <c r="I468" t="s">
        <v>677</v>
      </c>
      <c r="O468" t="b">
        <v>1</v>
      </c>
      <c r="Q468" t="e">
        <f t="shared" si="7"/>
        <v>#N/A</v>
      </c>
    </row>
    <row r="469" spans="1:17" x14ac:dyDescent="0.4">
      <c r="A469">
        <v>513</v>
      </c>
      <c r="B469" t="s">
        <v>675</v>
      </c>
      <c r="C469">
        <v>3</v>
      </c>
      <c r="E469" t="s">
        <v>1255</v>
      </c>
      <c r="F469" s="1">
        <v>45901</v>
      </c>
      <c r="G469" s="1">
        <v>45930</v>
      </c>
      <c r="H469" t="s">
        <v>707</v>
      </c>
      <c r="I469" t="s">
        <v>707</v>
      </c>
      <c r="O469" t="b">
        <v>1</v>
      </c>
      <c r="P469" t="s">
        <v>708</v>
      </c>
      <c r="Q469" t="e">
        <f t="shared" si="7"/>
        <v>#N/A</v>
      </c>
    </row>
    <row r="470" spans="1:17" x14ac:dyDescent="0.4">
      <c r="A470">
        <v>514</v>
      </c>
      <c r="B470" t="s">
        <v>15</v>
      </c>
      <c r="C470">
        <v>2</v>
      </c>
      <c r="D470">
        <v>5</v>
      </c>
      <c r="E470" t="s">
        <v>1256</v>
      </c>
      <c r="F470" s="1">
        <v>45901</v>
      </c>
      <c r="G470" s="1">
        <v>45930</v>
      </c>
      <c r="H470" t="s">
        <v>1257</v>
      </c>
      <c r="I470" t="s">
        <v>1258</v>
      </c>
      <c r="J470" t="s">
        <v>28</v>
      </c>
      <c r="K470" t="s">
        <v>557</v>
      </c>
      <c r="L470" t="s">
        <v>28</v>
      </c>
      <c r="O470" t="b">
        <v>1</v>
      </c>
      <c r="P470" t="s">
        <v>1259</v>
      </c>
      <c r="Q470">
        <f t="shared" si="7"/>
        <v>1</v>
      </c>
    </row>
    <row r="471" spans="1:17" x14ac:dyDescent="0.4">
      <c r="A471">
        <v>515</v>
      </c>
      <c r="B471" t="s">
        <v>20</v>
      </c>
      <c r="C471">
        <v>2</v>
      </c>
      <c r="D471">
        <v>8</v>
      </c>
      <c r="E471" t="s">
        <v>1260</v>
      </c>
      <c r="F471" s="1">
        <v>45926</v>
      </c>
      <c r="G471" s="1">
        <v>45926</v>
      </c>
      <c r="H471" t="s">
        <v>1261</v>
      </c>
      <c r="I471" t="s">
        <v>1261</v>
      </c>
      <c r="J471" t="s">
        <v>48</v>
      </c>
      <c r="K471" t="s">
        <v>557</v>
      </c>
      <c r="L471" t="s">
        <v>48</v>
      </c>
      <c r="O471" t="b">
        <v>1</v>
      </c>
      <c r="P471" t="s">
        <v>1262</v>
      </c>
      <c r="Q471">
        <f t="shared" si="7"/>
        <v>1</v>
      </c>
    </row>
    <row r="472" spans="1:17" x14ac:dyDescent="0.4">
      <c r="A472">
        <v>516</v>
      </c>
      <c r="B472" t="s">
        <v>20</v>
      </c>
      <c r="C472">
        <v>2</v>
      </c>
      <c r="D472">
        <v>8</v>
      </c>
      <c r="E472" t="s">
        <v>1263</v>
      </c>
      <c r="F472" s="1">
        <v>45926</v>
      </c>
      <c r="G472" s="1">
        <v>45926</v>
      </c>
      <c r="H472" t="s">
        <v>1264</v>
      </c>
      <c r="I472" t="s">
        <v>1264</v>
      </c>
      <c r="J472" t="s">
        <v>48</v>
      </c>
      <c r="K472" t="s">
        <v>557</v>
      </c>
      <c r="L472" t="s">
        <v>48</v>
      </c>
      <c r="O472" t="b">
        <v>1</v>
      </c>
      <c r="P472" t="s">
        <v>1262</v>
      </c>
      <c r="Q472">
        <f t="shared" si="7"/>
        <v>1</v>
      </c>
    </row>
    <row r="473" spans="1:17" x14ac:dyDescent="0.4">
      <c r="A473">
        <v>517</v>
      </c>
      <c r="B473" t="s">
        <v>20</v>
      </c>
      <c r="C473">
        <v>1</v>
      </c>
      <c r="E473" t="s">
        <v>1265</v>
      </c>
      <c r="F473" s="1">
        <v>45926</v>
      </c>
      <c r="G473" s="1">
        <v>45926</v>
      </c>
      <c r="H473" t="s">
        <v>1266</v>
      </c>
      <c r="I473" t="s">
        <v>1266</v>
      </c>
      <c r="J473" t="s">
        <v>621</v>
      </c>
      <c r="K473" t="s">
        <v>214</v>
      </c>
      <c r="L473" t="s">
        <v>1383</v>
      </c>
      <c r="O473" t="b">
        <v>1</v>
      </c>
      <c r="P473" t="s">
        <v>1267</v>
      </c>
      <c r="Q473">
        <f t="shared" si="7"/>
        <v>3</v>
      </c>
    </row>
    <row r="474" spans="1:17" x14ac:dyDescent="0.4">
      <c r="A474">
        <v>518</v>
      </c>
      <c r="B474" t="s">
        <v>20</v>
      </c>
      <c r="C474">
        <v>1</v>
      </c>
      <c r="E474" t="s">
        <v>1268</v>
      </c>
      <c r="F474" s="1">
        <v>45926</v>
      </c>
      <c r="G474" s="1">
        <v>45926</v>
      </c>
      <c r="H474" t="s">
        <v>1269</v>
      </c>
      <c r="I474" t="s">
        <v>1270</v>
      </c>
      <c r="J474" t="s">
        <v>28</v>
      </c>
      <c r="K474" t="s">
        <v>557</v>
      </c>
      <c r="L474" t="s">
        <v>28</v>
      </c>
      <c r="O474" t="b">
        <v>1</v>
      </c>
      <c r="P474" t="s">
        <v>1262</v>
      </c>
      <c r="Q474">
        <f t="shared" si="7"/>
        <v>1</v>
      </c>
    </row>
    <row r="475" spans="1:17" x14ac:dyDescent="0.4">
      <c r="A475">
        <v>519</v>
      </c>
      <c r="B475" t="s">
        <v>15</v>
      </c>
      <c r="C475">
        <v>1</v>
      </c>
      <c r="E475" t="s">
        <v>1271</v>
      </c>
      <c r="F475" s="1">
        <v>45923</v>
      </c>
      <c r="G475" s="1">
        <v>45923</v>
      </c>
      <c r="H475" t="s">
        <v>1272</v>
      </c>
      <c r="I475" t="s">
        <v>1272</v>
      </c>
      <c r="J475" t="s">
        <v>28</v>
      </c>
      <c r="K475" t="s">
        <v>557</v>
      </c>
      <c r="L475" t="s">
        <v>28</v>
      </c>
      <c r="O475" t="b">
        <v>1</v>
      </c>
      <c r="P475" t="s">
        <v>1273</v>
      </c>
      <c r="Q475">
        <f t="shared" si="7"/>
        <v>1</v>
      </c>
    </row>
    <row r="476" spans="1:17" x14ac:dyDescent="0.4">
      <c r="A476">
        <v>520</v>
      </c>
      <c r="B476" t="s">
        <v>20</v>
      </c>
      <c r="C476">
        <v>1</v>
      </c>
      <c r="E476" t="s">
        <v>1274</v>
      </c>
      <c r="F476" s="1">
        <v>45925</v>
      </c>
      <c r="G476" s="1">
        <v>45926</v>
      </c>
      <c r="H476" t="s">
        <v>1275</v>
      </c>
      <c r="I476" t="s">
        <v>1275</v>
      </c>
      <c r="J476" t="s">
        <v>24</v>
      </c>
      <c r="K476" t="s">
        <v>557</v>
      </c>
      <c r="L476" t="s">
        <v>1363</v>
      </c>
      <c r="O476" t="b">
        <v>1</v>
      </c>
      <c r="P476" t="s">
        <v>1273</v>
      </c>
      <c r="Q476">
        <f t="shared" si="7"/>
        <v>1</v>
      </c>
    </row>
    <row r="477" spans="1:17" x14ac:dyDescent="0.4">
      <c r="A477">
        <v>521</v>
      </c>
      <c r="B477" t="s">
        <v>15</v>
      </c>
      <c r="C477">
        <v>1</v>
      </c>
      <c r="E477" t="s">
        <v>1276</v>
      </c>
      <c r="F477" s="1">
        <v>45926</v>
      </c>
      <c r="G477" s="1">
        <v>45926</v>
      </c>
      <c r="H477" t="s">
        <v>1277</v>
      </c>
      <c r="I477" t="s">
        <v>1277</v>
      </c>
      <c r="J477" t="s">
        <v>192</v>
      </c>
      <c r="K477" t="s">
        <v>557</v>
      </c>
      <c r="L477" t="s">
        <v>28</v>
      </c>
      <c r="O477" t="b">
        <v>1</v>
      </c>
      <c r="P477" t="s">
        <v>1278</v>
      </c>
      <c r="Q477">
        <f t="shared" si="7"/>
        <v>1</v>
      </c>
    </row>
    <row r="478" spans="1:17" x14ac:dyDescent="0.4">
      <c r="A478">
        <v>522</v>
      </c>
      <c r="B478" t="s">
        <v>40</v>
      </c>
      <c r="C478">
        <v>2</v>
      </c>
      <c r="D478">
        <v>2</v>
      </c>
      <c r="E478" t="s">
        <v>1279</v>
      </c>
      <c r="F478" s="1">
        <v>45926</v>
      </c>
      <c r="G478" s="1">
        <v>45926</v>
      </c>
      <c r="H478" t="s">
        <v>1280</v>
      </c>
      <c r="I478" t="s">
        <v>1280</v>
      </c>
      <c r="J478" t="s">
        <v>557</v>
      </c>
      <c r="K478" t="s">
        <v>557</v>
      </c>
      <c r="L478" t="s">
        <v>1417</v>
      </c>
      <c r="O478" t="b">
        <v>1</v>
      </c>
      <c r="Q478" t="e">
        <f t="shared" si="7"/>
        <v>#N/A</v>
      </c>
    </row>
    <row r="479" spans="1:17" x14ac:dyDescent="0.4">
      <c r="A479">
        <v>523</v>
      </c>
      <c r="B479" t="s">
        <v>20</v>
      </c>
      <c r="C479">
        <v>1</v>
      </c>
      <c r="E479" t="s">
        <v>1281</v>
      </c>
      <c r="F479" s="1">
        <v>45926</v>
      </c>
      <c r="G479" s="1">
        <v>45926</v>
      </c>
      <c r="H479" t="s">
        <v>1282</v>
      </c>
      <c r="I479" t="s">
        <v>1282</v>
      </c>
      <c r="J479" t="s">
        <v>635</v>
      </c>
      <c r="K479" t="s">
        <v>557</v>
      </c>
      <c r="L479" t="s">
        <v>1363</v>
      </c>
      <c r="O479" t="b">
        <v>1</v>
      </c>
      <c r="Q479">
        <f t="shared" si="7"/>
        <v>1</v>
      </c>
    </row>
    <row r="480" spans="1:17" x14ac:dyDescent="0.4">
      <c r="A480">
        <v>524</v>
      </c>
      <c r="B480" t="s">
        <v>15</v>
      </c>
      <c r="C480">
        <v>1</v>
      </c>
      <c r="E480" t="s">
        <v>1283</v>
      </c>
      <c r="F480" s="1">
        <v>45927</v>
      </c>
      <c r="G480" s="1">
        <v>45927</v>
      </c>
      <c r="H480" t="s">
        <v>1284</v>
      </c>
      <c r="I480" t="s">
        <v>1284</v>
      </c>
      <c r="J480" t="s">
        <v>66</v>
      </c>
      <c r="K480" t="s">
        <v>288</v>
      </c>
      <c r="L480" t="s">
        <v>1395</v>
      </c>
      <c r="O480" t="b">
        <v>1</v>
      </c>
      <c r="Q480">
        <f t="shared" si="7"/>
        <v>5</v>
      </c>
    </row>
    <row r="481" spans="1:17" x14ac:dyDescent="0.4">
      <c r="A481">
        <v>525</v>
      </c>
      <c r="B481" t="s">
        <v>20</v>
      </c>
      <c r="C481">
        <v>1</v>
      </c>
      <c r="E481" t="s">
        <v>1285</v>
      </c>
      <c r="F481" s="1">
        <v>45927</v>
      </c>
      <c r="G481" s="1">
        <v>45927</v>
      </c>
      <c r="H481" t="s">
        <v>1286</v>
      </c>
      <c r="I481" t="s">
        <v>1287</v>
      </c>
      <c r="J481" t="s">
        <v>179</v>
      </c>
      <c r="K481" t="s">
        <v>557</v>
      </c>
      <c r="L481" t="s">
        <v>1363</v>
      </c>
      <c r="O481" t="b">
        <v>1</v>
      </c>
      <c r="Q481">
        <f t="shared" si="7"/>
        <v>1</v>
      </c>
    </row>
    <row r="482" spans="1:17" x14ac:dyDescent="0.4">
      <c r="A482">
        <v>526</v>
      </c>
      <c r="B482" t="s">
        <v>20</v>
      </c>
      <c r="C482">
        <v>1</v>
      </c>
      <c r="E482" t="s">
        <v>1288</v>
      </c>
      <c r="F482" s="1">
        <v>45927</v>
      </c>
      <c r="G482" s="1">
        <v>45927</v>
      </c>
      <c r="H482" t="s">
        <v>1289</v>
      </c>
      <c r="I482" t="s">
        <v>1289</v>
      </c>
      <c r="J482" t="s">
        <v>48</v>
      </c>
      <c r="K482" t="s">
        <v>557</v>
      </c>
      <c r="L482" t="s">
        <v>48</v>
      </c>
      <c r="M482" s="4">
        <v>43.120756</v>
      </c>
      <c r="N482" s="4">
        <v>-3.1285229999999999</v>
      </c>
      <c r="O482" t="b">
        <v>1</v>
      </c>
      <c r="Q482">
        <f t="shared" si="7"/>
        <v>1</v>
      </c>
    </row>
    <row r="483" spans="1:17" x14ac:dyDescent="0.4">
      <c r="A483">
        <v>527</v>
      </c>
      <c r="B483" t="s">
        <v>15</v>
      </c>
      <c r="C483">
        <v>1</v>
      </c>
      <c r="E483" t="s">
        <v>1290</v>
      </c>
      <c r="F483" s="1">
        <v>45927</v>
      </c>
      <c r="G483" s="1">
        <v>45927</v>
      </c>
      <c r="H483" t="s">
        <v>1291</v>
      </c>
      <c r="I483" t="s">
        <v>1291</v>
      </c>
      <c r="J483" t="s">
        <v>1292</v>
      </c>
      <c r="K483" t="s">
        <v>288</v>
      </c>
      <c r="L483" t="s">
        <v>1395</v>
      </c>
      <c r="M483" s="4">
        <v>42.800682000000002</v>
      </c>
      <c r="N483" s="4">
        <v>-2.9109259999999999</v>
      </c>
      <c r="O483" t="b">
        <v>1</v>
      </c>
      <c r="Q483">
        <f t="shared" si="7"/>
        <v>5</v>
      </c>
    </row>
    <row r="484" spans="1:17" x14ac:dyDescent="0.4">
      <c r="A484">
        <v>528</v>
      </c>
      <c r="B484" t="s">
        <v>20</v>
      </c>
      <c r="C484">
        <v>1</v>
      </c>
      <c r="E484" t="s">
        <v>1293</v>
      </c>
      <c r="F484" s="1">
        <v>45927</v>
      </c>
      <c r="G484" s="1">
        <v>45927</v>
      </c>
      <c r="H484" t="s">
        <v>1294</v>
      </c>
      <c r="I484" t="s">
        <v>1294</v>
      </c>
      <c r="J484" t="s">
        <v>76</v>
      </c>
      <c r="K484" t="s">
        <v>557</v>
      </c>
      <c r="L484" t="s">
        <v>1364</v>
      </c>
      <c r="M484" s="4">
        <v>43.146209300000002</v>
      </c>
      <c r="N484" s="4">
        <v>-2.9628999999999999</v>
      </c>
      <c r="O484" t="b">
        <v>1</v>
      </c>
      <c r="Q484">
        <f t="shared" si="7"/>
        <v>1</v>
      </c>
    </row>
    <row r="485" spans="1:17" x14ac:dyDescent="0.4">
      <c r="A485">
        <v>529</v>
      </c>
      <c r="B485" t="s">
        <v>20</v>
      </c>
      <c r="C485">
        <v>1</v>
      </c>
      <c r="E485" t="s">
        <v>1295</v>
      </c>
      <c r="F485" s="1">
        <v>45928</v>
      </c>
      <c r="G485" s="1">
        <v>45928</v>
      </c>
      <c r="H485" t="s">
        <v>1296</v>
      </c>
      <c r="I485" t="s">
        <v>1296</v>
      </c>
      <c r="J485" t="s">
        <v>48</v>
      </c>
      <c r="K485" t="s">
        <v>557</v>
      </c>
      <c r="L485" t="s">
        <v>48</v>
      </c>
      <c r="M485" s="4">
        <v>43.139591000000003</v>
      </c>
      <c r="N485" s="4">
        <v>-3.1092490000000002</v>
      </c>
      <c r="O485" t="b">
        <v>1</v>
      </c>
      <c r="Q485">
        <f t="shared" si="7"/>
        <v>1</v>
      </c>
    </row>
    <row r="486" spans="1:17" x14ac:dyDescent="0.4">
      <c r="A486">
        <v>530</v>
      </c>
      <c r="B486" t="s">
        <v>20</v>
      </c>
      <c r="C486">
        <v>2</v>
      </c>
      <c r="D486">
        <v>7</v>
      </c>
      <c r="E486" t="s">
        <v>1297</v>
      </c>
      <c r="F486" s="1">
        <v>45926</v>
      </c>
      <c r="G486" s="1">
        <v>45926</v>
      </c>
      <c r="H486" t="s">
        <v>1298</v>
      </c>
      <c r="I486" t="s">
        <v>1298</v>
      </c>
      <c r="J486" t="s">
        <v>76</v>
      </c>
      <c r="K486" t="s">
        <v>557</v>
      </c>
      <c r="L486" t="s">
        <v>1364</v>
      </c>
      <c r="O486" t="b">
        <v>1</v>
      </c>
      <c r="P486" t="s">
        <v>1299</v>
      </c>
      <c r="Q486">
        <f t="shared" si="7"/>
        <v>1</v>
      </c>
    </row>
    <row r="487" spans="1:17" x14ac:dyDescent="0.4">
      <c r="A487">
        <v>531</v>
      </c>
      <c r="B487" t="s">
        <v>20</v>
      </c>
      <c r="C487">
        <v>1</v>
      </c>
      <c r="E487" t="s">
        <v>1300</v>
      </c>
      <c r="F487" s="1">
        <v>45929</v>
      </c>
      <c r="G487" s="1">
        <v>45929</v>
      </c>
      <c r="H487" t="s">
        <v>1301</v>
      </c>
      <c r="I487" t="s">
        <v>1301</v>
      </c>
      <c r="J487" t="s">
        <v>48</v>
      </c>
      <c r="K487" t="s">
        <v>557</v>
      </c>
      <c r="L487" t="s">
        <v>48</v>
      </c>
      <c r="M487" s="4">
        <v>43.139591000000003</v>
      </c>
      <c r="N487" s="4">
        <v>-3.1092490000000002</v>
      </c>
      <c r="O487" t="b">
        <v>1</v>
      </c>
      <c r="P487" t="s">
        <v>1278</v>
      </c>
      <c r="Q487">
        <f t="shared" si="7"/>
        <v>1</v>
      </c>
    </row>
    <row r="488" spans="1:17" x14ac:dyDescent="0.4">
      <c r="A488">
        <v>532</v>
      </c>
      <c r="B488" t="s">
        <v>15</v>
      </c>
      <c r="C488">
        <v>2</v>
      </c>
      <c r="D488">
        <v>1</v>
      </c>
      <c r="E488" t="s">
        <v>1302</v>
      </c>
      <c r="F488" s="1">
        <v>45929</v>
      </c>
      <c r="G488" s="1">
        <v>45929</v>
      </c>
      <c r="H488" t="s">
        <v>1303</v>
      </c>
      <c r="I488" t="s">
        <v>1303</v>
      </c>
      <c r="J488" t="s">
        <v>257</v>
      </c>
      <c r="K488" t="s">
        <v>214</v>
      </c>
      <c r="L488" t="s">
        <v>258</v>
      </c>
      <c r="O488" t="b">
        <v>1</v>
      </c>
      <c r="P488" t="s">
        <v>1304</v>
      </c>
      <c r="Q488">
        <f t="shared" si="7"/>
        <v>3</v>
      </c>
    </row>
    <row r="489" spans="1:17" x14ac:dyDescent="0.4">
      <c r="A489">
        <v>533</v>
      </c>
      <c r="B489" t="s">
        <v>20</v>
      </c>
      <c r="C489">
        <v>1</v>
      </c>
      <c r="E489" t="s">
        <v>1305</v>
      </c>
      <c r="F489" s="1">
        <v>45926</v>
      </c>
      <c r="G489" s="1">
        <v>45926</v>
      </c>
      <c r="H489" t="s">
        <v>1306</v>
      </c>
      <c r="I489" t="s">
        <v>1306</v>
      </c>
      <c r="J489" t="s">
        <v>76</v>
      </c>
      <c r="K489" t="s">
        <v>557</v>
      </c>
      <c r="L489" t="s">
        <v>1364</v>
      </c>
      <c r="M489" s="4">
        <v>43.152410000000003</v>
      </c>
      <c r="N489" s="4">
        <v>-2.973001</v>
      </c>
      <c r="O489" t="b">
        <v>1</v>
      </c>
      <c r="P489" t="s">
        <v>1307</v>
      </c>
      <c r="Q489">
        <f t="shared" si="7"/>
        <v>1</v>
      </c>
    </row>
    <row r="490" spans="1:17" x14ac:dyDescent="0.4">
      <c r="A490">
        <v>534</v>
      </c>
      <c r="B490" t="s">
        <v>20</v>
      </c>
      <c r="C490">
        <v>1</v>
      </c>
      <c r="E490" t="s">
        <v>1308</v>
      </c>
      <c r="F490" s="1">
        <v>45928</v>
      </c>
      <c r="G490" s="1">
        <v>45928</v>
      </c>
      <c r="H490" t="s">
        <v>1309</v>
      </c>
      <c r="I490" t="s">
        <v>1310</v>
      </c>
      <c r="J490" t="s">
        <v>76</v>
      </c>
      <c r="K490" t="s">
        <v>557</v>
      </c>
      <c r="L490" t="s">
        <v>1364</v>
      </c>
      <c r="M490" s="4">
        <v>43.146209300000002</v>
      </c>
      <c r="N490" s="4">
        <v>-2.9633720000000001</v>
      </c>
      <c r="O490" t="b">
        <v>1</v>
      </c>
      <c r="P490" t="s">
        <v>1307</v>
      </c>
      <c r="Q490">
        <f t="shared" si="7"/>
        <v>1</v>
      </c>
    </row>
    <row r="491" spans="1:17" x14ac:dyDescent="0.4">
      <c r="A491">
        <v>535</v>
      </c>
      <c r="B491" t="s">
        <v>20</v>
      </c>
      <c r="C491">
        <v>1</v>
      </c>
      <c r="E491" t="s">
        <v>1311</v>
      </c>
      <c r="F491" s="1">
        <v>45929</v>
      </c>
      <c r="G491" s="1">
        <v>45929</v>
      </c>
      <c r="H491" t="s">
        <v>1312</v>
      </c>
      <c r="I491" t="s">
        <v>1312</v>
      </c>
      <c r="J491" t="s">
        <v>76</v>
      </c>
      <c r="K491" t="s">
        <v>557</v>
      </c>
      <c r="L491" t="s">
        <v>1364</v>
      </c>
      <c r="M491" s="4">
        <v>43.142287000000003</v>
      </c>
      <c r="N491" s="4">
        <v>-2.9628999999999999</v>
      </c>
      <c r="O491" t="b">
        <v>1</v>
      </c>
      <c r="P491" t="s">
        <v>1307</v>
      </c>
      <c r="Q491">
        <f t="shared" si="7"/>
        <v>1</v>
      </c>
    </row>
    <row r="492" spans="1:17" x14ac:dyDescent="0.4">
      <c r="A492">
        <v>536</v>
      </c>
      <c r="B492" t="s">
        <v>20</v>
      </c>
      <c r="C492">
        <v>1</v>
      </c>
      <c r="E492" t="s">
        <v>1313</v>
      </c>
      <c r="F492" s="1">
        <v>45929</v>
      </c>
      <c r="G492" s="1">
        <v>45929</v>
      </c>
      <c r="H492" t="s">
        <v>1314</v>
      </c>
      <c r="I492" t="s">
        <v>1314</v>
      </c>
      <c r="J492" t="s">
        <v>76</v>
      </c>
      <c r="K492" t="s">
        <v>557</v>
      </c>
      <c r="L492" t="s">
        <v>1364</v>
      </c>
      <c r="M492" s="4">
        <v>43.151170999999998</v>
      </c>
      <c r="N492" s="4">
        <v>-2.9713799999999999</v>
      </c>
      <c r="O492" t="b">
        <v>1</v>
      </c>
      <c r="P492" t="s">
        <v>1307</v>
      </c>
      <c r="Q492">
        <f t="shared" si="7"/>
        <v>1</v>
      </c>
    </row>
    <row r="493" spans="1:17" x14ac:dyDescent="0.4">
      <c r="A493">
        <v>537</v>
      </c>
      <c r="B493" t="s">
        <v>20</v>
      </c>
      <c r="C493">
        <v>1</v>
      </c>
      <c r="E493" t="s">
        <v>1315</v>
      </c>
      <c r="F493" s="1">
        <v>45926</v>
      </c>
      <c r="G493" s="1">
        <v>45926</v>
      </c>
      <c r="H493" t="s">
        <v>1316</v>
      </c>
      <c r="I493" t="s">
        <v>1316</v>
      </c>
      <c r="J493" t="s">
        <v>76</v>
      </c>
      <c r="K493" t="s">
        <v>557</v>
      </c>
      <c r="L493" t="s">
        <v>1364</v>
      </c>
      <c r="O493" t="b">
        <v>1</v>
      </c>
      <c r="P493" t="s">
        <v>1307</v>
      </c>
      <c r="Q493">
        <f t="shared" si="7"/>
        <v>1</v>
      </c>
    </row>
    <row r="494" spans="1:17" x14ac:dyDescent="0.4">
      <c r="A494">
        <v>538</v>
      </c>
      <c r="B494" t="s">
        <v>20</v>
      </c>
      <c r="C494">
        <v>2</v>
      </c>
      <c r="D494">
        <v>13</v>
      </c>
      <c r="E494" t="s">
        <v>1317</v>
      </c>
      <c r="F494" s="1">
        <v>45929</v>
      </c>
      <c r="G494" s="1">
        <v>45929</v>
      </c>
      <c r="H494" t="s">
        <v>1318</v>
      </c>
      <c r="I494" t="s">
        <v>1318</v>
      </c>
      <c r="J494" t="s">
        <v>76</v>
      </c>
      <c r="K494" t="s">
        <v>557</v>
      </c>
      <c r="L494" t="s">
        <v>1364</v>
      </c>
      <c r="O494" t="b">
        <v>1</v>
      </c>
      <c r="P494" t="s">
        <v>1307</v>
      </c>
      <c r="Q494">
        <f t="shared" si="7"/>
        <v>1</v>
      </c>
    </row>
    <row r="495" spans="1:17" x14ac:dyDescent="0.4">
      <c r="A495">
        <v>539</v>
      </c>
      <c r="B495" t="s">
        <v>20</v>
      </c>
      <c r="C495">
        <v>2</v>
      </c>
      <c r="D495">
        <v>11</v>
      </c>
      <c r="E495" t="s">
        <v>1319</v>
      </c>
      <c r="F495" s="1">
        <v>45929</v>
      </c>
      <c r="G495" s="1">
        <v>45929</v>
      </c>
      <c r="H495" t="s">
        <v>1320</v>
      </c>
      <c r="I495" t="s">
        <v>1320</v>
      </c>
      <c r="J495" t="s">
        <v>76</v>
      </c>
      <c r="K495" t="s">
        <v>557</v>
      </c>
      <c r="L495" t="s">
        <v>1364</v>
      </c>
      <c r="O495" t="b">
        <v>1</v>
      </c>
      <c r="P495" t="s">
        <v>1307</v>
      </c>
      <c r="Q495">
        <f t="shared" si="7"/>
        <v>1</v>
      </c>
    </row>
    <row r="496" spans="1:17" x14ac:dyDescent="0.4">
      <c r="A496">
        <v>540</v>
      </c>
      <c r="B496" t="s">
        <v>20</v>
      </c>
      <c r="C496">
        <v>2</v>
      </c>
      <c r="D496">
        <v>7</v>
      </c>
      <c r="E496" t="s">
        <v>1321</v>
      </c>
      <c r="F496" s="1">
        <v>45930</v>
      </c>
      <c r="G496" s="1">
        <v>45930</v>
      </c>
      <c r="H496" t="s">
        <v>1322</v>
      </c>
      <c r="I496" t="s">
        <v>1322</v>
      </c>
      <c r="J496" t="s">
        <v>76</v>
      </c>
      <c r="K496" t="s">
        <v>557</v>
      </c>
      <c r="L496" t="s">
        <v>1364</v>
      </c>
      <c r="O496" t="b">
        <v>1</v>
      </c>
      <c r="P496" t="s">
        <v>1307</v>
      </c>
      <c r="Q496">
        <f t="shared" si="7"/>
        <v>1</v>
      </c>
    </row>
    <row r="497" spans="1:17" x14ac:dyDescent="0.4">
      <c r="A497">
        <v>541</v>
      </c>
      <c r="B497" t="s">
        <v>20</v>
      </c>
      <c r="C497">
        <v>2</v>
      </c>
      <c r="D497">
        <v>7</v>
      </c>
      <c r="E497" t="s">
        <v>1323</v>
      </c>
      <c r="F497" s="1">
        <v>45930</v>
      </c>
      <c r="G497" s="1">
        <v>45930</v>
      </c>
      <c r="H497" t="s">
        <v>1324</v>
      </c>
      <c r="I497" t="s">
        <v>1325</v>
      </c>
      <c r="J497" t="s">
        <v>76</v>
      </c>
      <c r="K497" t="s">
        <v>557</v>
      </c>
      <c r="L497" t="s">
        <v>1364</v>
      </c>
      <c r="O497" t="b">
        <v>1</v>
      </c>
      <c r="P497" t="s">
        <v>1307</v>
      </c>
      <c r="Q497">
        <f t="shared" si="7"/>
        <v>1</v>
      </c>
    </row>
    <row r="498" spans="1:17" x14ac:dyDescent="0.4">
      <c r="A498">
        <v>542</v>
      </c>
      <c r="B498" t="s">
        <v>20</v>
      </c>
      <c r="C498">
        <v>2</v>
      </c>
      <c r="D498">
        <v>11</v>
      </c>
      <c r="E498" t="s">
        <v>1326</v>
      </c>
      <c r="F498" s="1">
        <v>45930</v>
      </c>
      <c r="G498" s="1">
        <v>45930</v>
      </c>
      <c r="H498" t="s">
        <v>1327</v>
      </c>
      <c r="I498" t="s">
        <v>1327</v>
      </c>
      <c r="J498" t="s">
        <v>43</v>
      </c>
      <c r="K498" t="s">
        <v>214</v>
      </c>
      <c r="L498" t="s">
        <v>1385</v>
      </c>
      <c r="O498" t="b">
        <v>1</v>
      </c>
      <c r="P498" t="s">
        <v>1328</v>
      </c>
      <c r="Q498">
        <f t="shared" si="7"/>
        <v>3</v>
      </c>
    </row>
    <row r="499" spans="1:17" x14ac:dyDescent="0.4">
      <c r="A499">
        <v>543</v>
      </c>
      <c r="B499" t="s">
        <v>20</v>
      </c>
      <c r="C499">
        <v>2</v>
      </c>
      <c r="D499">
        <v>8</v>
      </c>
      <c r="E499" t="s">
        <v>1329</v>
      </c>
      <c r="F499" s="1">
        <v>45924</v>
      </c>
      <c r="G499" s="1">
        <v>45924</v>
      </c>
      <c r="H499" t="s">
        <v>1330</v>
      </c>
      <c r="I499" t="s">
        <v>1331</v>
      </c>
      <c r="J499" t="s">
        <v>28</v>
      </c>
      <c r="K499" t="s">
        <v>557</v>
      </c>
      <c r="L499" t="s">
        <v>28</v>
      </c>
      <c r="O499" t="b">
        <v>1</v>
      </c>
      <c r="P499" t="s">
        <v>1307</v>
      </c>
      <c r="Q499">
        <f t="shared" si="7"/>
        <v>1</v>
      </c>
    </row>
    <row r="500" spans="1:17" x14ac:dyDescent="0.4">
      <c r="A500">
        <v>544</v>
      </c>
      <c r="B500" t="s">
        <v>20</v>
      </c>
      <c r="C500">
        <v>2</v>
      </c>
      <c r="D500">
        <v>7</v>
      </c>
      <c r="E500" t="s">
        <v>1332</v>
      </c>
      <c r="F500" s="1">
        <v>45926</v>
      </c>
      <c r="G500" s="1">
        <v>45926</v>
      </c>
      <c r="H500" t="s">
        <v>1333</v>
      </c>
      <c r="I500" t="s">
        <v>1333</v>
      </c>
      <c r="J500" t="s">
        <v>76</v>
      </c>
      <c r="K500" t="s">
        <v>557</v>
      </c>
      <c r="L500" t="s">
        <v>1364</v>
      </c>
      <c r="O500" t="b">
        <v>1</v>
      </c>
      <c r="P500" t="s">
        <v>1307</v>
      </c>
      <c r="Q500">
        <f t="shared" si="7"/>
        <v>1</v>
      </c>
    </row>
    <row r="501" spans="1:17" x14ac:dyDescent="0.4">
      <c r="A501">
        <v>545</v>
      </c>
      <c r="B501" t="s">
        <v>20</v>
      </c>
      <c r="C501">
        <v>2</v>
      </c>
      <c r="D501">
        <v>10</v>
      </c>
      <c r="E501" t="s">
        <v>1334</v>
      </c>
      <c r="F501" s="1">
        <v>45930</v>
      </c>
      <c r="G501" s="1">
        <v>45930</v>
      </c>
      <c r="H501" t="s">
        <v>1335</v>
      </c>
      <c r="I501" t="s">
        <v>1335</v>
      </c>
      <c r="J501" t="s">
        <v>124</v>
      </c>
      <c r="K501" t="s">
        <v>1412</v>
      </c>
      <c r="L501" t="s">
        <v>399</v>
      </c>
      <c r="O501" t="b">
        <v>1</v>
      </c>
      <c r="P501" t="s">
        <v>1336</v>
      </c>
      <c r="Q501">
        <f t="shared" si="7"/>
        <v>6</v>
      </c>
    </row>
    <row r="502" spans="1:17" x14ac:dyDescent="0.4">
      <c r="A502">
        <v>546</v>
      </c>
      <c r="B502" t="s">
        <v>20</v>
      </c>
      <c r="C502">
        <v>2</v>
      </c>
      <c r="D502">
        <v>10</v>
      </c>
      <c r="E502" t="s">
        <v>1337</v>
      </c>
      <c r="F502" s="1">
        <v>45930</v>
      </c>
      <c r="G502" s="1">
        <v>45930</v>
      </c>
      <c r="H502" t="s">
        <v>1338</v>
      </c>
      <c r="I502" t="s">
        <v>1338</v>
      </c>
      <c r="J502" t="s">
        <v>1339</v>
      </c>
      <c r="K502" t="s">
        <v>1412</v>
      </c>
      <c r="L502" t="s">
        <v>399</v>
      </c>
      <c r="O502" t="b">
        <v>1</v>
      </c>
      <c r="P502" t="s">
        <v>1336</v>
      </c>
      <c r="Q502">
        <f t="shared" si="7"/>
        <v>6</v>
      </c>
    </row>
    <row r="503" spans="1:17" x14ac:dyDescent="0.4">
      <c r="A503">
        <v>547</v>
      </c>
      <c r="B503" t="s">
        <v>20</v>
      </c>
      <c r="C503">
        <v>1</v>
      </c>
      <c r="E503" t="s">
        <v>1340</v>
      </c>
      <c r="F503" s="1">
        <v>45930</v>
      </c>
      <c r="G503" s="1">
        <v>45932</v>
      </c>
      <c r="H503" t="s">
        <v>1341</v>
      </c>
      <c r="I503" t="s">
        <v>1341</v>
      </c>
      <c r="J503" t="s">
        <v>1342</v>
      </c>
      <c r="K503" t="s">
        <v>288</v>
      </c>
      <c r="L503" t="s">
        <v>1395</v>
      </c>
      <c r="M503" s="4">
        <v>42.807850000000002</v>
      </c>
      <c r="N503" s="4">
        <v>-2.9736980000000002</v>
      </c>
      <c r="O503" t="b">
        <v>1</v>
      </c>
      <c r="P503" t="s">
        <v>1343</v>
      </c>
      <c r="Q503">
        <f t="shared" si="7"/>
        <v>5</v>
      </c>
    </row>
    <row r="504" spans="1:17" x14ac:dyDescent="0.4">
      <c r="A504">
        <v>548</v>
      </c>
      <c r="B504" t="s">
        <v>15</v>
      </c>
      <c r="C504">
        <v>1</v>
      </c>
      <c r="E504" t="s">
        <v>1344</v>
      </c>
      <c r="F504" s="1">
        <v>45931</v>
      </c>
      <c r="G504" s="1">
        <v>45931</v>
      </c>
      <c r="H504" t="s">
        <v>1345</v>
      </c>
      <c r="I504" t="s">
        <v>1345</v>
      </c>
      <c r="J504" t="s">
        <v>76</v>
      </c>
      <c r="K504" t="s">
        <v>557</v>
      </c>
      <c r="L504" t="s">
        <v>1364</v>
      </c>
      <c r="O504" t="b">
        <v>1</v>
      </c>
      <c r="P504" t="s">
        <v>1346</v>
      </c>
      <c r="Q504">
        <f t="shared" si="7"/>
        <v>1</v>
      </c>
    </row>
    <row r="505" spans="1:17" x14ac:dyDescent="0.4">
      <c r="A505">
        <v>549</v>
      </c>
      <c r="B505" t="s">
        <v>15</v>
      </c>
      <c r="C505">
        <v>2</v>
      </c>
      <c r="D505">
        <v>1</v>
      </c>
      <c r="E505" t="s">
        <v>1347</v>
      </c>
      <c r="F505" s="1">
        <v>45931</v>
      </c>
      <c r="G505" s="1">
        <v>45931</v>
      </c>
      <c r="H505" t="s">
        <v>1348</v>
      </c>
      <c r="I505" t="s">
        <v>1348</v>
      </c>
      <c r="J505" t="s">
        <v>43</v>
      </c>
      <c r="K505" t="s">
        <v>214</v>
      </c>
      <c r="L505" t="s">
        <v>1385</v>
      </c>
      <c r="O505" t="b">
        <v>1</v>
      </c>
      <c r="P505" t="s">
        <v>1349</v>
      </c>
      <c r="Q505">
        <f t="shared" si="7"/>
        <v>3</v>
      </c>
    </row>
    <row r="506" spans="1:17" x14ac:dyDescent="0.4">
      <c r="A506">
        <v>550</v>
      </c>
      <c r="B506" t="s">
        <v>20</v>
      </c>
      <c r="C506">
        <v>2</v>
      </c>
      <c r="D506">
        <v>11</v>
      </c>
      <c r="E506" t="s">
        <v>1350</v>
      </c>
      <c r="F506" s="1">
        <v>45931</v>
      </c>
      <c r="G506" s="1">
        <v>45931</v>
      </c>
      <c r="H506" t="s">
        <v>1351</v>
      </c>
      <c r="I506" t="s">
        <v>1351</v>
      </c>
      <c r="J506" t="s">
        <v>36</v>
      </c>
      <c r="K506" t="s">
        <v>557</v>
      </c>
      <c r="L506" t="s">
        <v>1363</v>
      </c>
      <c r="O506" t="b">
        <v>1</v>
      </c>
      <c r="P506" t="s">
        <v>1262</v>
      </c>
      <c r="Q506">
        <f t="shared" si="7"/>
        <v>1</v>
      </c>
    </row>
    <row r="507" spans="1:17" x14ac:dyDescent="0.4">
      <c r="A507">
        <v>551</v>
      </c>
      <c r="B507" t="s">
        <v>20</v>
      </c>
      <c r="C507">
        <v>2</v>
      </c>
      <c r="D507">
        <v>11</v>
      </c>
      <c r="E507" t="s">
        <v>1352</v>
      </c>
      <c r="F507" s="1">
        <v>45929</v>
      </c>
      <c r="G507" s="1">
        <v>45929</v>
      </c>
      <c r="H507" t="s">
        <v>1353</v>
      </c>
      <c r="I507" t="s">
        <v>1353</v>
      </c>
      <c r="J507" t="s">
        <v>28</v>
      </c>
      <c r="K507" t="s">
        <v>557</v>
      </c>
      <c r="L507" t="s">
        <v>28</v>
      </c>
      <c r="O507" t="b">
        <v>1</v>
      </c>
      <c r="P507" t="s">
        <v>1262</v>
      </c>
      <c r="Q507">
        <f t="shared" si="7"/>
        <v>1</v>
      </c>
    </row>
    <row r="508" spans="1:17" x14ac:dyDescent="0.4">
      <c r="A508">
        <v>552</v>
      </c>
      <c r="B508" t="s">
        <v>20</v>
      </c>
      <c r="C508">
        <v>2</v>
      </c>
      <c r="D508">
        <v>8</v>
      </c>
      <c r="E508" t="s">
        <v>1354</v>
      </c>
      <c r="F508" s="1">
        <v>45931</v>
      </c>
      <c r="G508" s="1">
        <v>45931</v>
      </c>
      <c r="H508" t="s">
        <v>1355</v>
      </c>
      <c r="I508" t="s">
        <v>1355</v>
      </c>
      <c r="J508" t="s">
        <v>43</v>
      </c>
      <c r="K508" t="s">
        <v>214</v>
      </c>
      <c r="L508" t="s">
        <v>1385</v>
      </c>
      <c r="O508" t="b">
        <v>1</v>
      </c>
      <c r="P508" t="s">
        <v>1262</v>
      </c>
      <c r="Q508">
        <f t="shared" si="7"/>
        <v>3</v>
      </c>
    </row>
    <row r="509" spans="1:17" x14ac:dyDescent="0.4">
      <c r="A509">
        <v>553</v>
      </c>
      <c r="B509" t="s">
        <v>20</v>
      </c>
      <c r="C509">
        <v>1</v>
      </c>
      <c r="E509" t="s">
        <v>1356</v>
      </c>
      <c r="F509" s="1">
        <v>45931</v>
      </c>
      <c r="G509" s="1">
        <v>45931</v>
      </c>
      <c r="H509" t="s">
        <v>1357</v>
      </c>
      <c r="I509" t="s">
        <v>1357</v>
      </c>
      <c r="J509" t="s">
        <v>402</v>
      </c>
      <c r="K509" t="s">
        <v>1412</v>
      </c>
      <c r="L509" t="s">
        <v>1399</v>
      </c>
      <c r="O509" t="b">
        <v>1</v>
      </c>
      <c r="P509" t="s">
        <v>1358</v>
      </c>
      <c r="Q509">
        <f t="shared" si="7"/>
        <v>6</v>
      </c>
    </row>
    <row r="510" spans="1:17" x14ac:dyDescent="0.4">
      <c r="A510">
        <v>554</v>
      </c>
      <c r="B510" t="s">
        <v>20</v>
      </c>
      <c r="C510">
        <v>1</v>
      </c>
      <c r="E510" t="s">
        <v>1359</v>
      </c>
      <c r="F510" s="1">
        <v>45930</v>
      </c>
      <c r="G510" s="1">
        <v>45930</v>
      </c>
      <c r="H510" t="s">
        <v>1360</v>
      </c>
      <c r="I510" t="s">
        <v>1360</v>
      </c>
      <c r="J510" t="s">
        <v>28</v>
      </c>
      <c r="K510" t="s">
        <v>557</v>
      </c>
      <c r="L510" t="s">
        <v>28</v>
      </c>
      <c r="M510" s="4">
        <v>43.069723000000003</v>
      </c>
      <c r="N510" s="4">
        <v>-2.988658</v>
      </c>
      <c r="O510" t="b">
        <v>1</v>
      </c>
      <c r="Q510">
        <f t="shared" si="7"/>
        <v>1</v>
      </c>
    </row>
  </sheetData>
  <autoFilter ref="A1:Q510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LISTADO_OTS</vt:lpstr>
      <vt:lpstr>LISTADO_OTS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Perez</dc:creator>
  <cp:lastModifiedBy>ASIER PEREZ</cp:lastModifiedBy>
  <dcterms:created xsi:type="dcterms:W3CDTF">2025-11-10T22:16:49Z</dcterms:created>
  <dcterms:modified xsi:type="dcterms:W3CDTF">2025-11-11T00:03:57Z</dcterms:modified>
</cp:coreProperties>
</file>