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Z:\00. EPICENTRUM\24.ingenieria\PR-ING-25-029. ADAPTACION SOFTWARE\03. AUXILIAR\"/>
    </mc:Choice>
  </mc:AlternateContent>
  <xr:revisionPtr revIDLastSave="0" documentId="8_{73A22887-DB50-43CE-B402-C8FB431E8663}" xr6:coauthVersionLast="47" xr6:coauthVersionMax="47" xr10:uidLastSave="{00000000-0000-0000-0000-000000000000}"/>
  <bookViews>
    <workbookView xWindow="-103" yWindow="-103" windowWidth="33120" windowHeight="18000" xr2:uid="{BD9DAF28-7A9F-4CFD-AF69-57D4543C0947}"/>
  </bookViews>
  <sheets>
    <sheet name="LISTADO OTS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C2" i="1"/>
  <c r="D2" i="1"/>
  <c r="E2" i="1"/>
  <c r="F2" i="1"/>
  <c r="G2" i="1"/>
  <c r="H2" i="1"/>
  <c r="I2" i="1"/>
  <c r="J2" i="1"/>
  <c r="K2" i="1"/>
  <c r="L2" i="1"/>
  <c r="M2" i="1"/>
  <c r="U2" i="1"/>
  <c r="V2" i="1"/>
  <c r="W2" i="1"/>
  <c r="X2" i="1"/>
  <c r="Z2" i="1"/>
  <c r="B3" i="1"/>
  <c r="C3" i="1"/>
  <c r="D3" i="1"/>
  <c r="E3" i="1"/>
  <c r="F3" i="1"/>
  <c r="G3" i="1"/>
  <c r="H3" i="1"/>
  <c r="I3" i="1"/>
  <c r="J3" i="1"/>
  <c r="K3" i="1"/>
  <c r="L3" i="1"/>
  <c r="M3" i="1"/>
  <c r="U3" i="1"/>
  <c r="V3" i="1"/>
  <c r="W3" i="1"/>
  <c r="X3" i="1"/>
  <c r="Z3" i="1"/>
  <c r="B4" i="1"/>
  <c r="C4" i="1"/>
  <c r="D4" i="1"/>
  <c r="E4" i="1"/>
  <c r="F4" i="1"/>
  <c r="G4" i="1"/>
  <c r="H4" i="1"/>
  <c r="I4" i="1"/>
  <c r="J4" i="1"/>
  <c r="K4" i="1"/>
  <c r="L4" i="1"/>
  <c r="M4" i="1"/>
  <c r="U4" i="1"/>
  <c r="V4" i="1"/>
  <c r="W4" i="1"/>
  <c r="X4" i="1"/>
  <c r="Z4" i="1"/>
  <c r="B5" i="1"/>
  <c r="C5" i="1"/>
  <c r="D5" i="1"/>
  <c r="E5" i="1"/>
  <c r="F5" i="1"/>
  <c r="G5" i="1"/>
  <c r="H5" i="1"/>
  <c r="I5" i="1"/>
  <c r="J5" i="1"/>
  <c r="K5" i="1"/>
  <c r="L5" i="1"/>
  <c r="M5" i="1"/>
  <c r="U5" i="1"/>
  <c r="V5" i="1"/>
  <c r="W5" i="1"/>
  <c r="X5" i="1"/>
  <c r="Z5" i="1"/>
  <c r="B6" i="1"/>
  <c r="C6" i="1"/>
  <c r="D6" i="1"/>
  <c r="E6" i="1"/>
  <c r="F6" i="1"/>
  <c r="G6" i="1"/>
  <c r="H6" i="1"/>
  <c r="I6" i="1"/>
  <c r="J6" i="1"/>
  <c r="K6" i="1"/>
  <c r="L6" i="1"/>
  <c r="M6" i="1"/>
  <c r="U6" i="1"/>
  <c r="V6" i="1"/>
  <c r="W6" i="1"/>
  <c r="X6" i="1"/>
  <c r="Z6" i="1"/>
  <c r="B7" i="1"/>
  <c r="C7" i="1"/>
  <c r="D7" i="1"/>
  <c r="E7" i="1"/>
  <c r="F7" i="1"/>
  <c r="G7" i="1"/>
  <c r="H7" i="1"/>
  <c r="I7" i="1"/>
  <c r="J7" i="1"/>
  <c r="K7" i="1"/>
  <c r="L7" i="1"/>
  <c r="M7" i="1"/>
  <c r="U7" i="1"/>
  <c r="V7" i="1"/>
  <c r="W7" i="1"/>
  <c r="X7" i="1"/>
  <c r="Z7" i="1"/>
  <c r="B8" i="1"/>
  <c r="C8" i="1"/>
  <c r="D8" i="1"/>
  <c r="E8" i="1"/>
  <c r="F8" i="1"/>
  <c r="G8" i="1"/>
  <c r="H8" i="1"/>
  <c r="I8" i="1"/>
  <c r="J8" i="1"/>
  <c r="K8" i="1"/>
  <c r="L8" i="1"/>
  <c r="M8" i="1"/>
  <c r="U8" i="1"/>
  <c r="V8" i="1"/>
  <c r="W8" i="1"/>
  <c r="X8" i="1"/>
  <c r="Z8" i="1"/>
  <c r="B9" i="1"/>
  <c r="C9" i="1"/>
  <c r="D9" i="1"/>
  <c r="E9" i="1"/>
  <c r="F9" i="1"/>
  <c r="G9" i="1"/>
  <c r="H9" i="1"/>
  <c r="I9" i="1"/>
  <c r="J9" i="1"/>
  <c r="K9" i="1"/>
  <c r="L9" i="1"/>
  <c r="M9" i="1"/>
  <c r="U9" i="1"/>
  <c r="V9" i="1"/>
  <c r="W9" i="1"/>
  <c r="X9" i="1"/>
  <c r="Z9" i="1"/>
  <c r="B10" i="1"/>
  <c r="C10" i="1"/>
  <c r="D10" i="1"/>
  <c r="E10" i="1"/>
  <c r="F10" i="1"/>
  <c r="G10" i="1"/>
  <c r="H10" i="1"/>
  <c r="I10" i="1"/>
  <c r="J10" i="1"/>
  <c r="K10" i="1"/>
  <c r="L10" i="1"/>
  <c r="M10" i="1"/>
  <c r="U10" i="1"/>
  <c r="V10" i="1"/>
  <c r="W10" i="1"/>
  <c r="X10" i="1"/>
  <c r="Z10" i="1"/>
  <c r="B11" i="1"/>
  <c r="C11" i="1"/>
  <c r="D11" i="1"/>
  <c r="E11" i="1"/>
  <c r="F11" i="1"/>
  <c r="G11" i="1"/>
  <c r="H11" i="1"/>
  <c r="I11" i="1"/>
  <c r="J11" i="1"/>
  <c r="K11" i="1"/>
  <c r="L11" i="1"/>
  <c r="M11" i="1"/>
  <c r="U11" i="1"/>
  <c r="V11" i="1"/>
  <c r="W11" i="1"/>
  <c r="X11" i="1"/>
  <c r="Z11" i="1"/>
  <c r="B12" i="1"/>
  <c r="C12" i="1"/>
  <c r="D12" i="1"/>
  <c r="E12" i="1"/>
  <c r="F12" i="1"/>
  <c r="G12" i="1"/>
  <c r="H12" i="1"/>
  <c r="I12" i="1"/>
  <c r="J12" i="1"/>
  <c r="K12" i="1"/>
  <c r="L12" i="1"/>
  <c r="M12" i="1"/>
  <c r="U12" i="1"/>
  <c r="V12" i="1"/>
  <c r="W12" i="1"/>
  <c r="X12" i="1"/>
  <c r="Z12" i="1"/>
  <c r="B13" i="1"/>
  <c r="C13" i="1"/>
  <c r="D13" i="1"/>
  <c r="E13" i="1"/>
  <c r="F13" i="1"/>
  <c r="G13" i="1"/>
  <c r="H13" i="1"/>
  <c r="I13" i="1"/>
  <c r="J13" i="1"/>
  <c r="K13" i="1"/>
  <c r="L13" i="1"/>
  <c r="M13" i="1"/>
  <c r="U13" i="1"/>
  <c r="V13" i="1"/>
  <c r="W13" i="1"/>
  <c r="X13" i="1"/>
  <c r="Z13" i="1"/>
  <c r="B14" i="1"/>
  <c r="C14" i="1"/>
  <c r="D14" i="1"/>
  <c r="E14" i="1"/>
  <c r="F14" i="1"/>
  <c r="G14" i="1"/>
  <c r="H14" i="1"/>
  <c r="I14" i="1"/>
  <c r="J14" i="1"/>
  <c r="K14" i="1"/>
  <c r="L14" i="1"/>
  <c r="M14" i="1"/>
  <c r="U14" i="1"/>
  <c r="V14" i="1"/>
  <c r="W14" i="1"/>
  <c r="X14" i="1"/>
  <c r="Z14" i="1"/>
  <c r="B15" i="1"/>
  <c r="C15" i="1"/>
  <c r="D15" i="1"/>
  <c r="E15" i="1"/>
  <c r="F15" i="1"/>
  <c r="G15" i="1"/>
  <c r="H15" i="1"/>
  <c r="I15" i="1"/>
  <c r="J15" i="1"/>
  <c r="K15" i="1"/>
  <c r="L15" i="1"/>
  <c r="M15" i="1"/>
  <c r="U15" i="1"/>
  <c r="V15" i="1"/>
  <c r="W15" i="1"/>
  <c r="X15" i="1"/>
  <c r="Z15" i="1"/>
  <c r="B16" i="1"/>
  <c r="C16" i="1"/>
  <c r="D16" i="1"/>
  <c r="E16" i="1"/>
  <c r="F16" i="1"/>
  <c r="G16" i="1"/>
  <c r="H16" i="1"/>
  <c r="I16" i="1"/>
  <c r="J16" i="1"/>
  <c r="K16" i="1"/>
  <c r="L16" i="1"/>
  <c r="M16" i="1"/>
  <c r="U16" i="1"/>
  <c r="V16" i="1"/>
  <c r="W16" i="1"/>
  <c r="X16" i="1"/>
  <c r="Z16" i="1"/>
  <c r="B17" i="1"/>
  <c r="C17" i="1"/>
  <c r="D17" i="1"/>
  <c r="E17" i="1"/>
  <c r="F17" i="1"/>
  <c r="G17" i="1"/>
  <c r="H17" i="1"/>
  <c r="I17" i="1"/>
  <c r="J17" i="1"/>
  <c r="K17" i="1"/>
  <c r="L17" i="1"/>
  <c r="M17" i="1"/>
  <c r="U17" i="1"/>
  <c r="V17" i="1"/>
  <c r="W17" i="1"/>
  <c r="X17" i="1"/>
  <c r="Z17" i="1"/>
  <c r="B18" i="1"/>
  <c r="C18" i="1"/>
  <c r="D18" i="1"/>
  <c r="E18" i="1"/>
  <c r="F18" i="1"/>
  <c r="G18" i="1"/>
  <c r="H18" i="1"/>
  <c r="I18" i="1"/>
  <c r="J18" i="1"/>
  <c r="K18" i="1"/>
  <c r="L18" i="1"/>
  <c r="M18" i="1"/>
  <c r="U18" i="1"/>
  <c r="V18" i="1"/>
  <c r="W18" i="1"/>
  <c r="X18" i="1"/>
  <c r="Z18" i="1"/>
  <c r="B19" i="1"/>
  <c r="C19" i="1"/>
  <c r="D19" i="1"/>
  <c r="E19" i="1"/>
  <c r="F19" i="1"/>
  <c r="G19" i="1"/>
  <c r="H19" i="1"/>
  <c r="I19" i="1"/>
  <c r="J19" i="1"/>
  <c r="K19" i="1"/>
  <c r="L19" i="1"/>
  <c r="M19" i="1"/>
  <c r="U19" i="1"/>
  <c r="V19" i="1"/>
  <c r="W19" i="1"/>
  <c r="X19" i="1"/>
  <c r="Z19" i="1"/>
  <c r="B20" i="1"/>
  <c r="C20" i="1"/>
  <c r="D20" i="1"/>
  <c r="E20" i="1"/>
  <c r="F20" i="1"/>
  <c r="G20" i="1"/>
  <c r="H20" i="1"/>
  <c r="I20" i="1"/>
  <c r="J20" i="1"/>
  <c r="K20" i="1"/>
  <c r="L20" i="1"/>
  <c r="M20" i="1"/>
  <c r="U20" i="1"/>
  <c r="V20" i="1"/>
  <c r="W20" i="1"/>
  <c r="X20" i="1"/>
  <c r="Z20" i="1"/>
  <c r="B21" i="1"/>
  <c r="C21" i="1"/>
  <c r="D21" i="1"/>
  <c r="E21" i="1"/>
  <c r="F21" i="1"/>
  <c r="G21" i="1"/>
  <c r="H21" i="1"/>
  <c r="I21" i="1"/>
  <c r="J21" i="1"/>
  <c r="K21" i="1"/>
  <c r="L21" i="1"/>
  <c r="M21" i="1"/>
  <c r="U21" i="1"/>
  <c r="V21" i="1"/>
  <c r="W21" i="1"/>
  <c r="X21" i="1"/>
  <c r="Z21" i="1"/>
  <c r="B22" i="1"/>
  <c r="C22" i="1"/>
  <c r="D22" i="1"/>
  <c r="E22" i="1"/>
  <c r="F22" i="1"/>
  <c r="G22" i="1"/>
  <c r="H22" i="1"/>
  <c r="I22" i="1"/>
  <c r="J22" i="1"/>
  <c r="K22" i="1"/>
  <c r="L22" i="1"/>
  <c r="M22" i="1"/>
  <c r="U22" i="1"/>
  <c r="V22" i="1"/>
  <c r="W22" i="1"/>
  <c r="X22" i="1"/>
  <c r="Z22" i="1"/>
  <c r="B23" i="1"/>
  <c r="C23" i="1"/>
  <c r="D23" i="1"/>
  <c r="E23" i="1"/>
  <c r="F23" i="1"/>
  <c r="G23" i="1"/>
  <c r="H23" i="1"/>
  <c r="I23" i="1"/>
  <c r="J23" i="1"/>
  <c r="K23" i="1"/>
  <c r="L23" i="1"/>
  <c r="M23" i="1"/>
  <c r="U23" i="1"/>
  <c r="V23" i="1"/>
  <c r="W23" i="1"/>
  <c r="X23" i="1"/>
  <c r="Z23" i="1"/>
  <c r="B24" i="1"/>
  <c r="C24" i="1"/>
  <c r="D24" i="1"/>
  <c r="E24" i="1"/>
  <c r="F24" i="1"/>
  <c r="G24" i="1"/>
  <c r="H24" i="1"/>
  <c r="I24" i="1"/>
  <c r="J24" i="1"/>
  <c r="K24" i="1"/>
  <c r="L24" i="1"/>
  <c r="M24" i="1"/>
  <c r="U24" i="1"/>
  <c r="V24" i="1"/>
  <c r="W24" i="1"/>
  <c r="X24" i="1"/>
  <c r="Z24" i="1"/>
  <c r="B25" i="1"/>
  <c r="C25" i="1"/>
  <c r="D25" i="1"/>
  <c r="E25" i="1"/>
  <c r="F25" i="1"/>
  <c r="G25" i="1"/>
  <c r="H25" i="1"/>
  <c r="I25" i="1"/>
  <c r="J25" i="1"/>
  <c r="K25" i="1"/>
  <c r="L25" i="1"/>
  <c r="M25" i="1"/>
  <c r="U25" i="1"/>
  <c r="V25" i="1"/>
  <c r="W25" i="1"/>
  <c r="X25" i="1"/>
  <c r="Z25" i="1"/>
  <c r="B26" i="1"/>
  <c r="C26" i="1"/>
  <c r="D26" i="1"/>
  <c r="E26" i="1"/>
  <c r="F26" i="1"/>
  <c r="G26" i="1"/>
  <c r="H26" i="1"/>
  <c r="I26" i="1"/>
  <c r="J26" i="1"/>
  <c r="K26" i="1"/>
  <c r="L26" i="1"/>
  <c r="M26" i="1"/>
  <c r="U26" i="1"/>
  <c r="V26" i="1"/>
  <c r="W26" i="1"/>
  <c r="X26" i="1"/>
  <c r="Z26" i="1"/>
  <c r="B27" i="1"/>
  <c r="C27" i="1"/>
  <c r="D27" i="1"/>
  <c r="E27" i="1"/>
  <c r="F27" i="1"/>
  <c r="G27" i="1"/>
  <c r="H27" i="1"/>
  <c r="I27" i="1"/>
  <c r="J27" i="1"/>
  <c r="K27" i="1"/>
  <c r="L27" i="1"/>
  <c r="M27" i="1"/>
  <c r="U27" i="1"/>
  <c r="V27" i="1"/>
  <c r="W27" i="1"/>
  <c r="X27" i="1"/>
  <c r="Z27" i="1"/>
  <c r="B28" i="1"/>
  <c r="C28" i="1"/>
  <c r="D28" i="1"/>
  <c r="E28" i="1"/>
  <c r="F28" i="1"/>
  <c r="G28" i="1"/>
  <c r="H28" i="1"/>
  <c r="I28" i="1"/>
  <c r="J28" i="1"/>
  <c r="K28" i="1"/>
  <c r="L28" i="1"/>
  <c r="M28" i="1"/>
  <c r="U28" i="1"/>
  <c r="V28" i="1"/>
  <c r="W28" i="1"/>
  <c r="X28" i="1"/>
  <c r="Z28" i="1"/>
  <c r="B29" i="1"/>
  <c r="C29" i="1"/>
  <c r="D29" i="1"/>
  <c r="E29" i="1"/>
  <c r="F29" i="1"/>
  <c r="G29" i="1"/>
  <c r="H29" i="1"/>
  <c r="I29" i="1"/>
  <c r="J29" i="1"/>
  <c r="K29" i="1"/>
  <c r="L29" i="1"/>
  <c r="M29" i="1"/>
  <c r="U29" i="1"/>
  <c r="V29" i="1"/>
  <c r="W29" i="1"/>
  <c r="X29" i="1"/>
  <c r="Z29" i="1"/>
  <c r="B30" i="1"/>
  <c r="C30" i="1"/>
  <c r="D30" i="1"/>
  <c r="E30" i="1"/>
  <c r="F30" i="1"/>
  <c r="G30" i="1"/>
  <c r="H30" i="1"/>
  <c r="I30" i="1"/>
  <c r="J30" i="1"/>
  <c r="K30" i="1"/>
  <c r="L30" i="1"/>
  <c r="M30" i="1"/>
  <c r="U30" i="1"/>
  <c r="V30" i="1"/>
  <c r="W30" i="1"/>
  <c r="X30" i="1"/>
  <c r="Z30" i="1"/>
  <c r="B31" i="1"/>
  <c r="C31" i="1"/>
  <c r="D31" i="1"/>
  <c r="E31" i="1"/>
  <c r="F31" i="1"/>
  <c r="G31" i="1"/>
  <c r="H31" i="1"/>
  <c r="I31" i="1"/>
  <c r="J31" i="1"/>
  <c r="K31" i="1"/>
  <c r="L31" i="1"/>
  <c r="M31" i="1"/>
  <c r="U31" i="1"/>
  <c r="V31" i="1"/>
  <c r="W31" i="1"/>
  <c r="X31" i="1"/>
  <c r="Z31" i="1"/>
  <c r="B32" i="1"/>
  <c r="C32" i="1"/>
  <c r="D32" i="1"/>
  <c r="E32" i="1"/>
  <c r="F32" i="1"/>
  <c r="G32" i="1"/>
  <c r="H32" i="1"/>
  <c r="I32" i="1"/>
  <c r="J32" i="1"/>
  <c r="K32" i="1"/>
  <c r="L32" i="1"/>
  <c r="M32" i="1"/>
  <c r="U32" i="1"/>
  <c r="V32" i="1"/>
  <c r="W32" i="1"/>
  <c r="X32" i="1"/>
  <c r="Z32" i="1"/>
  <c r="B33" i="1"/>
  <c r="C33" i="1"/>
  <c r="D33" i="1"/>
  <c r="E33" i="1"/>
  <c r="F33" i="1"/>
  <c r="G33" i="1"/>
  <c r="H33" i="1"/>
  <c r="I33" i="1"/>
  <c r="J33" i="1"/>
  <c r="K33" i="1"/>
  <c r="L33" i="1"/>
  <c r="M33" i="1"/>
  <c r="U33" i="1"/>
  <c r="V33" i="1"/>
  <c r="W33" i="1"/>
  <c r="X33" i="1"/>
  <c r="Z33" i="1"/>
  <c r="B34" i="1"/>
  <c r="C34" i="1"/>
  <c r="D34" i="1"/>
  <c r="E34" i="1"/>
  <c r="F34" i="1"/>
  <c r="G34" i="1"/>
  <c r="H34" i="1"/>
  <c r="I34" i="1"/>
  <c r="J34" i="1"/>
  <c r="K34" i="1"/>
  <c r="L34" i="1"/>
  <c r="M34" i="1"/>
  <c r="U34" i="1"/>
  <c r="V34" i="1"/>
  <c r="W34" i="1"/>
  <c r="X34" i="1"/>
  <c r="Z34" i="1"/>
  <c r="B35" i="1"/>
  <c r="C35" i="1"/>
  <c r="D35" i="1"/>
  <c r="E35" i="1"/>
  <c r="F35" i="1"/>
  <c r="G35" i="1"/>
  <c r="H35" i="1"/>
  <c r="I35" i="1"/>
  <c r="J35" i="1"/>
  <c r="K35" i="1"/>
  <c r="L35" i="1"/>
  <c r="M35" i="1"/>
  <c r="U35" i="1"/>
  <c r="V35" i="1"/>
  <c r="W35" i="1"/>
  <c r="X35" i="1"/>
  <c r="Z35" i="1"/>
  <c r="B36" i="1"/>
  <c r="C36" i="1"/>
  <c r="D36" i="1"/>
  <c r="E36" i="1"/>
  <c r="F36" i="1"/>
  <c r="G36" i="1"/>
  <c r="H36" i="1"/>
  <c r="I36" i="1"/>
  <c r="J36" i="1"/>
  <c r="K36" i="1"/>
  <c r="L36" i="1"/>
  <c r="M36" i="1"/>
  <c r="U36" i="1"/>
  <c r="V36" i="1"/>
  <c r="W36" i="1"/>
  <c r="X36" i="1"/>
  <c r="Z36" i="1"/>
  <c r="B37" i="1"/>
  <c r="C37" i="1"/>
  <c r="D37" i="1"/>
  <c r="E37" i="1"/>
  <c r="F37" i="1"/>
  <c r="G37" i="1"/>
  <c r="H37" i="1"/>
  <c r="I37" i="1"/>
  <c r="J37" i="1"/>
  <c r="K37" i="1"/>
  <c r="L37" i="1"/>
  <c r="M37" i="1"/>
  <c r="U37" i="1"/>
  <c r="V37" i="1"/>
  <c r="W37" i="1"/>
  <c r="X37" i="1"/>
  <c r="Z37" i="1"/>
  <c r="B38" i="1"/>
  <c r="C38" i="1"/>
  <c r="D38" i="1"/>
  <c r="E38" i="1"/>
  <c r="F38" i="1"/>
  <c r="G38" i="1"/>
  <c r="H38" i="1"/>
  <c r="I38" i="1"/>
  <c r="J38" i="1"/>
  <c r="K38" i="1"/>
  <c r="L38" i="1"/>
  <c r="M38" i="1"/>
  <c r="U38" i="1"/>
  <c r="V38" i="1"/>
  <c r="W38" i="1"/>
  <c r="X38" i="1"/>
  <c r="Z38" i="1"/>
  <c r="B39" i="1"/>
  <c r="C39" i="1"/>
  <c r="D39" i="1"/>
  <c r="E39" i="1"/>
  <c r="F39" i="1"/>
  <c r="G39" i="1"/>
  <c r="H39" i="1"/>
  <c r="I39" i="1"/>
  <c r="J39" i="1"/>
  <c r="K39" i="1"/>
  <c r="L39" i="1"/>
  <c r="M39" i="1"/>
  <c r="U39" i="1"/>
  <c r="V39" i="1"/>
  <c r="W39" i="1"/>
  <c r="X39" i="1"/>
  <c r="Z39" i="1"/>
  <c r="B40" i="1"/>
  <c r="C40" i="1"/>
  <c r="D40" i="1"/>
  <c r="E40" i="1"/>
  <c r="F40" i="1"/>
  <c r="G40" i="1"/>
  <c r="H40" i="1"/>
  <c r="I40" i="1"/>
  <c r="J40" i="1"/>
  <c r="K40" i="1"/>
  <c r="L40" i="1"/>
  <c r="M40" i="1"/>
  <c r="U40" i="1"/>
  <c r="V40" i="1"/>
  <c r="W40" i="1"/>
  <c r="X40" i="1"/>
  <c r="Z40" i="1"/>
  <c r="B41" i="1"/>
  <c r="C41" i="1"/>
  <c r="D41" i="1"/>
  <c r="E41" i="1"/>
  <c r="F41" i="1"/>
  <c r="G41" i="1"/>
  <c r="H41" i="1"/>
  <c r="I41" i="1"/>
  <c r="J41" i="1"/>
  <c r="K41" i="1"/>
  <c r="L41" i="1"/>
  <c r="M41" i="1"/>
  <c r="U41" i="1"/>
  <c r="V41" i="1"/>
  <c r="W41" i="1"/>
  <c r="X41" i="1"/>
  <c r="Z41" i="1"/>
  <c r="B42" i="1"/>
  <c r="C42" i="1"/>
  <c r="D42" i="1"/>
  <c r="E42" i="1"/>
  <c r="F42" i="1"/>
  <c r="G42" i="1"/>
  <c r="H42" i="1"/>
  <c r="I42" i="1"/>
  <c r="J42" i="1"/>
  <c r="K42" i="1"/>
  <c r="L42" i="1"/>
  <c r="M42" i="1"/>
  <c r="U42" i="1"/>
  <c r="V42" i="1"/>
  <c r="W42" i="1"/>
  <c r="X42" i="1"/>
  <c r="Z42" i="1"/>
  <c r="B43" i="1"/>
  <c r="C43" i="1"/>
  <c r="D43" i="1"/>
  <c r="E43" i="1"/>
  <c r="F43" i="1"/>
  <c r="G43" i="1"/>
  <c r="H43" i="1"/>
  <c r="I43" i="1"/>
  <c r="J43" i="1"/>
  <c r="K43" i="1"/>
  <c r="L43" i="1"/>
  <c r="M43" i="1"/>
  <c r="U43" i="1"/>
  <c r="V43" i="1"/>
  <c r="W43" i="1"/>
  <c r="X43" i="1"/>
  <c r="Z43" i="1"/>
  <c r="B44" i="1"/>
  <c r="C44" i="1"/>
  <c r="D44" i="1"/>
  <c r="E44" i="1"/>
  <c r="F44" i="1"/>
  <c r="G44" i="1"/>
  <c r="H44" i="1"/>
  <c r="I44" i="1"/>
  <c r="J44" i="1"/>
  <c r="K44" i="1"/>
  <c r="L44" i="1"/>
  <c r="M44" i="1"/>
  <c r="U44" i="1"/>
  <c r="V44" i="1"/>
  <c r="W44" i="1"/>
  <c r="X44" i="1"/>
  <c r="Z44" i="1"/>
  <c r="B45" i="1"/>
  <c r="C45" i="1"/>
  <c r="D45" i="1"/>
  <c r="E45" i="1"/>
  <c r="F45" i="1"/>
  <c r="G45" i="1"/>
  <c r="H45" i="1"/>
  <c r="I45" i="1"/>
  <c r="J45" i="1"/>
  <c r="K45" i="1"/>
  <c r="L45" i="1"/>
  <c r="M45" i="1"/>
  <c r="U45" i="1"/>
  <c r="V45" i="1"/>
  <c r="W45" i="1"/>
  <c r="X45" i="1"/>
  <c r="Z45" i="1"/>
  <c r="B46" i="1"/>
  <c r="C46" i="1"/>
  <c r="D46" i="1"/>
  <c r="E46" i="1"/>
  <c r="F46" i="1"/>
  <c r="G46" i="1"/>
  <c r="H46" i="1"/>
  <c r="I46" i="1"/>
  <c r="J46" i="1"/>
  <c r="K46" i="1"/>
  <c r="L46" i="1"/>
  <c r="M46" i="1"/>
  <c r="U46" i="1"/>
  <c r="V46" i="1"/>
  <c r="W46" i="1"/>
  <c r="X46" i="1"/>
  <c r="Z46" i="1"/>
  <c r="B47" i="1"/>
  <c r="C47" i="1"/>
  <c r="D47" i="1"/>
  <c r="E47" i="1"/>
  <c r="F47" i="1"/>
  <c r="G47" i="1"/>
  <c r="H47" i="1"/>
  <c r="I47" i="1"/>
  <c r="J47" i="1"/>
  <c r="K47" i="1"/>
  <c r="L47" i="1"/>
  <c r="M47" i="1"/>
  <c r="U47" i="1"/>
  <c r="V47" i="1"/>
  <c r="W47" i="1"/>
  <c r="X47" i="1"/>
  <c r="Z47" i="1"/>
  <c r="B48" i="1"/>
  <c r="C48" i="1"/>
  <c r="D48" i="1"/>
  <c r="E48" i="1"/>
  <c r="F48" i="1"/>
  <c r="G48" i="1"/>
  <c r="H48" i="1"/>
  <c r="I48" i="1"/>
  <c r="J48" i="1"/>
  <c r="K48" i="1"/>
  <c r="L48" i="1"/>
  <c r="M48" i="1"/>
  <c r="U48" i="1"/>
  <c r="V48" i="1"/>
  <c r="W48" i="1"/>
  <c r="X48" i="1"/>
  <c r="Z48" i="1"/>
  <c r="B49" i="1"/>
  <c r="C49" i="1"/>
  <c r="D49" i="1"/>
  <c r="E49" i="1"/>
  <c r="F49" i="1"/>
  <c r="G49" i="1"/>
  <c r="H49" i="1"/>
  <c r="I49" i="1"/>
  <c r="J49" i="1"/>
  <c r="K49" i="1"/>
  <c r="L49" i="1"/>
  <c r="M49" i="1"/>
  <c r="U49" i="1"/>
  <c r="V49" i="1"/>
  <c r="W49" i="1"/>
  <c r="X49" i="1"/>
  <c r="Z49" i="1"/>
  <c r="B50" i="1"/>
  <c r="C50" i="1"/>
  <c r="D50" i="1"/>
  <c r="E50" i="1"/>
  <c r="F50" i="1"/>
  <c r="G50" i="1"/>
  <c r="H50" i="1"/>
  <c r="I50" i="1"/>
  <c r="J50" i="1"/>
  <c r="K50" i="1"/>
  <c r="L50" i="1"/>
  <c r="M50" i="1"/>
  <c r="U50" i="1"/>
  <c r="V50" i="1"/>
  <c r="W50" i="1"/>
  <c r="X50" i="1"/>
  <c r="Z50" i="1"/>
  <c r="B51" i="1"/>
  <c r="C51" i="1"/>
  <c r="D51" i="1"/>
  <c r="E51" i="1"/>
  <c r="F51" i="1"/>
  <c r="G51" i="1"/>
  <c r="H51" i="1"/>
  <c r="I51" i="1"/>
  <c r="J51" i="1"/>
  <c r="K51" i="1"/>
  <c r="L51" i="1"/>
  <c r="M51" i="1"/>
  <c r="U51" i="1"/>
  <c r="V51" i="1"/>
  <c r="W51" i="1"/>
  <c r="X51" i="1"/>
  <c r="Z51" i="1"/>
  <c r="B52" i="1"/>
  <c r="C52" i="1"/>
  <c r="D52" i="1"/>
  <c r="E52" i="1"/>
  <c r="F52" i="1"/>
  <c r="G52" i="1"/>
  <c r="H52" i="1"/>
  <c r="I52" i="1"/>
  <c r="J52" i="1"/>
  <c r="K52" i="1"/>
  <c r="L52" i="1"/>
  <c r="M52" i="1"/>
  <c r="U52" i="1"/>
  <c r="V52" i="1"/>
  <c r="W52" i="1"/>
  <c r="X52" i="1"/>
  <c r="Z52" i="1"/>
  <c r="B53" i="1"/>
  <c r="C53" i="1"/>
  <c r="D53" i="1"/>
  <c r="E53" i="1"/>
  <c r="F53" i="1"/>
  <c r="G53" i="1"/>
  <c r="H53" i="1"/>
  <c r="I53" i="1"/>
  <c r="J53" i="1"/>
  <c r="K53" i="1"/>
  <c r="L53" i="1"/>
  <c r="M53" i="1"/>
  <c r="U53" i="1"/>
  <c r="V53" i="1"/>
  <c r="W53" i="1"/>
  <c r="X53" i="1"/>
  <c r="Z53" i="1"/>
  <c r="B54" i="1"/>
  <c r="C54" i="1"/>
  <c r="D54" i="1"/>
  <c r="E54" i="1"/>
  <c r="F54" i="1"/>
  <c r="G54" i="1"/>
  <c r="H54" i="1"/>
  <c r="I54" i="1"/>
  <c r="J54" i="1"/>
  <c r="K54" i="1"/>
  <c r="L54" i="1"/>
  <c r="M54" i="1"/>
  <c r="U54" i="1"/>
  <c r="V54" i="1"/>
  <c r="W54" i="1"/>
  <c r="X54" i="1"/>
  <c r="Z54" i="1"/>
  <c r="B55" i="1"/>
  <c r="C55" i="1"/>
  <c r="D55" i="1"/>
  <c r="E55" i="1"/>
  <c r="F55" i="1"/>
  <c r="G55" i="1"/>
  <c r="H55" i="1"/>
  <c r="I55" i="1"/>
  <c r="J55" i="1"/>
  <c r="K55" i="1"/>
  <c r="L55" i="1"/>
  <c r="M55" i="1"/>
  <c r="U55" i="1"/>
  <c r="V55" i="1"/>
  <c r="W55" i="1"/>
  <c r="X55" i="1"/>
  <c r="Z55" i="1"/>
  <c r="B56" i="1"/>
  <c r="C56" i="1"/>
  <c r="D56" i="1"/>
  <c r="E56" i="1"/>
  <c r="F56" i="1"/>
  <c r="G56" i="1"/>
  <c r="H56" i="1"/>
  <c r="I56" i="1"/>
  <c r="J56" i="1"/>
  <c r="K56" i="1"/>
  <c r="L56" i="1"/>
  <c r="M56" i="1"/>
  <c r="U56" i="1"/>
  <c r="V56" i="1"/>
  <c r="W56" i="1"/>
  <c r="X56" i="1"/>
  <c r="Z56" i="1"/>
  <c r="B57" i="1"/>
  <c r="C57" i="1"/>
  <c r="D57" i="1"/>
  <c r="E57" i="1"/>
  <c r="F57" i="1"/>
  <c r="G57" i="1"/>
  <c r="H57" i="1"/>
  <c r="I57" i="1"/>
  <c r="J57" i="1"/>
  <c r="K57" i="1"/>
  <c r="L57" i="1"/>
  <c r="M57" i="1"/>
  <c r="U57" i="1"/>
  <c r="V57" i="1"/>
  <c r="W57" i="1"/>
  <c r="X57" i="1"/>
  <c r="Z57" i="1"/>
  <c r="B58" i="1"/>
  <c r="C58" i="1"/>
  <c r="D58" i="1"/>
  <c r="E58" i="1"/>
  <c r="F58" i="1"/>
  <c r="G58" i="1"/>
  <c r="H58" i="1"/>
  <c r="I58" i="1"/>
  <c r="J58" i="1"/>
  <c r="K58" i="1"/>
  <c r="L58" i="1"/>
  <c r="M58" i="1"/>
  <c r="U58" i="1"/>
  <c r="V58" i="1"/>
  <c r="W58" i="1"/>
  <c r="X58" i="1"/>
  <c r="Z58" i="1"/>
  <c r="B59" i="1"/>
  <c r="C59" i="1"/>
  <c r="D59" i="1"/>
  <c r="E59" i="1"/>
  <c r="F59" i="1"/>
  <c r="G59" i="1"/>
  <c r="H59" i="1"/>
  <c r="I59" i="1"/>
  <c r="J59" i="1"/>
  <c r="K59" i="1"/>
  <c r="L59" i="1"/>
  <c r="M59" i="1"/>
  <c r="U59" i="1"/>
  <c r="V59" i="1"/>
  <c r="W59" i="1"/>
  <c r="X59" i="1"/>
  <c r="Z59" i="1"/>
  <c r="B60" i="1"/>
  <c r="C60" i="1"/>
  <c r="D60" i="1"/>
  <c r="E60" i="1"/>
  <c r="F60" i="1"/>
  <c r="G60" i="1"/>
  <c r="H60" i="1"/>
  <c r="I60" i="1"/>
  <c r="J60" i="1"/>
  <c r="K60" i="1"/>
  <c r="L60" i="1"/>
  <c r="M60" i="1"/>
  <c r="U60" i="1"/>
  <c r="V60" i="1"/>
  <c r="W60" i="1"/>
  <c r="X60" i="1"/>
  <c r="Z60" i="1"/>
  <c r="B61" i="1"/>
  <c r="C61" i="1"/>
  <c r="D61" i="1"/>
  <c r="E61" i="1"/>
  <c r="F61" i="1"/>
  <c r="G61" i="1"/>
  <c r="H61" i="1"/>
  <c r="I61" i="1"/>
  <c r="J61" i="1"/>
  <c r="K61" i="1"/>
  <c r="L61" i="1"/>
  <c r="M61" i="1"/>
  <c r="U61" i="1"/>
  <c r="V61" i="1"/>
  <c r="W61" i="1"/>
  <c r="X61" i="1"/>
  <c r="Z61" i="1"/>
  <c r="B62" i="1"/>
  <c r="C62" i="1"/>
  <c r="D62" i="1"/>
  <c r="E62" i="1"/>
  <c r="F62" i="1"/>
  <c r="G62" i="1"/>
  <c r="H62" i="1"/>
  <c r="I62" i="1"/>
  <c r="J62" i="1"/>
  <c r="K62" i="1"/>
  <c r="L62" i="1"/>
  <c r="M62" i="1"/>
  <c r="U62" i="1"/>
  <c r="V62" i="1"/>
  <c r="W62" i="1"/>
  <c r="X62" i="1"/>
  <c r="Z62" i="1"/>
  <c r="B63" i="1"/>
  <c r="C63" i="1"/>
  <c r="D63" i="1"/>
  <c r="E63" i="1"/>
  <c r="F63" i="1"/>
  <c r="G63" i="1"/>
  <c r="H63" i="1"/>
  <c r="I63" i="1"/>
  <c r="J63" i="1"/>
  <c r="K63" i="1"/>
  <c r="L63" i="1"/>
  <c r="M63" i="1"/>
  <c r="U63" i="1"/>
  <c r="V63" i="1"/>
  <c r="W63" i="1"/>
  <c r="X63" i="1"/>
  <c r="Z63" i="1"/>
  <c r="B64" i="1"/>
  <c r="C64" i="1"/>
  <c r="D64" i="1"/>
  <c r="E64" i="1"/>
  <c r="F64" i="1"/>
  <c r="G64" i="1"/>
  <c r="H64" i="1"/>
  <c r="I64" i="1"/>
  <c r="J64" i="1"/>
  <c r="K64" i="1"/>
  <c r="L64" i="1"/>
  <c r="M64" i="1"/>
  <c r="U64" i="1"/>
  <c r="V64" i="1"/>
  <c r="W64" i="1"/>
  <c r="X64" i="1"/>
  <c r="Z64" i="1"/>
  <c r="B65" i="1"/>
  <c r="C65" i="1"/>
  <c r="D65" i="1"/>
  <c r="E65" i="1"/>
  <c r="F65" i="1"/>
  <c r="G65" i="1"/>
  <c r="H65" i="1"/>
  <c r="I65" i="1"/>
  <c r="J65" i="1"/>
  <c r="K65" i="1"/>
  <c r="L65" i="1"/>
  <c r="M65" i="1"/>
  <c r="U65" i="1"/>
  <c r="V65" i="1"/>
  <c r="W65" i="1"/>
  <c r="X65" i="1"/>
  <c r="Z65" i="1"/>
  <c r="B66" i="1"/>
  <c r="C66" i="1"/>
  <c r="D66" i="1"/>
  <c r="E66" i="1"/>
  <c r="F66" i="1"/>
  <c r="G66" i="1"/>
  <c r="H66" i="1"/>
  <c r="I66" i="1"/>
  <c r="J66" i="1"/>
  <c r="K66" i="1"/>
  <c r="L66" i="1"/>
  <c r="M66" i="1"/>
  <c r="U66" i="1"/>
  <c r="V66" i="1"/>
  <c r="W66" i="1"/>
  <c r="X66" i="1"/>
  <c r="Z66" i="1"/>
  <c r="B67" i="1"/>
  <c r="C67" i="1"/>
  <c r="D67" i="1"/>
  <c r="E67" i="1"/>
  <c r="F67" i="1"/>
  <c r="G67" i="1"/>
  <c r="H67" i="1"/>
  <c r="I67" i="1"/>
  <c r="J67" i="1"/>
  <c r="K67" i="1"/>
  <c r="L67" i="1"/>
  <c r="M67" i="1"/>
  <c r="U67" i="1"/>
  <c r="V67" i="1"/>
  <c r="W67" i="1"/>
  <c r="X67" i="1"/>
  <c r="Z67" i="1"/>
  <c r="B68" i="1"/>
  <c r="C68" i="1"/>
  <c r="D68" i="1"/>
  <c r="E68" i="1"/>
  <c r="F68" i="1"/>
  <c r="G68" i="1"/>
  <c r="H68" i="1"/>
  <c r="I68" i="1"/>
  <c r="J68" i="1"/>
  <c r="K68" i="1"/>
  <c r="L68" i="1"/>
  <c r="M68" i="1"/>
  <c r="U68" i="1"/>
  <c r="V68" i="1"/>
  <c r="W68" i="1"/>
  <c r="X68" i="1"/>
  <c r="Z68" i="1"/>
  <c r="B69" i="1"/>
  <c r="C69" i="1"/>
  <c r="D69" i="1"/>
  <c r="E69" i="1"/>
  <c r="F69" i="1"/>
  <c r="G69" i="1"/>
  <c r="H69" i="1"/>
  <c r="I69" i="1"/>
  <c r="J69" i="1"/>
  <c r="K69" i="1"/>
  <c r="L69" i="1"/>
  <c r="M69" i="1"/>
  <c r="U69" i="1"/>
  <c r="V69" i="1"/>
  <c r="W69" i="1"/>
  <c r="X69" i="1"/>
  <c r="Z69" i="1"/>
  <c r="B70" i="1"/>
  <c r="C70" i="1"/>
  <c r="D70" i="1"/>
  <c r="E70" i="1"/>
  <c r="F70" i="1"/>
  <c r="G70" i="1"/>
  <c r="H70" i="1"/>
  <c r="I70" i="1"/>
  <c r="J70" i="1"/>
  <c r="K70" i="1"/>
  <c r="L70" i="1"/>
  <c r="M70" i="1"/>
  <c r="U70" i="1"/>
  <c r="V70" i="1"/>
  <c r="W70" i="1"/>
  <c r="X70" i="1"/>
  <c r="Z70" i="1"/>
  <c r="B71" i="1"/>
  <c r="C71" i="1"/>
  <c r="D71" i="1"/>
  <c r="E71" i="1"/>
  <c r="F71" i="1"/>
  <c r="G71" i="1"/>
  <c r="H71" i="1"/>
  <c r="I71" i="1"/>
  <c r="J71" i="1"/>
  <c r="K71" i="1"/>
  <c r="L71" i="1"/>
  <c r="M71" i="1"/>
  <c r="U71" i="1"/>
  <c r="V71" i="1"/>
  <c r="W71" i="1"/>
  <c r="X71" i="1"/>
  <c r="Z71" i="1"/>
  <c r="B72" i="1"/>
  <c r="C72" i="1"/>
  <c r="D72" i="1"/>
  <c r="E72" i="1"/>
  <c r="F72" i="1"/>
  <c r="G72" i="1"/>
  <c r="H72" i="1"/>
  <c r="I72" i="1"/>
  <c r="J72" i="1"/>
  <c r="K72" i="1"/>
  <c r="L72" i="1"/>
  <c r="M72" i="1"/>
  <c r="U72" i="1"/>
  <c r="V72" i="1"/>
  <c r="W72" i="1"/>
  <c r="X72" i="1"/>
  <c r="Z72" i="1"/>
  <c r="B73" i="1"/>
  <c r="C73" i="1"/>
  <c r="D73" i="1"/>
  <c r="E73" i="1"/>
  <c r="F73" i="1"/>
  <c r="G73" i="1"/>
  <c r="H73" i="1"/>
  <c r="I73" i="1"/>
  <c r="J73" i="1"/>
  <c r="K73" i="1"/>
  <c r="L73" i="1"/>
  <c r="M73" i="1"/>
  <c r="U73" i="1"/>
  <c r="V73" i="1"/>
  <c r="W73" i="1"/>
  <c r="X73" i="1"/>
  <c r="Z73" i="1"/>
  <c r="B74" i="1"/>
  <c r="C74" i="1"/>
  <c r="D74" i="1"/>
  <c r="E74" i="1"/>
  <c r="F74" i="1"/>
  <c r="G74" i="1"/>
  <c r="H74" i="1"/>
  <c r="I74" i="1"/>
  <c r="J74" i="1"/>
  <c r="K74" i="1"/>
  <c r="L74" i="1"/>
  <c r="M74" i="1"/>
  <c r="U74" i="1"/>
  <c r="V74" i="1"/>
  <c r="W74" i="1"/>
  <c r="X74" i="1"/>
  <c r="Z74" i="1"/>
  <c r="B75" i="1"/>
  <c r="C75" i="1"/>
  <c r="D75" i="1"/>
  <c r="E75" i="1"/>
  <c r="F75" i="1"/>
  <c r="G75" i="1"/>
  <c r="H75" i="1"/>
  <c r="I75" i="1"/>
  <c r="J75" i="1"/>
  <c r="K75" i="1"/>
  <c r="L75" i="1"/>
  <c r="M75" i="1"/>
  <c r="U75" i="1"/>
  <c r="V75" i="1"/>
  <c r="W75" i="1"/>
  <c r="X75" i="1"/>
  <c r="Z75" i="1"/>
  <c r="B76" i="1"/>
  <c r="C76" i="1"/>
  <c r="D76" i="1"/>
  <c r="E76" i="1"/>
  <c r="F76" i="1"/>
  <c r="G76" i="1"/>
  <c r="H76" i="1"/>
  <c r="I76" i="1"/>
  <c r="J76" i="1"/>
  <c r="K76" i="1"/>
  <c r="L76" i="1"/>
  <c r="M76" i="1"/>
  <c r="U76" i="1"/>
  <c r="V76" i="1"/>
  <c r="W76" i="1"/>
  <c r="X76" i="1"/>
  <c r="Z76" i="1"/>
  <c r="B77" i="1"/>
  <c r="C77" i="1"/>
  <c r="D77" i="1"/>
  <c r="E77" i="1"/>
  <c r="F77" i="1"/>
  <c r="G77" i="1"/>
  <c r="H77" i="1"/>
  <c r="I77" i="1"/>
  <c r="J77" i="1"/>
  <c r="K77" i="1"/>
  <c r="L77" i="1"/>
  <c r="M77" i="1"/>
  <c r="U77" i="1"/>
  <c r="V77" i="1"/>
  <c r="W77" i="1"/>
  <c r="X77" i="1"/>
  <c r="Z77" i="1"/>
  <c r="B78" i="1"/>
  <c r="C78" i="1"/>
  <c r="D78" i="1"/>
  <c r="E78" i="1"/>
  <c r="F78" i="1"/>
  <c r="G78" i="1"/>
  <c r="H78" i="1"/>
  <c r="I78" i="1"/>
  <c r="J78" i="1"/>
  <c r="K78" i="1"/>
  <c r="L78" i="1"/>
  <c r="M78" i="1"/>
  <c r="U78" i="1"/>
  <c r="V78" i="1"/>
  <c r="W78" i="1"/>
  <c r="X78" i="1"/>
  <c r="Z78" i="1"/>
  <c r="B79" i="1"/>
  <c r="C79" i="1"/>
  <c r="D79" i="1"/>
  <c r="E79" i="1"/>
  <c r="F79" i="1"/>
  <c r="G79" i="1"/>
  <c r="H79" i="1"/>
  <c r="I79" i="1"/>
  <c r="J79" i="1"/>
  <c r="K79" i="1"/>
  <c r="L79" i="1"/>
  <c r="M79" i="1"/>
  <c r="U79" i="1"/>
  <c r="V79" i="1"/>
  <c r="W79" i="1"/>
  <c r="X79" i="1"/>
  <c r="Z79" i="1"/>
  <c r="B80" i="1"/>
  <c r="C80" i="1"/>
  <c r="D80" i="1"/>
  <c r="E80" i="1"/>
  <c r="F80" i="1"/>
  <c r="G80" i="1"/>
  <c r="H80" i="1"/>
  <c r="I80" i="1"/>
  <c r="J80" i="1"/>
  <c r="K80" i="1"/>
  <c r="L80" i="1"/>
  <c r="M80" i="1"/>
  <c r="U80" i="1"/>
  <c r="V80" i="1"/>
  <c r="W80" i="1"/>
  <c r="X80" i="1"/>
  <c r="Z80" i="1"/>
  <c r="B81" i="1"/>
  <c r="C81" i="1"/>
  <c r="D81" i="1"/>
  <c r="E81" i="1"/>
  <c r="F81" i="1"/>
  <c r="G81" i="1"/>
  <c r="H81" i="1"/>
  <c r="I81" i="1"/>
  <c r="J81" i="1"/>
  <c r="K81" i="1"/>
  <c r="L81" i="1"/>
  <c r="M81" i="1"/>
  <c r="U81" i="1"/>
  <c r="V81" i="1"/>
  <c r="W81" i="1"/>
  <c r="X81" i="1"/>
  <c r="Z81" i="1"/>
  <c r="B82" i="1"/>
  <c r="C82" i="1"/>
  <c r="D82" i="1"/>
  <c r="E82" i="1"/>
  <c r="F82" i="1"/>
  <c r="G82" i="1"/>
  <c r="H82" i="1"/>
  <c r="I82" i="1"/>
  <c r="J82" i="1"/>
  <c r="K82" i="1"/>
  <c r="L82" i="1"/>
  <c r="M82" i="1"/>
  <c r="U82" i="1"/>
  <c r="V82" i="1"/>
  <c r="W82" i="1"/>
  <c r="X82" i="1"/>
  <c r="Z82" i="1"/>
  <c r="B83" i="1"/>
  <c r="C83" i="1"/>
  <c r="D83" i="1"/>
  <c r="E83" i="1"/>
  <c r="F83" i="1"/>
  <c r="G83" i="1"/>
  <c r="H83" i="1"/>
  <c r="I83" i="1"/>
  <c r="J83" i="1"/>
  <c r="K83" i="1"/>
  <c r="L83" i="1"/>
  <c r="M83" i="1"/>
  <c r="U83" i="1"/>
  <c r="V83" i="1"/>
  <c r="W83" i="1"/>
  <c r="X83" i="1"/>
  <c r="Z83" i="1"/>
  <c r="B84" i="1"/>
  <c r="C84" i="1"/>
  <c r="D84" i="1"/>
  <c r="E84" i="1"/>
  <c r="F84" i="1"/>
  <c r="G84" i="1"/>
  <c r="H84" i="1"/>
  <c r="I84" i="1"/>
  <c r="J84" i="1"/>
  <c r="K84" i="1"/>
  <c r="L84" i="1"/>
  <c r="M84" i="1"/>
  <c r="U84" i="1"/>
  <c r="V84" i="1"/>
  <c r="W84" i="1"/>
  <c r="X84" i="1"/>
  <c r="Z84" i="1"/>
  <c r="B85" i="1"/>
  <c r="C85" i="1"/>
  <c r="D85" i="1"/>
  <c r="E85" i="1"/>
  <c r="F85" i="1"/>
  <c r="G85" i="1"/>
  <c r="H85" i="1"/>
  <c r="I85" i="1"/>
  <c r="J85" i="1"/>
  <c r="K85" i="1"/>
  <c r="L85" i="1"/>
  <c r="M85" i="1"/>
  <c r="U85" i="1"/>
  <c r="V85" i="1"/>
  <c r="W85" i="1"/>
  <c r="X85" i="1"/>
  <c r="Z85" i="1"/>
  <c r="B86" i="1"/>
  <c r="C86" i="1"/>
  <c r="D86" i="1"/>
  <c r="E86" i="1"/>
  <c r="F86" i="1"/>
  <c r="G86" i="1"/>
  <c r="H86" i="1"/>
  <c r="I86" i="1"/>
  <c r="J86" i="1"/>
  <c r="K86" i="1"/>
  <c r="L86" i="1"/>
  <c r="M86" i="1"/>
  <c r="U86" i="1"/>
  <c r="V86" i="1"/>
  <c r="W86" i="1"/>
  <c r="X86" i="1"/>
  <c r="Z86" i="1"/>
  <c r="B87" i="1"/>
  <c r="C87" i="1"/>
  <c r="D87" i="1"/>
  <c r="E87" i="1"/>
  <c r="F87" i="1"/>
  <c r="G87" i="1"/>
  <c r="H87" i="1"/>
  <c r="I87" i="1"/>
  <c r="J87" i="1"/>
  <c r="K87" i="1"/>
  <c r="L87" i="1"/>
  <c r="M87" i="1"/>
  <c r="U87" i="1"/>
  <c r="V87" i="1"/>
  <c r="W87" i="1"/>
  <c r="X87" i="1"/>
  <c r="Z87" i="1"/>
  <c r="B88" i="1"/>
  <c r="C88" i="1"/>
  <c r="D88" i="1"/>
  <c r="E88" i="1"/>
  <c r="F88" i="1"/>
  <c r="G88" i="1"/>
  <c r="H88" i="1"/>
  <c r="I88" i="1"/>
  <c r="J88" i="1"/>
  <c r="K88" i="1"/>
  <c r="L88" i="1"/>
  <c r="M88" i="1"/>
  <c r="U88" i="1"/>
  <c r="V88" i="1"/>
  <c r="W88" i="1"/>
  <c r="X88" i="1"/>
  <c r="Z88" i="1"/>
  <c r="B89" i="1"/>
  <c r="C89" i="1"/>
  <c r="D89" i="1"/>
  <c r="E89" i="1"/>
  <c r="F89" i="1"/>
  <c r="G89" i="1"/>
  <c r="H89" i="1"/>
  <c r="I89" i="1"/>
  <c r="J89" i="1"/>
  <c r="K89" i="1"/>
  <c r="L89" i="1"/>
  <c r="M89" i="1"/>
  <c r="U89" i="1"/>
  <c r="V89" i="1"/>
  <c r="W89" i="1"/>
  <c r="X89" i="1"/>
  <c r="Z89" i="1"/>
  <c r="B90" i="1"/>
  <c r="C90" i="1"/>
  <c r="D90" i="1"/>
  <c r="E90" i="1"/>
  <c r="F90" i="1"/>
  <c r="G90" i="1"/>
  <c r="H90" i="1"/>
  <c r="I90" i="1"/>
  <c r="J90" i="1"/>
  <c r="K90" i="1"/>
  <c r="L90" i="1"/>
  <c r="M90" i="1"/>
  <c r="U90" i="1"/>
  <c r="V90" i="1"/>
  <c r="W90" i="1"/>
  <c r="X90" i="1"/>
  <c r="Z90" i="1"/>
  <c r="B91" i="1"/>
  <c r="C91" i="1"/>
  <c r="D91" i="1"/>
  <c r="E91" i="1"/>
  <c r="F91" i="1"/>
  <c r="G91" i="1"/>
  <c r="H91" i="1"/>
  <c r="I91" i="1"/>
  <c r="J91" i="1"/>
  <c r="K91" i="1"/>
  <c r="L91" i="1"/>
  <c r="M91" i="1"/>
  <c r="U91" i="1"/>
  <c r="V91" i="1"/>
  <c r="W91" i="1"/>
  <c r="X91" i="1"/>
  <c r="Z91" i="1"/>
  <c r="B92" i="1"/>
  <c r="C92" i="1"/>
  <c r="D92" i="1"/>
  <c r="E92" i="1"/>
  <c r="F92" i="1"/>
  <c r="G92" i="1"/>
  <c r="H92" i="1"/>
  <c r="I92" i="1"/>
  <c r="J92" i="1"/>
  <c r="K92" i="1"/>
  <c r="L92" i="1"/>
  <c r="M92" i="1"/>
  <c r="U92" i="1"/>
  <c r="V92" i="1"/>
  <c r="W92" i="1"/>
  <c r="X92" i="1"/>
  <c r="Z92" i="1"/>
  <c r="B93" i="1"/>
  <c r="C93" i="1"/>
  <c r="D93" i="1"/>
  <c r="E93" i="1"/>
  <c r="F93" i="1"/>
  <c r="G93" i="1"/>
  <c r="H93" i="1"/>
  <c r="I93" i="1"/>
  <c r="J93" i="1"/>
  <c r="K93" i="1"/>
  <c r="L93" i="1"/>
  <c r="M93" i="1"/>
  <c r="U93" i="1"/>
  <c r="V93" i="1"/>
  <c r="W93" i="1"/>
  <c r="X93" i="1"/>
  <c r="Z93" i="1"/>
  <c r="B94" i="1"/>
  <c r="C94" i="1"/>
  <c r="D94" i="1"/>
  <c r="E94" i="1"/>
  <c r="F94" i="1"/>
  <c r="G94" i="1"/>
  <c r="H94" i="1"/>
  <c r="I94" i="1"/>
  <c r="J94" i="1"/>
  <c r="K94" i="1"/>
  <c r="L94" i="1"/>
  <c r="M94" i="1"/>
  <c r="U94" i="1"/>
  <c r="V94" i="1"/>
  <c r="W94" i="1"/>
  <c r="X94" i="1"/>
  <c r="Z94" i="1"/>
  <c r="B95" i="1"/>
  <c r="C95" i="1"/>
  <c r="D95" i="1"/>
  <c r="E95" i="1"/>
  <c r="F95" i="1"/>
  <c r="G95" i="1"/>
  <c r="H95" i="1"/>
  <c r="I95" i="1"/>
  <c r="J95" i="1"/>
  <c r="K95" i="1"/>
  <c r="L95" i="1"/>
  <c r="M95" i="1"/>
  <c r="U95" i="1"/>
  <c r="V95" i="1"/>
  <c r="W95" i="1"/>
  <c r="X95" i="1"/>
  <c r="Z95" i="1"/>
  <c r="B96" i="1"/>
  <c r="C96" i="1"/>
  <c r="D96" i="1"/>
  <c r="E96" i="1"/>
  <c r="F96" i="1"/>
  <c r="G96" i="1"/>
  <c r="H96" i="1"/>
  <c r="I96" i="1"/>
  <c r="J96" i="1"/>
  <c r="K96" i="1"/>
  <c r="L96" i="1"/>
  <c r="M96" i="1"/>
  <c r="U96" i="1"/>
  <c r="V96" i="1"/>
  <c r="W96" i="1"/>
  <c r="X96" i="1"/>
  <c r="Z96" i="1"/>
  <c r="B97" i="1"/>
  <c r="C97" i="1"/>
  <c r="D97" i="1"/>
  <c r="E97" i="1"/>
  <c r="F97" i="1"/>
  <c r="G97" i="1"/>
  <c r="H97" i="1"/>
  <c r="I97" i="1"/>
  <c r="J97" i="1"/>
  <c r="K97" i="1"/>
  <c r="L97" i="1"/>
  <c r="M97" i="1"/>
  <c r="U97" i="1"/>
  <c r="V97" i="1"/>
  <c r="W97" i="1"/>
  <c r="X97" i="1"/>
  <c r="Z97" i="1"/>
  <c r="B98" i="1"/>
  <c r="C98" i="1"/>
  <c r="D98" i="1"/>
  <c r="E98" i="1"/>
  <c r="F98" i="1"/>
  <c r="G98" i="1"/>
  <c r="H98" i="1"/>
  <c r="I98" i="1"/>
  <c r="J98" i="1"/>
  <c r="K98" i="1"/>
  <c r="L98" i="1"/>
  <c r="M98" i="1"/>
  <c r="U98" i="1"/>
  <c r="V98" i="1"/>
  <c r="W98" i="1"/>
  <c r="X98" i="1"/>
  <c r="Z98" i="1"/>
  <c r="B99" i="1"/>
  <c r="C99" i="1"/>
  <c r="D99" i="1"/>
  <c r="E99" i="1"/>
  <c r="F99" i="1"/>
  <c r="G99" i="1"/>
  <c r="H99" i="1"/>
  <c r="I99" i="1"/>
  <c r="J99" i="1"/>
  <c r="K99" i="1"/>
  <c r="L99" i="1"/>
  <c r="M99" i="1"/>
  <c r="U99" i="1"/>
  <c r="V99" i="1"/>
  <c r="W99" i="1"/>
  <c r="X99" i="1"/>
  <c r="Z99" i="1"/>
  <c r="B100" i="1"/>
  <c r="C100" i="1"/>
  <c r="D100" i="1"/>
  <c r="E100" i="1"/>
  <c r="F100" i="1"/>
  <c r="G100" i="1"/>
  <c r="H100" i="1"/>
  <c r="I100" i="1"/>
  <c r="J100" i="1"/>
  <c r="K100" i="1"/>
  <c r="L100" i="1"/>
  <c r="M100" i="1"/>
  <c r="U100" i="1"/>
  <c r="V100" i="1"/>
  <c r="W100" i="1"/>
  <c r="X100" i="1"/>
  <c r="Z100" i="1"/>
  <c r="B101" i="1"/>
  <c r="C101" i="1"/>
  <c r="D101" i="1"/>
  <c r="E101" i="1"/>
  <c r="F101" i="1"/>
  <c r="G101" i="1"/>
  <c r="H101" i="1"/>
  <c r="I101" i="1"/>
  <c r="J101" i="1"/>
  <c r="K101" i="1"/>
  <c r="L101" i="1"/>
  <c r="M101" i="1"/>
  <c r="U101" i="1"/>
  <c r="V101" i="1"/>
  <c r="W101" i="1"/>
  <c r="X101" i="1"/>
  <c r="Z101" i="1"/>
  <c r="B102" i="1"/>
  <c r="C102" i="1"/>
  <c r="D102" i="1"/>
  <c r="E102" i="1"/>
  <c r="F102" i="1"/>
  <c r="G102" i="1"/>
  <c r="H102" i="1"/>
  <c r="I102" i="1"/>
  <c r="J102" i="1"/>
  <c r="K102" i="1"/>
  <c r="L102" i="1"/>
  <c r="M102" i="1"/>
  <c r="U102" i="1"/>
  <c r="V102" i="1"/>
  <c r="W102" i="1"/>
  <c r="X102" i="1"/>
  <c r="Z102" i="1"/>
  <c r="B103" i="1"/>
  <c r="C103" i="1"/>
  <c r="D103" i="1"/>
  <c r="E103" i="1"/>
  <c r="F103" i="1"/>
  <c r="G103" i="1"/>
  <c r="H103" i="1"/>
  <c r="I103" i="1"/>
  <c r="J103" i="1"/>
  <c r="K103" i="1"/>
  <c r="L103" i="1"/>
  <c r="M103" i="1"/>
  <c r="U103" i="1"/>
  <c r="V103" i="1"/>
  <c r="W103" i="1"/>
  <c r="X103" i="1"/>
  <c r="Z103" i="1"/>
  <c r="B104" i="1"/>
  <c r="C104" i="1"/>
  <c r="D104" i="1"/>
  <c r="E104" i="1"/>
  <c r="F104" i="1"/>
  <c r="G104" i="1"/>
  <c r="H104" i="1"/>
  <c r="I104" i="1"/>
  <c r="J104" i="1"/>
  <c r="K104" i="1"/>
  <c r="L104" i="1"/>
  <c r="M104" i="1"/>
  <c r="U104" i="1"/>
  <c r="V104" i="1"/>
  <c r="W104" i="1"/>
  <c r="X104" i="1"/>
  <c r="Z104" i="1"/>
  <c r="B105" i="1"/>
  <c r="C105" i="1"/>
  <c r="D105" i="1"/>
  <c r="E105" i="1"/>
  <c r="F105" i="1"/>
  <c r="G105" i="1"/>
  <c r="H105" i="1"/>
  <c r="I105" i="1"/>
  <c r="J105" i="1"/>
  <c r="K105" i="1"/>
  <c r="L105" i="1"/>
  <c r="M105" i="1"/>
  <c r="U105" i="1"/>
  <c r="V105" i="1"/>
  <c r="W105" i="1"/>
  <c r="X105" i="1"/>
  <c r="Z105" i="1"/>
  <c r="B106" i="1"/>
  <c r="C106" i="1"/>
  <c r="D106" i="1"/>
  <c r="E106" i="1"/>
  <c r="F106" i="1"/>
  <c r="G106" i="1"/>
  <c r="H106" i="1"/>
  <c r="I106" i="1"/>
  <c r="J106" i="1"/>
  <c r="K106" i="1"/>
  <c r="L106" i="1"/>
  <c r="M106" i="1"/>
  <c r="U106" i="1"/>
  <c r="V106" i="1"/>
  <c r="W106" i="1"/>
  <c r="X106" i="1"/>
  <c r="Z106" i="1"/>
  <c r="B107" i="1"/>
  <c r="C107" i="1"/>
  <c r="D107" i="1"/>
  <c r="E107" i="1"/>
  <c r="F107" i="1"/>
  <c r="G107" i="1"/>
  <c r="H107" i="1"/>
  <c r="I107" i="1"/>
  <c r="J107" i="1"/>
  <c r="K107" i="1"/>
  <c r="L107" i="1"/>
  <c r="M107" i="1"/>
  <c r="U107" i="1"/>
  <c r="V107" i="1"/>
  <c r="W107" i="1"/>
  <c r="X107" i="1"/>
  <c r="Z107" i="1"/>
  <c r="B108" i="1"/>
  <c r="C108" i="1"/>
  <c r="D108" i="1"/>
  <c r="E108" i="1"/>
  <c r="F108" i="1"/>
  <c r="G108" i="1"/>
  <c r="H108" i="1"/>
  <c r="I108" i="1"/>
  <c r="J108" i="1"/>
  <c r="K108" i="1"/>
  <c r="L108" i="1"/>
  <c r="M108" i="1"/>
  <c r="U108" i="1"/>
  <c r="V108" i="1"/>
  <c r="W108" i="1"/>
  <c r="X108" i="1"/>
  <c r="Z108" i="1"/>
  <c r="B109" i="1"/>
  <c r="C109" i="1"/>
  <c r="D109" i="1"/>
  <c r="E109" i="1"/>
  <c r="F109" i="1"/>
  <c r="G109" i="1"/>
  <c r="H109" i="1"/>
  <c r="I109" i="1"/>
  <c r="J109" i="1"/>
  <c r="K109" i="1"/>
  <c r="L109" i="1"/>
  <c r="M109" i="1"/>
  <c r="U109" i="1"/>
  <c r="V109" i="1"/>
  <c r="W109" i="1"/>
  <c r="X109" i="1"/>
  <c r="Z109" i="1"/>
  <c r="B110" i="1"/>
  <c r="C110" i="1"/>
  <c r="D110" i="1"/>
  <c r="E110" i="1"/>
  <c r="F110" i="1"/>
  <c r="G110" i="1"/>
  <c r="H110" i="1"/>
  <c r="I110" i="1"/>
  <c r="J110" i="1"/>
  <c r="K110" i="1"/>
  <c r="L110" i="1"/>
  <c r="M110" i="1"/>
  <c r="U110" i="1"/>
  <c r="V110" i="1"/>
  <c r="W110" i="1"/>
  <c r="X110" i="1"/>
  <c r="Z110" i="1"/>
  <c r="B111" i="1"/>
  <c r="C111" i="1"/>
  <c r="D111" i="1"/>
  <c r="E111" i="1"/>
  <c r="F111" i="1"/>
  <c r="G111" i="1"/>
  <c r="H111" i="1"/>
  <c r="I111" i="1"/>
  <c r="J111" i="1"/>
  <c r="K111" i="1"/>
  <c r="L111" i="1"/>
  <c r="M111" i="1"/>
  <c r="U111" i="1"/>
  <c r="V111" i="1"/>
  <c r="W111" i="1"/>
  <c r="X111" i="1"/>
  <c r="Z111" i="1"/>
  <c r="B112" i="1"/>
  <c r="C112" i="1"/>
  <c r="D112" i="1"/>
  <c r="E112" i="1"/>
  <c r="F112" i="1"/>
  <c r="G112" i="1"/>
  <c r="H112" i="1"/>
  <c r="I112" i="1"/>
  <c r="J112" i="1"/>
  <c r="K112" i="1"/>
  <c r="L112" i="1"/>
  <c r="M112" i="1"/>
  <c r="U112" i="1"/>
  <c r="V112" i="1"/>
  <c r="W112" i="1"/>
  <c r="X112" i="1"/>
  <c r="Z112" i="1"/>
  <c r="B113" i="1"/>
  <c r="C113" i="1"/>
  <c r="D113" i="1"/>
  <c r="E113" i="1"/>
  <c r="F113" i="1"/>
  <c r="G113" i="1"/>
  <c r="H113" i="1"/>
  <c r="I113" i="1"/>
  <c r="J113" i="1"/>
  <c r="K113" i="1"/>
  <c r="L113" i="1"/>
  <c r="M113" i="1"/>
  <c r="U113" i="1"/>
  <c r="V113" i="1"/>
  <c r="W113" i="1"/>
  <c r="X113" i="1"/>
  <c r="Z113" i="1"/>
  <c r="B114" i="1"/>
  <c r="C114" i="1"/>
  <c r="D114" i="1"/>
  <c r="E114" i="1"/>
  <c r="F114" i="1"/>
  <c r="G114" i="1"/>
  <c r="H114" i="1"/>
  <c r="I114" i="1"/>
  <c r="J114" i="1"/>
  <c r="K114" i="1"/>
  <c r="L114" i="1"/>
  <c r="M114" i="1"/>
  <c r="U114" i="1"/>
  <c r="V114" i="1"/>
  <c r="W114" i="1"/>
  <c r="X114" i="1"/>
  <c r="Z114" i="1"/>
  <c r="B115" i="1"/>
  <c r="C115" i="1"/>
  <c r="D115" i="1"/>
  <c r="E115" i="1"/>
  <c r="F115" i="1"/>
  <c r="G115" i="1"/>
  <c r="H115" i="1"/>
  <c r="I115" i="1"/>
  <c r="J115" i="1"/>
  <c r="K115" i="1"/>
  <c r="L115" i="1"/>
  <c r="M115" i="1"/>
  <c r="U115" i="1"/>
  <c r="V115" i="1"/>
  <c r="W115" i="1"/>
  <c r="X115" i="1"/>
  <c r="Z115" i="1"/>
  <c r="B116" i="1"/>
  <c r="C116" i="1"/>
  <c r="D116" i="1"/>
  <c r="E116" i="1"/>
  <c r="F116" i="1"/>
  <c r="G116" i="1"/>
  <c r="H116" i="1"/>
  <c r="I116" i="1"/>
  <c r="J116" i="1"/>
  <c r="K116" i="1"/>
  <c r="L116" i="1"/>
  <c r="M116" i="1"/>
  <c r="U116" i="1"/>
  <c r="V116" i="1"/>
  <c r="W116" i="1"/>
  <c r="X116" i="1"/>
  <c r="Z116" i="1"/>
  <c r="B117" i="1"/>
  <c r="C117" i="1"/>
  <c r="D117" i="1"/>
  <c r="E117" i="1"/>
  <c r="F117" i="1"/>
  <c r="G117" i="1"/>
  <c r="H117" i="1"/>
  <c r="I117" i="1"/>
  <c r="J117" i="1"/>
  <c r="K117" i="1"/>
  <c r="L117" i="1"/>
  <c r="M117" i="1"/>
  <c r="U117" i="1"/>
  <c r="V117" i="1"/>
  <c r="W117" i="1"/>
  <c r="X117" i="1"/>
  <c r="Z117" i="1"/>
  <c r="B118" i="1"/>
  <c r="C118" i="1"/>
  <c r="D118" i="1"/>
  <c r="E118" i="1"/>
  <c r="F118" i="1"/>
  <c r="G118" i="1"/>
  <c r="H118" i="1"/>
  <c r="I118" i="1"/>
  <c r="J118" i="1"/>
  <c r="K118" i="1"/>
  <c r="L118" i="1"/>
  <c r="M118" i="1"/>
  <c r="U118" i="1"/>
  <c r="V118" i="1"/>
  <c r="W118" i="1"/>
  <c r="X118" i="1"/>
  <c r="Z118" i="1"/>
  <c r="B119" i="1"/>
  <c r="C119" i="1"/>
  <c r="D119" i="1"/>
  <c r="E119" i="1"/>
  <c r="F119" i="1"/>
  <c r="G119" i="1"/>
  <c r="H119" i="1"/>
  <c r="I119" i="1"/>
  <c r="J119" i="1"/>
  <c r="K119" i="1"/>
  <c r="L119" i="1"/>
  <c r="M119" i="1"/>
  <c r="U119" i="1"/>
  <c r="V119" i="1"/>
  <c r="W119" i="1"/>
  <c r="X119" i="1"/>
  <c r="Z119" i="1"/>
  <c r="B120" i="1"/>
  <c r="C120" i="1"/>
  <c r="D120" i="1"/>
  <c r="E120" i="1"/>
  <c r="F120" i="1"/>
  <c r="G120" i="1"/>
  <c r="H120" i="1"/>
  <c r="I120" i="1"/>
  <c r="J120" i="1"/>
  <c r="K120" i="1"/>
  <c r="L120" i="1"/>
  <c r="M120" i="1"/>
  <c r="U120" i="1"/>
  <c r="V120" i="1"/>
  <c r="W120" i="1"/>
  <c r="X120" i="1"/>
  <c r="Z120" i="1"/>
  <c r="B121" i="1"/>
  <c r="C121" i="1"/>
  <c r="D121" i="1"/>
  <c r="E121" i="1"/>
  <c r="F121" i="1"/>
  <c r="G121" i="1"/>
  <c r="H121" i="1"/>
  <c r="I121" i="1"/>
  <c r="J121" i="1"/>
  <c r="K121" i="1"/>
  <c r="L121" i="1"/>
  <c r="M121" i="1"/>
  <c r="U121" i="1"/>
  <c r="V121" i="1"/>
  <c r="W121" i="1"/>
  <c r="X121" i="1"/>
  <c r="Z121" i="1"/>
  <c r="B122" i="1"/>
  <c r="C122" i="1"/>
  <c r="D122" i="1"/>
  <c r="E122" i="1"/>
  <c r="F122" i="1"/>
  <c r="G122" i="1"/>
  <c r="H122" i="1"/>
  <c r="I122" i="1"/>
  <c r="J122" i="1"/>
  <c r="K122" i="1"/>
  <c r="L122" i="1"/>
  <c r="M122" i="1"/>
  <c r="U122" i="1"/>
  <c r="V122" i="1"/>
  <c r="W122" i="1"/>
  <c r="X122" i="1"/>
  <c r="Z122" i="1"/>
  <c r="B123" i="1"/>
  <c r="C123" i="1"/>
  <c r="D123" i="1"/>
  <c r="E123" i="1"/>
  <c r="F123" i="1"/>
  <c r="G123" i="1"/>
  <c r="H123" i="1"/>
  <c r="I123" i="1"/>
  <c r="J123" i="1"/>
  <c r="K123" i="1"/>
  <c r="L123" i="1"/>
  <c r="M123" i="1"/>
  <c r="U123" i="1"/>
  <c r="V123" i="1"/>
  <c r="W123" i="1"/>
  <c r="X123" i="1"/>
  <c r="Z123" i="1"/>
  <c r="B124" i="1"/>
  <c r="C124" i="1"/>
  <c r="D124" i="1"/>
  <c r="E124" i="1"/>
  <c r="F124" i="1"/>
  <c r="G124" i="1"/>
  <c r="H124" i="1"/>
  <c r="I124" i="1"/>
  <c r="J124" i="1"/>
  <c r="K124" i="1"/>
  <c r="L124" i="1"/>
  <c r="M124" i="1"/>
  <c r="U124" i="1"/>
  <c r="V124" i="1"/>
  <c r="W124" i="1"/>
  <c r="X124" i="1"/>
  <c r="Z124" i="1"/>
  <c r="B125" i="1"/>
  <c r="C125" i="1"/>
  <c r="D125" i="1"/>
  <c r="E125" i="1"/>
  <c r="F125" i="1"/>
  <c r="G125" i="1"/>
  <c r="H125" i="1"/>
  <c r="I125" i="1"/>
  <c r="J125" i="1"/>
  <c r="K125" i="1"/>
  <c r="L125" i="1"/>
  <c r="M125" i="1"/>
  <c r="U125" i="1"/>
  <c r="V125" i="1"/>
  <c r="W125" i="1"/>
  <c r="X125" i="1"/>
  <c r="Z125" i="1"/>
  <c r="B126" i="1"/>
  <c r="C126" i="1"/>
  <c r="D126" i="1"/>
  <c r="E126" i="1"/>
  <c r="F126" i="1"/>
  <c r="G126" i="1"/>
  <c r="H126" i="1"/>
  <c r="I126" i="1"/>
  <c r="J126" i="1"/>
  <c r="K126" i="1"/>
  <c r="L126" i="1"/>
  <c r="M126" i="1"/>
  <c r="U126" i="1"/>
  <c r="V126" i="1"/>
  <c r="W126" i="1"/>
  <c r="X126" i="1"/>
  <c r="Z126" i="1"/>
  <c r="B127" i="1"/>
  <c r="C127" i="1"/>
  <c r="D127" i="1"/>
  <c r="E127" i="1"/>
  <c r="F127" i="1"/>
  <c r="G127" i="1"/>
  <c r="H127" i="1"/>
  <c r="I127" i="1"/>
  <c r="J127" i="1"/>
  <c r="K127" i="1"/>
  <c r="L127" i="1"/>
  <c r="M127" i="1"/>
  <c r="U127" i="1"/>
  <c r="V127" i="1"/>
  <c r="W127" i="1"/>
  <c r="X127" i="1"/>
  <c r="Z127" i="1"/>
  <c r="B128" i="1"/>
  <c r="C128" i="1"/>
  <c r="D128" i="1"/>
  <c r="E128" i="1"/>
  <c r="F128" i="1"/>
  <c r="G128" i="1"/>
  <c r="H128" i="1"/>
  <c r="I128" i="1"/>
  <c r="J128" i="1"/>
  <c r="K128" i="1"/>
  <c r="L128" i="1"/>
  <c r="M128" i="1"/>
  <c r="U128" i="1"/>
  <c r="V128" i="1"/>
  <c r="W128" i="1"/>
  <c r="X128" i="1"/>
  <c r="Z128" i="1"/>
  <c r="B129" i="1"/>
  <c r="C129" i="1"/>
  <c r="D129" i="1"/>
  <c r="E129" i="1"/>
  <c r="F129" i="1"/>
  <c r="G129" i="1"/>
  <c r="H129" i="1"/>
  <c r="I129" i="1"/>
  <c r="J129" i="1"/>
  <c r="K129" i="1"/>
  <c r="L129" i="1"/>
  <c r="M129" i="1"/>
  <c r="U129" i="1"/>
  <c r="V129" i="1"/>
  <c r="W129" i="1"/>
  <c r="X129" i="1"/>
  <c r="Z129" i="1"/>
  <c r="B130" i="1"/>
  <c r="C130" i="1"/>
  <c r="D130" i="1"/>
  <c r="E130" i="1"/>
  <c r="F130" i="1"/>
  <c r="G130" i="1"/>
  <c r="H130" i="1"/>
  <c r="I130" i="1"/>
  <c r="J130" i="1"/>
  <c r="K130" i="1"/>
  <c r="L130" i="1"/>
  <c r="M130" i="1"/>
  <c r="U130" i="1"/>
  <c r="V130" i="1"/>
  <c r="W130" i="1"/>
  <c r="X130" i="1"/>
  <c r="Z130" i="1"/>
  <c r="B131" i="1"/>
  <c r="C131" i="1"/>
  <c r="D131" i="1"/>
  <c r="E131" i="1"/>
  <c r="F131" i="1"/>
  <c r="G131" i="1"/>
  <c r="H131" i="1"/>
  <c r="I131" i="1"/>
  <c r="J131" i="1"/>
  <c r="K131" i="1"/>
  <c r="L131" i="1"/>
  <c r="M131" i="1"/>
  <c r="U131" i="1"/>
  <c r="V131" i="1"/>
  <c r="W131" i="1"/>
  <c r="X131" i="1"/>
  <c r="Z131" i="1"/>
  <c r="B132" i="1"/>
  <c r="C132" i="1"/>
  <c r="D132" i="1"/>
  <c r="E132" i="1"/>
  <c r="F132" i="1"/>
  <c r="G132" i="1"/>
  <c r="H132" i="1"/>
  <c r="I132" i="1"/>
  <c r="J132" i="1"/>
  <c r="K132" i="1"/>
  <c r="L132" i="1"/>
  <c r="M132" i="1"/>
  <c r="U132" i="1"/>
  <c r="V132" i="1"/>
  <c r="W132" i="1"/>
  <c r="X132" i="1"/>
  <c r="Z132" i="1"/>
  <c r="B133" i="1"/>
  <c r="C133" i="1"/>
  <c r="D133" i="1"/>
  <c r="E133" i="1"/>
  <c r="F133" i="1"/>
  <c r="G133" i="1"/>
  <c r="H133" i="1"/>
  <c r="I133" i="1"/>
  <c r="J133" i="1"/>
  <c r="K133" i="1"/>
  <c r="L133" i="1"/>
  <c r="M133" i="1"/>
  <c r="U133" i="1"/>
  <c r="V133" i="1"/>
  <c r="W133" i="1"/>
  <c r="X133" i="1"/>
  <c r="Z133" i="1"/>
  <c r="B134" i="1"/>
  <c r="C134" i="1"/>
  <c r="D134" i="1"/>
  <c r="E134" i="1"/>
  <c r="F134" i="1"/>
  <c r="G134" i="1"/>
  <c r="H134" i="1"/>
  <c r="I134" i="1"/>
  <c r="J134" i="1"/>
  <c r="K134" i="1"/>
  <c r="L134" i="1"/>
  <c r="M134" i="1"/>
  <c r="U134" i="1"/>
  <c r="V134" i="1"/>
  <c r="W134" i="1"/>
  <c r="X134" i="1"/>
  <c r="Z134" i="1"/>
  <c r="B135" i="1"/>
  <c r="C135" i="1"/>
  <c r="D135" i="1"/>
  <c r="E135" i="1"/>
  <c r="F135" i="1"/>
  <c r="G135" i="1"/>
  <c r="H135" i="1"/>
  <c r="I135" i="1"/>
  <c r="J135" i="1"/>
  <c r="K135" i="1"/>
  <c r="L135" i="1"/>
  <c r="M135" i="1"/>
  <c r="U135" i="1"/>
  <c r="V135" i="1"/>
  <c r="W135" i="1"/>
  <c r="X135" i="1"/>
  <c r="Z135" i="1"/>
  <c r="B136" i="1"/>
  <c r="C136" i="1"/>
  <c r="D136" i="1"/>
  <c r="E136" i="1"/>
  <c r="F136" i="1"/>
  <c r="G136" i="1"/>
  <c r="H136" i="1"/>
  <c r="I136" i="1"/>
  <c r="J136" i="1"/>
  <c r="K136" i="1"/>
  <c r="L136" i="1"/>
  <c r="M136" i="1"/>
  <c r="U136" i="1"/>
  <c r="V136" i="1"/>
  <c r="W136" i="1"/>
  <c r="X136" i="1"/>
  <c r="Z136" i="1"/>
  <c r="B137" i="1"/>
  <c r="C137" i="1"/>
  <c r="D137" i="1"/>
  <c r="E137" i="1"/>
  <c r="F137" i="1"/>
  <c r="G137" i="1"/>
  <c r="H137" i="1"/>
  <c r="I137" i="1"/>
  <c r="J137" i="1"/>
  <c r="K137" i="1"/>
  <c r="L137" i="1"/>
  <c r="M137" i="1"/>
  <c r="U137" i="1"/>
  <c r="V137" i="1"/>
  <c r="W137" i="1"/>
  <c r="X137" i="1"/>
  <c r="Z137" i="1"/>
  <c r="B138" i="1"/>
  <c r="C138" i="1"/>
  <c r="D138" i="1"/>
  <c r="E138" i="1"/>
  <c r="F138" i="1"/>
  <c r="G138" i="1"/>
  <c r="H138" i="1"/>
  <c r="I138" i="1"/>
  <c r="J138" i="1"/>
  <c r="K138" i="1"/>
  <c r="L138" i="1"/>
  <c r="M138" i="1"/>
  <c r="U138" i="1"/>
  <c r="V138" i="1"/>
  <c r="W138" i="1"/>
  <c r="X138" i="1"/>
  <c r="Z138" i="1"/>
  <c r="B139" i="1"/>
  <c r="C139" i="1"/>
  <c r="D139" i="1"/>
  <c r="E139" i="1"/>
  <c r="F139" i="1"/>
  <c r="G139" i="1"/>
  <c r="H139" i="1"/>
  <c r="I139" i="1"/>
  <c r="J139" i="1"/>
  <c r="K139" i="1"/>
  <c r="L139" i="1"/>
  <c r="M139" i="1"/>
  <c r="U139" i="1"/>
  <c r="V139" i="1"/>
  <c r="W139" i="1"/>
  <c r="X139" i="1"/>
  <c r="Z139" i="1"/>
  <c r="B140" i="1"/>
  <c r="C140" i="1"/>
  <c r="D140" i="1"/>
  <c r="E140" i="1"/>
  <c r="F140" i="1"/>
  <c r="G140" i="1"/>
  <c r="H140" i="1"/>
  <c r="I140" i="1"/>
  <c r="J140" i="1"/>
  <c r="K140" i="1"/>
  <c r="L140" i="1"/>
  <c r="M140" i="1"/>
  <c r="U140" i="1"/>
  <c r="V140" i="1"/>
  <c r="W140" i="1"/>
  <c r="X140" i="1"/>
  <c r="Z140" i="1"/>
  <c r="B141" i="1"/>
  <c r="C141" i="1"/>
  <c r="D141" i="1"/>
  <c r="E141" i="1"/>
  <c r="F141" i="1"/>
  <c r="G141" i="1"/>
  <c r="H141" i="1"/>
  <c r="I141" i="1"/>
  <c r="J141" i="1"/>
  <c r="K141" i="1"/>
  <c r="L141" i="1"/>
  <c r="M141" i="1"/>
  <c r="U141" i="1"/>
  <c r="V141" i="1"/>
  <c r="W141" i="1"/>
  <c r="X141" i="1"/>
  <c r="Z141" i="1"/>
  <c r="B142" i="1"/>
  <c r="C142" i="1"/>
  <c r="D142" i="1"/>
  <c r="E142" i="1"/>
  <c r="F142" i="1"/>
  <c r="G142" i="1"/>
  <c r="H142" i="1"/>
  <c r="I142" i="1"/>
  <c r="J142" i="1"/>
  <c r="K142" i="1"/>
  <c r="L142" i="1"/>
  <c r="M142" i="1"/>
  <c r="U142" i="1"/>
  <c r="V142" i="1"/>
  <c r="W142" i="1"/>
  <c r="X142" i="1"/>
  <c r="Z142" i="1"/>
  <c r="B143" i="1"/>
  <c r="C143" i="1"/>
  <c r="D143" i="1"/>
  <c r="E143" i="1"/>
  <c r="F143" i="1"/>
  <c r="G143" i="1"/>
  <c r="H143" i="1"/>
  <c r="I143" i="1"/>
  <c r="J143" i="1"/>
  <c r="K143" i="1"/>
  <c r="L143" i="1"/>
  <c r="M143" i="1"/>
  <c r="U143" i="1"/>
  <c r="V143" i="1"/>
  <c r="W143" i="1"/>
  <c r="X143" i="1"/>
  <c r="Z143" i="1"/>
  <c r="B144" i="1"/>
  <c r="C144" i="1"/>
  <c r="D144" i="1"/>
  <c r="E144" i="1"/>
  <c r="F144" i="1"/>
  <c r="G144" i="1"/>
  <c r="H144" i="1"/>
  <c r="I144" i="1"/>
  <c r="J144" i="1"/>
  <c r="K144" i="1"/>
  <c r="L144" i="1"/>
  <c r="M144" i="1"/>
  <c r="U144" i="1"/>
  <c r="V144" i="1"/>
  <c r="W144" i="1"/>
  <c r="X144" i="1"/>
  <c r="Z144" i="1"/>
  <c r="B145" i="1"/>
  <c r="C145" i="1"/>
  <c r="D145" i="1"/>
  <c r="E145" i="1"/>
  <c r="F145" i="1"/>
  <c r="G145" i="1"/>
  <c r="H145" i="1"/>
  <c r="I145" i="1"/>
  <c r="J145" i="1"/>
  <c r="K145" i="1"/>
  <c r="L145" i="1"/>
  <c r="M145" i="1"/>
  <c r="U145" i="1"/>
  <c r="V145" i="1"/>
  <c r="W145" i="1"/>
  <c r="X145" i="1"/>
  <c r="Z145" i="1"/>
  <c r="B146" i="1"/>
  <c r="C146" i="1"/>
  <c r="D146" i="1"/>
  <c r="E146" i="1"/>
  <c r="F146" i="1"/>
  <c r="G146" i="1"/>
  <c r="H146" i="1"/>
  <c r="I146" i="1"/>
  <c r="J146" i="1"/>
  <c r="K146" i="1"/>
  <c r="L146" i="1"/>
  <c r="M146" i="1"/>
  <c r="U146" i="1"/>
  <c r="V146" i="1"/>
  <c r="W146" i="1"/>
  <c r="X146" i="1"/>
  <c r="Z146" i="1"/>
  <c r="B147" i="1"/>
  <c r="C147" i="1"/>
  <c r="D147" i="1"/>
  <c r="E147" i="1"/>
  <c r="F147" i="1"/>
  <c r="G147" i="1"/>
  <c r="H147" i="1"/>
  <c r="I147" i="1"/>
  <c r="J147" i="1"/>
  <c r="K147" i="1"/>
  <c r="L147" i="1"/>
  <c r="M147" i="1"/>
  <c r="U147" i="1"/>
  <c r="V147" i="1"/>
  <c r="W147" i="1"/>
  <c r="X147" i="1"/>
  <c r="Z147" i="1"/>
  <c r="B148" i="1"/>
  <c r="C148" i="1"/>
  <c r="D148" i="1"/>
  <c r="E148" i="1"/>
  <c r="F148" i="1"/>
  <c r="G148" i="1"/>
  <c r="H148" i="1"/>
  <c r="I148" i="1"/>
  <c r="J148" i="1"/>
  <c r="K148" i="1"/>
  <c r="L148" i="1"/>
  <c r="M148" i="1"/>
  <c r="U148" i="1"/>
  <c r="V148" i="1"/>
  <c r="W148" i="1"/>
  <c r="X148" i="1"/>
  <c r="Z148" i="1"/>
  <c r="B149" i="1"/>
  <c r="C149" i="1"/>
  <c r="D149" i="1"/>
  <c r="E149" i="1"/>
  <c r="F149" i="1"/>
  <c r="G149" i="1"/>
  <c r="H149" i="1"/>
  <c r="I149" i="1"/>
  <c r="J149" i="1"/>
  <c r="K149" i="1"/>
  <c r="L149" i="1"/>
  <c r="M149" i="1"/>
  <c r="U149" i="1"/>
  <c r="V149" i="1"/>
  <c r="W149" i="1"/>
  <c r="X149" i="1"/>
  <c r="Z149" i="1"/>
  <c r="B150" i="1"/>
  <c r="C150" i="1"/>
  <c r="D150" i="1"/>
  <c r="E150" i="1"/>
  <c r="F150" i="1"/>
  <c r="G150" i="1"/>
  <c r="H150" i="1"/>
  <c r="I150" i="1"/>
  <c r="J150" i="1"/>
  <c r="K150" i="1"/>
  <c r="L150" i="1"/>
  <c r="M150" i="1"/>
  <c r="U150" i="1"/>
  <c r="V150" i="1"/>
  <c r="W150" i="1"/>
  <c r="X150" i="1"/>
  <c r="Z150" i="1"/>
  <c r="B151" i="1"/>
  <c r="C151" i="1"/>
  <c r="D151" i="1"/>
  <c r="E151" i="1"/>
  <c r="F151" i="1"/>
  <c r="G151" i="1"/>
  <c r="H151" i="1"/>
  <c r="I151" i="1"/>
  <c r="J151" i="1"/>
  <c r="K151" i="1"/>
  <c r="L151" i="1"/>
  <c r="M151" i="1"/>
  <c r="U151" i="1"/>
  <c r="V151" i="1"/>
  <c r="W151" i="1"/>
  <c r="X151" i="1"/>
  <c r="Z151" i="1"/>
  <c r="B152" i="1"/>
  <c r="C152" i="1"/>
  <c r="D152" i="1"/>
  <c r="E152" i="1"/>
  <c r="F152" i="1"/>
  <c r="G152" i="1"/>
  <c r="H152" i="1"/>
  <c r="I152" i="1"/>
  <c r="J152" i="1"/>
  <c r="K152" i="1"/>
  <c r="L152" i="1"/>
  <c r="M152" i="1"/>
  <c r="U152" i="1"/>
  <c r="V152" i="1"/>
  <c r="W152" i="1"/>
  <c r="X152" i="1"/>
  <c r="Z152" i="1"/>
  <c r="B153" i="1"/>
  <c r="C153" i="1"/>
  <c r="D153" i="1"/>
  <c r="E153" i="1"/>
  <c r="F153" i="1"/>
  <c r="G153" i="1"/>
  <c r="H153" i="1"/>
  <c r="I153" i="1"/>
  <c r="J153" i="1"/>
  <c r="K153" i="1"/>
  <c r="L153" i="1"/>
  <c r="M153" i="1"/>
  <c r="U153" i="1"/>
  <c r="V153" i="1"/>
  <c r="W153" i="1"/>
  <c r="X153" i="1"/>
  <c r="Z153" i="1"/>
  <c r="B154" i="1"/>
  <c r="C154" i="1"/>
  <c r="D154" i="1"/>
  <c r="E154" i="1"/>
  <c r="F154" i="1"/>
  <c r="G154" i="1"/>
  <c r="H154" i="1"/>
  <c r="I154" i="1"/>
  <c r="J154" i="1"/>
  <c r="K154" i="1"/>
  <c r="L154" i="1"/>
  <c r="M154" i="1"/>
  <c r="U154" i="1"/>
  <c r="V154" i="1"/>
  <c r="W154" i="1"/>
  <c r="X154" i="1"/>
  <c r="Z154" i="1"/>
  <c r="B155" i="1"/>
  <c r="C155" i="1"/>
  <c r="D155" i="1"/>
  <c r="E155" i="1"/>
  <c r="F155" i="1"/>
  <c r="G155" i="1"/>
  <c r="H155" i="1"/>
  <c r="I155" i="1"/>
  <c r="J155" i="1"/>
  <c r="K155" i="1"/>
  <c r="L155" i="1"/>
  <c r="M155" i="1"/>
  <c r="U155" i="1"/>
  <c r="V155" i="1"/>
  <c r="W155" i="1"/>
  <c r="X155" i="1"/>
  <c r="Z155" i="1"/>
  <c r="B156" i="1"/>
  <c r="C156" i="1"/>
  <c r="D156" i="1"/>
  <c r="E156" i="1"/>
  <c r="F156" i="1"/>
  <c r="G156" i="1"/>
  <c r="H156" i="1"/>
  <c r="I156" i="1"/>
  <c r="J156" i="1"/>
  <c r="K156" i="1"/>
  <c r="L156" i="1"/>
  <c r="M156" i="1"/>
  <c r="U156" i="1"/>
  <c r="V156" i="1"/>
  <c r="W156" i="1"/>
  <c r="X156" i="1"/>
  <c r="Z156" i="1"/>
  <c r="B157" i="1"/>
  <c r="C157" i="1"/>
  <c r="D157" i="1"/>
  <c r="E157" i="1"/>
  <c r="F157" i="1"/>
  <c r="G157" i="1"/>
  <c r="H157" i="1"/>
  <c r="I157" i="1"/>
  <c r="J157" i="1"/>
  <c r="K157" i="1"/>
  <c r="L157" i="1"/>
  <c r="M157" i="1"/>
  <c r="U157" i="1"/>
  <c r="V157" i="1"/>
  <c r="W157" i="1"/>
  <c r="X157" i="1"/>
  <c r="Z157" i="1"/>
  <c r="B158" i="1"/>
  <c r="C158" i="1"/>
  <c r="D158" i="1"/>
  <c r="E158" i="1"/>
  <c r="F158" i="1"/>
  <c r="G158" i="1"/>
  <c r="H158" i="1"/>
  <c r="I158" i="1"/>
  <c r="J158" i="1"/>
  <c r="K158" i="1"/>
  <c r="L158" i="1"/>
  <c r="M158" i="1"/>
  <c r="U158" i="1"/>
  <c r="V158" i="1"/>
  <c r="W158" i="1"/>
  <c r="X158" i="1"/>
  <c r="Z158" i="1"/>
  <c r="B159" i="1"/>
  <c r="C159" i="1"/>
  <c r="D159" i="1"/>
  <c r="E159" i="1"/>
  <c r="F159" i="1"/>
  <c r="G159" i="1"/>
  <c r="H159" i="1"/>
  <c r="I159" i="1"/>
  <c r="J159" i="1"/>
  <c r="K159" i="1"/>
  <c r="L159" i="1"/>
  <c r="M159" i="1"/>
  <c r="U159" i="1"/>
  <c r="V159" i="1"/>
  <c r="W159" i="1"/>
  <c r="X159" i="1"/>
  <c r="Z159" i="1"/>
  <c r="B160" i="1"/>
  <c r="C160" i="1"/>
  <c r="D160" i="1"/>
  <c r="E160" i="1"/>
  <c r="F160" i="1"/>
  <c r="G160" i="1"/>
  <c r="H160" i="1"/>
  <c r="I160" i="1"/>
  <c r="J160" i="1"/>
  <c r="K160" i="1"/>
  <c r="L160" i="1"/>
  <c r="M160" i="1"/>
  <c r="U160" i="1"/>
  <c r="V160" i="1"/>
  <c r="W160" i="1"/>
  <c r="X160" i="1"/>
  <c r="Z160" i="1"/>
  <c r="B161" i="1"/>
  <c r="C161" i="1"/>
  <c r="D161" i="1"/>
  <c r="E161" i="1"/>
  <c r="F161" i="1"/>
  <c r="G161" i="1"/>
  <c r="H161" i="1"/>
  <c r="I161" i="1"/>
  <c r="J161" i="1"/>
  <c r="K161" i="1"/>
  <c r="L161" i="1"/>
  <c r="M161" i="1"/>
  <c r="U161" i="1"/>
  <c r="V161" i="1"/>
  <c r="W161" i="1"/>
  <c r="X161" i="1"/>
  <c r="Z161" i="1"/>
  <c r="B162" i="1"/>
  <c r="C162" i="1"/>
  <c r="D162" i="1"/>
  <c r="E162" i="1"/>
  <c r="F162" i="1"/>
  <c r="G162" i="1"/>
  <c r="H162" i="1"/>
  <c r="I162" i="1"/>
  <c r="J162" i="1"/>
  <c r="K162" i="1"/>
  <c r="L162" i="1"/>
  <c r="M162" i="1"/>
  <c r="U162" i="1"/>
  <c r="V162" i="1"/>
  <c r="W162" i="1"/>
  <c r="X162" i="1"/>
  <c r="Z162" i="1"/>
  <c r="B163" i="1"/>
  <c r="C163" i="1"/>
  <c r="D163" i="1"/>
  <c r="E163" i="1"/>
  <c r="F163" i="1"/>
  <c r="G163" i="1"/>
  <c r="H163" i="1"/>
  <c r="I163" i="1"/>
  <c r="J163" i="1"/>
  <c r="K163" i="1"/>
  <c r="L163" i="1"/>
  <c r="M163" i="1"/>
  <c r="U163" i="1"/>
  <c r="V163" i="1"/>
  <c r="W163" i="1"/>
  <c r="X163" i="1"/>
  <c r="Z163" i="1"/>
  <c r="B164" i="1"/>
  <c r="C164" i="1"/>
  <c r="D164" i="1"/>
  <c r="E164" i="1"/>
  <c r="F164" i="1"/>
  <c r="G164" i="1"/>
  <c r="H164" i="1"/>
  <c r="I164" i="1"/>
  <c r="J164" i="1"/>
  <c r="K164" i="1"/>
  <c r="L164" i="1"/>
  <c r="M164" i="1"/>
  <c r="U164" i="1"/>
  <c r="V164" i="1"/>
  <c r="W164" i="1"/>
  <c r="X164" i="1"/>
  <c r="Z164" i="1"/>
  <c r="B165" i="1"/>
  <c r="C165" i="1"/>
  <c r="D165" i="1"/>
  <c r="E165" i="1"/>
  <c r="F165" i="1"/>
  <c r="G165" i="1"/>
  <c r="H165" i="1"/>
  <c r="I165" i="1"/>
  <c r="J165" i="1"/>
  <c r="K165" i="1"/>
  <c r="L165" i="1"/>
  <c r="M165" i="1"/>
  <c r="U165" i="1"/>
  <c r="V165" i="1"/>
  <c r="W165" i="1"/>
  <c r="X165" i="1"/>
  <c r="Z165" i="1"/>
  <c r="B166" i="1"/>
  <c r="C166" i="1"/>
  <c r="D166" i="1"/>
  <c r="E166" i="1"/>
  <c r="F166" i="1"/>
  <c r="G166" i="1"/>
  <c r="H166" i="1"/>
  <c r="I166" i="1"/>
  <c r="J166" i="1"/>
  <c r="K166" i="1"/>
  <c r="L166" i="1"/>
  <c r="M166" i="1"/>
  <c r="U166" i="1"/>
  <c r="V166" i="1"/>
  <c r="W166" i="1"/>
  <c r="X166" i="1"/>
  <c r="Z166" i="1"/>
  <c r="B167" i="1"/>
  <c r="C167" i="1"/>
  <c r="D167" i="1"/>
  <c r="E167" i="1"/>
  <c r="F167" i="1"/>
  <c r="G167" i="1"/>
  <c r="H167" i="1"/>
  <c r="I167" i="1"/>
  <c r="J167" i="1"/>
  <c r="K167" i="1"/>
  <c r="L167" i="1"/>
  <c r="M167" i="1"/>
  <c r="U167" i="1"/>
  <c r="V167" i="1"/>
  <c r="W167" i="1"/>
  <c r="X167" i="1"/>
  <c r="Z167" i="1"/>
  <c r="B168" i="1"/>
  <c r="C168" i="1"/>
  <c r="D168" i="1"/>
  <c r="E168" i="1"/>
  <c r="F168" i="1"/>
  <c r="G168" i="1"/>
  <c r="H168" i="1"/>
  <c r="I168" i="1"/>
  <c r="J168" i="1"/>
  <c r="K168" i="1"/>
  <c r="L168" i="1"/>
  <c r="M168" i="1"/>
  <c r="U168" i="1"/>
  <c r="V168" i="1"/>
  <c r="W168" i="1"/>
  <c r="X168" i="1"/>
  <c r="Z168" i="1"/>
  <c r="B169" i="1"/>
  <c r="C169" i="1"/>
  <c r="D169" i="1"/>
  <c r="E169" i="1"/>
  <c r="F169" i="1"/>
  <c r="G169" i="1"/>
  <c r="H169" i="1"/>
  <c r="I169" i="1"/>
  <c r="J169" i="1"/>
  <c r="K169" i="1"/>
  <c r="L169" i="1"/>
  <c r="M169" i="1"/>
  <c r="U169" i="1"/>
  <c r="V169" i="1"/>
  <c r="W169" i="1"/>
  <c r="X169" i="1"/>
  <c r="Z169" i="1"/>
  <c r="B170" i="1"/>
  <c r="C170" i="1"/>
  <c r="D170" i="1"/>
  <c r="E170" i="1"/>
  <c r="F170" i="1"/>
  <c r="G170" i="1"/>
  <c r="H170" i="1"/>
  <c r="I170" i="1"/>
  <c r="J170" i="1"/>
  <c r="K170" i="1"/>
  <c r="L170" i="1"/>
  <c r="M170" i="1"/>
  <c r="U170" i="1"/>
  <c r="V170" i="1"/>
  <c r="W170" i="1"/>
  <c r="X170" i="1"/>
  <c r="Z170" i="1"/>
  <c r="B171" i="1"/>
  <c r="C171" i="1"/>
  <c r="D171" i="1"/>
  <c r="E171" i="1"/>
  <c r="F171" i="1"/>
  <c r="G171" i="1"/>
  <c r="H171" i="1"/>
  <c r="I171" i="1"/>
  <c r="J171" i="1"/>
  <c r="K171" i="1"/>
  <c r="L171" i="1"/>
  <c r="M171" i="1"/>
  <c r="U171" i="1"/>
  <c r="V171" i="1"/>
  <c r="W171" i="1"/>
  <c r="X171" i="1"/>
  <c r="Z171" i="1"/>
  <c r="B172" i="1"/>
  <c r="C172" i="1"/>
  <c r="D172" i="1"/>
  <c r="E172" i="1"/>
  <c r="F172" i="1"/>
  <c r="G172" i="1"/>
  <c r="H172" i="1"/>
  <c r="I172" i="1"/>
  <c r="J172" i="1"/>
  <c r="K172" i="1"/>
  <c r="L172" i="1"/>
  <c r="M172" i="1"/>
  <c r="U172" i="1"/>
  <c r="V172" i="1"/>
  <c r="W172" i="1"/>
  <c r="X172" i="1"/>
  <c r="Z172" i="1"/>
  <c r="B173" i="1"/>
  <c r="C173" i="1"/>
  <c r="D173" i="1"/>
  <c r="E173" i="1"/>
  <c r="F173" i="1"/>
  <c r="G173" i="1"/>
  <c r="H173" i="1"/>
  <c r="I173" i="1"/>
  <c r="J173" i="1"/>
  <c r="K173" i="1"/>
  <c r="L173" i="1"/>
  <c r="M173" i="1"/>
  <c r="U173" i="1"/>
  <c r="V173" i="1"/>
  <c r="W173" i="1"/>
  <c r="X173" i="1"/>
  <c r="Z173" i="1"/>
  <c r="B174" i="1"/>
  <c r="C174" i="1"/>
  <c r="D174" i="1"/>
  <c r="E174" i="1"/>
  <c r="F174" i="1"/>
  <c r="G174" i="1"/>
  <c r="H174" i="1"/>
  <c r="I174" i="1"/>
  <c r="J174" i="1"/>
  <c r="K174" i="1"/>
  <c r="L174" i="1"/>
  <c r="M174" i="1"/>
  <c r="U174" i="1"/>
  <c r="V174" i="1"/>
  <c r="W174" i="1"/>
  <c r="X174" i="1"/>
  <c r="Z174" i="1"/>
  <c r="B175" i="1"/>
  <c r="C175" i="1"/>
  <c r="D175" i="1"/>
  <c r="E175" i="1"/>
  <c r="F175" i="1"/>
  <c r="G175" i="1"/>
  <c r="H175" i="1"/>
  <c r="I175" i="1"/>
  <c r="J175" i="1"/>
  <c r="K175" i="1"/>
  <c r="L175" i="1"/>
  <c r="M175" i="1"/>
  <c r="U175" i="1"/>
  <c r="V175" i="1"/>
  <c r="W175" i="1"/>
  <c r="X175" i="1"/>
  <c r="Z175" i="1"/>
  <c r="B176" i="1"/>
  <c r="C176" i="1"/>
  <c r="D176" i="1"/>
  <c r="E176" i="1"/>
  <c r="F176" i="1"/>
  <c r="G176" i="1"/>
  <c r="H176" i="1"/>
  <c r="I176" i="1"/>
  <c r="J176" i="1"/>
  <c r="K176" i="1"/>
  <c r="L176" i="1"/>
  <c r="M176" i="1"/>
  <c r="U176" i="1"/>
  <c r="V176" i="1"/>
  <c r="W176" i="1"/>
  <c r="X176" i="1"/>
  <c r="Z176" i="1"/>
  <c r="B177" i="1"/>
  <c r="C177" i="1"/>
  <c r="D177" i="1"/>
  <c r="E177" i="1"/>
  <c r="F177" i="1"/>
  <c r="G177" i="1"/>
  <c r="H177" i="1"/>
  <c r="I177" i="1"/>
  <c r="J177" i="1"/>
  <c r="K177" i="1"/>
  <c r="L177" i="1"/>
  <c r="M177" i="1"/>
  <c r="U177" i="1"/>
  <c r="V177" i="1"/>
  <c r="W177" i="1"/>
  <c r="X177" i="1"/>
  <c r="Z177" i="1"/>
  <c r="B178" i="1"/>
  <c r="C178" i="1"/>
  <c r="D178" i="1"/>
  <c r="E178" i="1"/>
  <c r="F178" i="1"/>
  <c r="G178" i="1"/>
  <c r="H178" i="1"/>
  <c r="I178" i="1"/>
  <c r="J178" i="1"/>
  <c r="K178" i="1"/>
  <c r="L178" i="1"/>
  <c r="M178" i="1"/>
  <c r="U178" i="1"/>
  <c r="V178" i="1"/>
  <c r="W178" i="1"/>
  <c r="X178" i="1"/>
  <c r="Z178" i="1"/>
  <c r="B179" i="1"/>
  <c r="C179" i="1"/>
  <c r="D179" i="1"/>
  <c r="E179" i="1"/>
  <c r="F179" i="1"/>
  <c r="G179" i="1"/>
  <c r="H179" i="1"/>
  <c r="I179" i="1"/>
  <c r="J179" i="1"/>
  <c r="K179" i="1"/>
  <c r="L179" i="1"/>
  <c r="M179" i="1"/>
  <c r="U179" i="1"/>
  <c r="V179" i="1"/>
  <c r="W179" i="1"/>
  <c r="X179" i="1"/>
  <c r="Z179" i="1"/>
  <c r="B180" i="1"/>
  <c r="C180" i="1"/>
  <c r="D180" i="1"/>
  <c r="E180" i="1"/>
  <c r="F180" i="1"/>
  <c r="G180" i="1"/>
  <c r="H180" i="1"/>
  <c r="I180" i="1"/>
  <c r="J180" i="1"/>
  <c r="K180" i="1"/>
  <c r="L180" i="1"/>
  <c r="M180" i="1"/>
  <c r="U180" i="1"/>
  <c r="V180" i="1"/>
  <c r="W180" i="1"/>
  <c r="X180" i="1"/>
  <c r="Z180" i="1"/>
  <c r="B181" i="1"/>
  <c r="C181" i="1"/>
  <c r="D181" i="1"/>
  <c r="E181" i="1"/>
  <c r="F181" i="1"/>
  <c r="G181" i="1"/>
  <c r="H181" i="1"/>
  <c r="I181" i="1"/>
  <c r="J181" i="1"/>
  <c r="K181" i="1"/>
  <c r="L181" i="1"/>
  <c r="M181" i="1"/>
  <c r="U181" i="1"/>
  <c r="V181" i="1"/>
  <c r="W181" i="1"/>
  <c r="X181" i="1"/>
  <c r="Z181" i="1"/>
  <c r="B182" i="1"/>
  <c r="C182" i="1"/>
  <c r="D182" i="1"/>
  <c r="E182" i="1"/>
  <c r="F182" i="1"/>
  <c r="G182" i="1"/>
  <c r="H182" i="1"/>
  <c r="I182" i="1"/>
  <c r="J182" i="1"/>
  <c r="K182" i="1"/>
  <c r="L182" i="1"/>
  <c r="M182" i="1"/>
  <c r="U182" i="1"/>
  <c r="V182" i="1"/>
  <c r="W182" i="1"/>
  <c r="X182" i="1"/>
  <c r="Z182" i="1"/>
  <c r="B183" i="1"/>
  <c r="C183" i="1"/>
  <c r="D183" i="1"/>
  <c r="E183" i="1"/>
  <c r="F183" i="1"/>
  <c r="G183" i="1"/>
  <c r="H183" i="1"/>
  <c r="I183" i="1"/>
  <c r="J183" i="1"/>
  <c r="K183" i="1"/>
  <c r="L183" i="1"/>
  <c r="M183" i="1"/>
  <c r="U183" i="1"/>
  <c r="V183" i="1"/>
  <c r="W183" i="1"/>
  <c r="X183" i="1"/>
  <c r="Z183" i="1"/>
  <c r="B184" i="1"/>
  <c r="C184" i="1"/>
  <c r="D184" i="1"/>
  <c r="E184" i="1"/>
  <c r="F184" i="1"/>
  <c r="G184" i="1"/>
  <c r="H184" i="1"/>
  <c r="I184" i="1"/>
  <c r="J184" i="1"/>
  <c r="K184" i="1"/>
  <c r="L184" i="1"/>
  <c r="M184" i="1"/>
  <c r="U184" i="1"/>
  <c r="V184" i="1"/>
  <c r="W184" i="1"/>
  <c r="X184" i="1"/>
  <c r="Z184" i="1"/>
  <c r="B185" i="1"/>
  <c r="C185" i="1"/>
  <c r="D185" i="1"/>
  <c r="E185" i="1"/>
  <c r="F185" i="1"/>
  <c r="G185" i="1"/>
  <c r="H185" i="1"/>
  <c r="I185" i="1"/>
  <c r="J185" i="1"/>
  <c r="K185" i="1"/>
  <c r="L185" i="1"/>
  <c r="M185" i="1"/>
  <c r="U185" i="1"/>
  <c r="V185" i="1"/>
  <c r="W185" i="1"/>
  <c r="X185" i="1"/>
  <c r="Z185" i="1"/>
  <c r="B186" i="1"/>
  <c r="C186" i="1"/>
  <c r="D186" i="1"/>
  <c r="E186" i="1"/>
  <c r="F186" i="1"/>
  <c r="G186" i="1"/>
  <c r="H186" i="1"/>
  <c r="I186" i="1"/>
  <c r="J186" i="1"/>
  <c r="K186" i="1"/>
  <c r="L186" i="1"/>
  <c r="M186" i="1"/>
  <c r="U186" i="1"/>
  <c r="V186" i="1"/>
  <c r="W186" i="1"/>
  <c r="X186" i="1"/>
  <c r="Z186" i="1"/>
  <c r="B187" i="1"/>
  <c r="C187" i="1"/>
  <c r="D187" i="1"/>
  <c r="E187" i="1"/>
  <c r="F187" i="1"/>
  <c r="G187" i="1"/>
  <c r="H187" i="1"/>
  <c r="I187" i="1"/>
  <c r="J187" i="1"/>
  <c r="K187" i="1"/>
  <c r="L187" i="1"/>
  <c r="M187" i="1"/>
  <c r="U187" i="1"/>
  <c r="V187" i="1"/>
  <c r="W187" i="1"/>
  <c r="X187" i="1"/>
  <c r="Z187" i="1"/>
  <c r="B188" i="1"/>
  <c r="C188" i="1"/>
  <c r="D188" i="1"/>
  <c r="E188" i="1"/>
  <c r="F188" i="1"/>
  <c r="G188" i="1"/>
  <c r="H188" i="1"/>
  <c r="I188" i="1"/>
  <c r="J188" i="1"/>
  <c r="K188" i="1"/>
  <c r="L188" i="1"/>
  <c r="M188" i="1"/>
  <c r="U188" i="1"/>
  <c r="V188" i="1"/>
  <c r="W188" i="1"/>
  <c r="X188" i="1"/>
  <c r="Z188" i="1"/>
  <c r="B189" i="1"/>
  <c r="C189" i="1"/>
  <c r="D189" i="1"/>
  <c r="E189" i="1"/>
  <c r="F189" i="1"/>
  <c r="G189" i="1"/>
  <c r="H189" i="1"/>
  <c r="I189" i="1"/>
  <c r="J189" i="1"/>
  <c r="K189" i="1"/>
  <c r="L189" i="1"/>
  <c r="M189" i="1"/>
  <c r="U189" i="1"/>
  <c r="V189" i="1"/>
  <c r="W189" i="1"/>
  <c r="X189" i="1"/>
  <c r="Z189" i="1"/>
  <c r="B190" i="1"/>
  <c r="C190" i="1"/>
  <c r="D190" i="1"/>
  <c r="E190" i="1"/>
  <c r="F190" i="1"/>
  <c r="G190" i="1"/>
  <c r="H190" i="1"/>
  <c r="I190" i="1"/>
  <c r="J190" i="1"/>
  <c r="K190" i="1"/>
  <c r="L190" i="1"/>
  <c r="M190" i="1"/>
  <c r="U190" i="1"/>
  <c r="V190" i="1"/>
  <c r="W190" i="1"/>
  <c r="X190" i="1"/>
  <c r="Z190" i="1"/>
  <c r="B191" i="1"/>
  <c r="C191" i="1"/>
  <c r="D191" i="1"/>
  <c r="E191" i="1"/>
  <c r="F191" i="1"/>
  <c r="G191" i="1"/>
  <c r="H191" i="1"/>
  <c r="I191" i="1"/>
  <c r="J191" i="1"/>
  <c r="K191" i="1"/>
  <c r="L191" i="1"/>
  <c r="M191" i="1"/>
  <c r="U191" i="1"/>
  <c r="V191" i="1"/>
  <c r="W191" i="1"/>
  <c r="X191" i="1"/>
  <c r="Z191" i="1"/>
  <c r="B192" i="1"/>
  <c r="C192" i="1"/>
  <c r="D192" i="1"/>
  <c r="E192" i="1"/>
  <c r="F192" i="1"/>
  <c r="G192" i="1"/>
  <c r="H192" i="1"/>
  <c r="I192" i="1"/>
  <c r="J192" i="1"/>
  <c r="K192" i="1"/>
  <c r="L192" i="1"/>
  <c r="M192" i="1"/>
  <c r="U192" i="1"/>
  <c r="V192" i="1"/>
  <c r="W192" i="1"/>
  <c r="X192" i="1"/>
  <c r="Z192" i="1"/>
  <c r="B193" i="1"/>
  <c r="C193" i="1"/>
  <c r="D193" i="1"/>
  <c r="E193" i="1"/>
  <c r="F193" i="1"/>
  <c r="G193" i="1"/>
  <c r="H193" i="1"/>
  <c r="I193" i="1"/>
  <c r="J193" i="1"/>
  <c r="K193" i="1"/>
  <c r="L193" i="1"/>
  <c r="M193" i="1"/>
  <c r="U193" i="1"/>
  <c r="V193" i="1"/>
  <c r="W193" i="1"/>
  <c r="X193" i="1"/>
  <c r="Z193" i="1"/>
  <c r="B194" i="1"/>
  <c r="C194" i="1"/>
  <c r="D194" i="1"/>
  <c r="E194" i="1"/>
  <c r="F194" i="1"/>
  <c r="G194" i="1"/>
  <c r="H194" i="1"/>
  <c r="I194" i="1"/>
  <c r="J194" i="1"/>
  <c r="K194" i="1"/>
  <c r="L194" i="1"/>
  <c r="M194" i="1"/>
  <c r="U194" i="1"/>
  <c r="V194" i="1"/>
  <c r="W194" i="1"/>
  <c r="X194" i="1"/>
  <c r="Z194" i="1"/>
  <c r="B195" i="1"/>
  <c r="C195" i="1"/>
  <c r="D195" i="1"/>
  <c r="E195" i="1"/>
  <c r="F195" i="1"/>
  <c r="G195" i="1"/>
  <c r="H195" i="1"/>
  <c r="I195" i="1"/>
  <c r="J195" i="1"/>
  <c r="K195" i="1"/>
  <c r="L195" i="1"/>
  <c r="M195" i="1"/>
  <c r="U195" i="1"/>
  <c r="V195" i="1"/>
  <c r="W195" i="1"/>
  <c r="X195" i="1"/>
  <c r="Z195" i="1"/>
  <c r="B196" i="1"/>
  <c r="C196" i="1"/>
  <c r="D196" i="1"/>
  <c r="E196" i="1"/>
  <c r="F196" i="1"/>
  <c r="G196" i="1"/>
  <c r="H196" i="1"/>
  <c r="I196" i="1"/>
  <c r="J196" i="1"/>
  <c r="K196" i="1"/>
  <c r="L196" i="1"/>
  <c r="M196" i="1"/>
  <c r="U196" i="1"/>
  <c r="V196" i="1"/>
  <c r="W196" i="1"/>
  <c r="X196" i="1"/>
  <c r="Z196" i="1"/>
  <c r="B197" i="1"/>
  <c r="C197" i="1"/>
  <c r="D197" i="1"/>
  <c r="E197" i="1"/>
  <c r="F197" i="1"/>
  <c r="G197" i="1"/>
  <c r="H197" i="1"/>
  <c r="I197" i="1"/>
  <c r="J197" i="1"/>
  <c r="K197" i="1"/>
  <c r="L197" i="1"/>
  <c r="M197" i="1"/>
  <c r="U197" i="1"/>
  <c r="V197" i="1"/>
  <c r="W197" i="1"/>
  <c r="X197" i="1"/>
  <c r="Z197" i="1"/>
  <c r="B198" i="1"/>
  <c r="C198" i="1"/>
  <c r="D198" i="1"/>
  <c r="E198" i="1"/>
  <c r="F198" i="1"/>
  <c r="G198" i="1"/>
  <c r="H198" i="1"/>
  <c r="I198" i="1"/>
  <c r="J198" i="1"/>
  <c r="K198" i="1"/>
  <c r="L198" i="1"/>
  <c r="M198" i="1"/>
  <c r="U198" i="1"/>
  <c r="V198" i="1"/>
  <c r="W198" i="1"/>
  <c r="X198" i="1"/>
  <c r="Z198" i="1"/>
  <c r="B199" i="1"/>
  <c r="C199" i="1"/>
  <c r="D199" i="1"/>
  <c r="E199" i="1"/>
  <c r="F199" i="1"/>
  <c r="G199" i="1"/>
  <c r="H199" i="1"/>
  <c r="I199" i="1"/>
  <c r="J199" i="1"/>
  <c r="K199" i="1"/>
  <c r="L199" i="1"/>
  <c r="M199" i="1"/>
  <c r="U199" i="1"/>
  <c r="V199" i="1"/>
  <c r="W199" i="1"/>
  <c r="X199" i="1"/>
  <c r="Z199" i="1"/>
  <c r="B200" i="1"/>
  <c r="C200" i="1"/>
  <c r="D200" i="1"/>
  <c r="E200" i="1"/>
  <c r="F200" i="1"/>
  <c r="G200" i="1"/>
  <c r="H200" i="1"/>
  <c r="I200" i="1"/>
  <c r="J200" i="1"/>
  <c r="K200" i="1"/>
  <c r="L200" i="1"/>
  <c r="M200" i="1"/>
  <c r="U200" i="1"/>
  <c r="V200" i="1"/>
  <c r="W200" i="1"/>
  <c r="X200" i="1"/>
  <c r="Z200" i="1"/>
  <c r="B201" i="1"/>
  <c r="C201" i="1"/>
  <c r="D201" i="1"/>
  <c r="E201" i="1"/>
  <c r="F201" i="1"/>
  <c r="G201" i="1"/>
  <c r="H201" i="1"/>
  <c r="I201" i="1"/>
  <c r="J201" i="1"/>
  <c r="K201" i="1"/>
  <c r="L201" i="1"/>
  <c r="M201" i="1"/>
  <c r="U201" i="1"/>
  <c r="V201" i="1"/>
  <c r="W201" i="1"/>
  <c r="X201" i="1"/>
  <c r="Z201" i="1"/>
  <c r="B202" i="1"/>
  <c r="C202" i="1"/>
  <c r="D202" i="1"/>
  <c r="E202" i="1"/>
  <c r="F202" i="1"/>
  <c r="G202" i="1"/>
  <c r="H202" i="1"/>
  <c r="I202" i="1"/>
  <c r="J202" i="1"/>
  <c r="K202" i="1"/>
  <c r="L202" i="1"/>
  <c r="M202" i="1"/>
  <c r="U202" i="1"/>
  <c r="V202" i="1"/>
  <c r="W202" i="1"/>
  <c r="X202" i="1"/>
  <c r="Z202" i="1"/>
  <c r="B203" i="1"/>
  <c r="C203" i="1"/>
  <c r="D203" i="1"/>
  <c r="E203" i="1"/>
  <c r="F203" i="1"/>
  <c r="G203" i="1"/>
  <c r="H203" i="1"/>
  <c r="I203" i="1"/>
  <c r="J203" i="1"/>
  <c r="K203" i="1"/>
  <c r="L203" i="1"/>
  <c r="M203" i="1"/>
  <c r="U203" i="1"/>
  <c r="V203" i="1"/>
  <c r="W203" i="1"/>
  <c r="X203" i="1"/>
  <c r="Z203" i="1"/>
  <c r="B204" i="1"/>
  <c r="C204" i="1"/>
  <c r="D204" i="1"/>
  <c r="E204" i="1"/>
  <c r="F204" i="1"/>
  <c r="G204" i="1"/>
  <c r="H204" i="1"/>
  <c r="I204" i="1"/>
  <c r="J204" i="1"/>
  <c r="K204" i="1"/>
  <c r="L204" i="1"/>
  <c r="M204" i="1"/>
  <c r="U204" i="1"/>
  <c r="V204" i="1"/>
  <c r="W204" i="1"/>
  <c r="X204" i="1"/>
  <c r="Z204" i="1"/>
  <c r="B205" i="1"/>
  <c r="C205" i="1"/>
  <c r="D205" i="1"/>
  <c r="E205" i="1"/>
  <c r="F205" i="1"/>
  <c r="G205" i="1"/>
  <c r="H205" i="1"/>
  <c r="I205" i="1"/>
  <c r="J205" i="1"/>
  <c r="K205" i="1"/>
  <c r="L205" i="1"/>
  <c r="M205" i="1"/>
  <c r="U205" i="1"/>
  <c r="V205" i="1"/>
  <c r="W205" i="1"/>
  <c r="X205" i="1"/>
  <c r="Z205" i="1"/>
  <c r="B206" i="1"/>
  <c r="C206" i="1"/>
  <c r="D206" i="1"/>
  <c r="E206" i="1"/>
  <c r="F206" i="1"/>
  <c r="G206" i="1"/>
  <c r="H206" i="1"/>
  <c r="I206" i="1"/>
  <c r="J206" i="1"/>
  <c r="K206" i="1"/>
  <c r="L206" i="1"/>
  <c r="M206" i="1"/>
  <c r="U206" i="1"/>
  <c r="V206" i="1"/>
  <c r="W206" i="1"/>
  <c r="X206" i="1"/>
  <c r="Z206" i="1"/>
  <c r="B207" i="1"/>
  <c r="C207" i="1"/>
  <c r="D207" i="1"/>
  <c r="E207" i="1"/>
  <c r="F207" i="1"/>
  <c r="G207" i="1"/>
  <c r="H207" i="1"/>
  <c r="I207" i="1"/>
  <c r="J207" i="1"/>
  <c r="K207" i="1"/>
  <c r="L207" i="1"/>
  <c r="M207" i="1"/>
  <c r="U207" i="1"/>
  <c r="V207" i="1"/>
  <c r="W207" i="1"/>
  <c r="X207" i="1"/>
  <c r="Z207" i="1"/>
  <c r="B208" i="1"/>
  <c r="C208" i="1"/>
  <c r="D208" i="1"/>
  <c r="E208" i="1"/>
  <c r="F208" i="1"/>
  <c r="G208" i="1"/>
  <c r="H208" i="1"/>
  <c r="I208" i="1"/>
  <c r="J208" i="1"/>
  <c r="K208" i="1"/>
  <c r="L208" i="1"/>
  <c r="M208" i="1"/>
  <c r="U208" i="1"/>
  <c r="V208" i="1"/>
  <c r="W208" i="1"/>
  <c r="X208" i="1"/>
  <c r="Z208" i="1"/>
  <c r="B209" i="1"/>
  <c r="C209" i="1"/>
  <c r="D209" i="1"/>
  <c r="E209" i="1"/>
  <c r="F209" i="1"/>
  <c r="G209" i="1"/>
  <c r="H209" i="1"/>
  <c r="I209" i="1"/>
  <c r="J209" i="1"/>
  <c r="K209" i="1"/>
  <c r="L209" i="1"/>
  <c r="M209" i="1"/>
  <c r="U209" i="1"/>
  <c r="V209" i="1"/>
  <c r="W209" i="1"/>
  <c r="X209" i="1"/>
  <c r="Z209" i="1"/>
  <c r="B210" i="1"/>
  <c r="C210" i="1"/>
  <c r="D210" i="1"/>
  <c r="E210" i="1"/>
  <c r="F210" i="1"/>
  <c r="G210" i="1"/>
  <c r="H210" i="1"/>
  <c r="I210" i="1"/>
  <c r="J210" i="1"/>
  <c r="K210" i="1"/>
  <c r="L210" i="1"/>
  <c r="M210" i="1"/>
  <c r="U210" i="1"/>
  <c r="V210" i="1"/>
  <c r="W210" i="1"/>
  <c r="X210" i="1"/>
  <c r="Z210" i="1"/>
  <c r="B211" i="1"/>
  <c r="C211" i="1"/>
  <c r="D211" i="1"/>
  <c r="E211" i="1"/>
  <c r="F211" i="1"/>
  <c r="G211" i="1"/>
  <c r="H211" i="1"/>
  <c r="I211" i="1"/>
  <c r="J211" i="1"/>
  <c r="K211" i="1"/>
  <c r="L211" i="1"/>
  <c r="M211" i="1"/>
  <c r="U211" i="1"/>
  <c r="V211" i="1"/>
  <c r="W211" i="1"/>
  <c r="X211" i="1"/>
  <c r="Z211" i="1"/>
  <c r="B212" i="1"/>
  <c r="C212" i="1"/>
  <c r="D212" i="1"/>
  <c r="E212" i="1"/>
  <c r="F212" i="1"/>
  <c r="G212" i="1"/>
  <c r="H212" i="1"/>
  <c r="I212" i="1"/>
  <c r="J212" i="1"/>
  <c r="K212" i="1"/>
  <c r="L212" i="1"/>
  <c r="M212" i="1"/>
  <c r="U212" i="1"/>
  <c r="V212" i="1"/>
  <c r="W212" i="1"/>
  <c r="X212" i="1"/>
  <c r="Z212" i="1"/>
  <c r="B213" i="1"/>
  <c r="C213" i="1"/>
  <c r="D213" i="1"/>
  <c r="E213" i="1"/>
  <c r="F213" i="1"/>
  <c r="G213" i="1"/>
  <c r="H213" i="1"/>
  <c r="I213" i="1"/>
  <c r="J213" i="1"/>
  <c r="K213" i="1"/>
  <c r="L213" i="1"/>
  <c r="M213" i="1"/>
  <c r="U213" i="1"/>
  <c r="V213" i="1"/>
  <c r="W213" i="1"/>
  <c r="X213" i="1"/>
  <c r="Z213" i="1"/>
  <c r="B214" i="1"/>
  <c r="C214" i="1"/>
  <c r="D214" i="1"/>
  <c r="E214" i="1"/>
  <c r="F214" i="1"/>
  <c r="G214" i="1"/>
  <c r="H214" i="1"/>
  <c r="I214" i="1"/>
  <c r="J214" i="1"/>
  <c r="K214" i="1"/>
  <c r="L214" i="1"/>
  <c r="M214" i="1"/>
  <c r="U214" i="1"/>
  <c r="V214" i="1"/>
  <c r="W214" i="1"/>
  <c r="X214" i="1"/>
  <c r="Z214" i="1"/>
  <c r="B215" i="1"/>
  <c r="C215" i="1"/>
  <c r="D215" i="1"/>
  <c r="E215" i="1"/>
  <c r="F215" i="1"/>
  <c r="G215" i="1"/>
  <c r="H215" i="1"/>
  <c r="I215" i="1"/>
  <c r="J215" i="1"/>
  <c r="K215" i="1"/>
  <c r="L215" i="1"/>
  <c r="M215" i="1"/>
  <c r="U215" i="1"/>
  <c r="V215" i="1"/>
  <c r="W215" i="1"/>
  <c r="X215" i="1"/>
  <c r="Z215" i="1"/>
  <c r="B216" i="1"/>
  <c r="C216" i="1"/>
  <c r="D216" i="1"/>
  <c r="E216" i="1"/>
  <c r="F216" i="1"/>
  <c r="G216" i="1"/>
  <c r="H216" i="1"/>
  <c r="I216" i="1"/>
  <c r="J216" i="1"/>
  <c r="K216" i="1"/>
  <c r="L216" i="1"/>
  <c r="M216" i="1"/>
  <c r="U216" i="1"/>
  <c r="V216" i="1"/>
  <c r="W216" i="1"/>
  <c r="X216" i="1"/>
  <c r="Z216" i="1"/>
  <c r="B217" i="1"/>
  <c r="C217" i="1"/>
  <c r="D217" i="1"/>
  <c r="E217" i="1"/>
  <c r="F217" i="1"/>
  <c r="G217" i="1"/>
  <c r="H217" i="1"/>
  <c r="I217" i="1"/>
  <c r="J217" i="1"/>
  <c r="K217" i="1"/>
  <c r="L217" i="1"/>
  <c r="M217" i="1"/>
  <c r="U217" i="1"/>
  <c r="V217" i="1"/>
  <c r="W217" i="1"/>
  <c r="X217" i="1"/>
  <c r="Z217" i="1"/>
  <c r="B218" i="1"/>
  <c r="C218" i="1"/>
  <c r="D218" i="1"/>
  <c r="E218" i="1"/>
  <c r="F218" i="1"/>
  <c r="G218" i="1"/>
  <c r="H218" i="1"/>
  <c r="I218" i="1"/>
  <c r="J218" i="1"/>
  <c r="K218" i="1"/>
  <c r="L218" i="1"/>
  <c r="M218" i="1"/>
  <c r="U218" i="1"/>
  <c r="V218" i="1"/>
  <c r="W218" i="1"/>
  <c r="X218" i="1"/>
  <c r="Z218" i="1"/>
  <c r="B219" i="1"/>
  <c r="C219" i="1"/>
  <c r="D219" i="1"/>
  <c r="E219" i="1"/>
  <c r="F219" i="1"/>
  <c r="G219" i="1"/>
  <c r="H219" i="1"/>
  <c r="I219" i="1"/>
  <c r="J219" i="1"/>
  <c r="K219" i="1"/>
  <c r="L219" i="1"/>
  <c r="M219" i="1"/>
  <c r="U219" i="1"/>
  <c r="V219" i="1"/>
  <c r="W219" i="1"/>
  <c r="X219" i="1"/>
  <c r="Z219" i="1"/>
  <c r="B220" i="1"/>
  <c r="C220" i="1"/>
  <c r="D220" i="1"/>
  <c r="E220" i="1"/>
  <c r="F220" i="1"/>
  <c r="G220" i="1"/>
  <c r="H220" i="1"/>
  <c r="I220" i="1"/>
  <c r="J220" i="1"/>
  <c r="K220" i="1"/>
  <c r="L220" i="1"/>
  <c r="M220" i="1"/>
  <c r="U220" i="1"/>
  <c r="V220" i="1"/>
  <c r="W220" i="1"/>
  <c r="X220" i="1"/>
  <c r="Z220" i="1"/>
  <c r="B221" i="1"/>
  <c r="C221" i="1"/>
  <c r="D221" i="1"/>
  <c r="E221" i="1"/>
  <c r="F221" i="1"/>
  <c r="G221" i="1"/>
  <c r="H221" i="1"/>
  <c r="I221" i="1"/>
  <c r="J221" i="1"/>
  <c r="K221" i="1"/>
  <c r="L221" i="1"/>
  <c r="M221" i="1"/>
  <c r="U221" i="1"/>
  <c r="V221" i="1"/>
  <c r="W221" i="1"/>
  <c r="X221" i="1"/>
  <c r="Z221" i="1"/>
  <c r="B222" i="1"/>
  <c r="C222" i="1"/>
  <c r="D222" i="1"/>
  <c r="E222" i="1"/>
  <c r="F222" i="1"/>
  <c r="G222" i="1"/>
  <c r="H222" i="1"/>
  <c r="I222" i="1"/>
  <c r="J222" i="1"/>
  <c r="K222" i="1"/>
  <c r="L222" i="1"/>
  <c r="M222" i="1"/>
  <c r="U222" i="1"/>
  <c r="V222" i="1"/>
  <c r="W222" i="1"/>
  <c r="X222" i="1"/>
  <c r="Z222" i="1"/>
  <c r="B223" i="1"/>
  <c r="C223" i="1"/>
  <c r="D223" i="1"/>
  <c r="E223" i="1"/>
  <c r="F223" i="1"/>
  <c r="G223" i="1"/>
  <c r="H223" i="1"/>
  <c r="I223" i="1"/>
  <c r="J223" i="1"/>
  <c r="K223" i="1"/>
  <c r="L223" i="1"/>
  <c r="M223" i="1"/>
  <c r="U223" i="1"/>
  <c r="V223" i="1"/>
  <c r="W223" i="1"/>
  <c r="X223" i="1"/>
  <c r="Z223" i="1"/>
  <c r="B224" i="1"/>
  <c r="C224" i="1"/>
  <c r="D224" i="1"/>
  <c r="E224" i="1"/>
  <c r="F224" i="1"/>
  <c r="G224" i="1"/>
  <c r="H224" i="1"/>
  <c r="I224" i="1"/>
  <c r="J224" i="1"/>
  <c r="K224" i="1"/>
  <c r="L224" i="1"/>
  <c r="M224" i="1"/>
  <c r="U224" i="1"/>
  <c r="V224" i="1"/>
  <c r="W224" i="1"/>
  <c r="X224" i="1"/>
  <c r="Z224" i="1"/>
  <c r="B225" i="1"/>
  <c r="C225" i="1"/>
  <c r="D225" i="1"/>
  <c r="E225" i="1"/>
  <c r="F225" i="1"/>
  <c r="G225" i="1"/>
  <c r="H225" i="1"/>
  <c r="I225" i="1"/>
  <c r="J225" i="1"/>
  <c r="K225" i="1"/>
  <c r="L225" i="1"/>
  <c r="M225" i="1"/>
  <c r="U225" i="1"/>
  <c r="V225" i="1"/>
  <c r="W225" i="1"/>
  <c r="X225" i="1"/>
  <c r="Z225" i="1"/>
  <c r="B226" i="1"/>
  <c r="C226" i="1"/>
  <c r="D226" i="1"/>
  <c r="E226" i="1"/>
  <c r="F226" i="1"/>
  <c r="G226" i="1"/>
  <c r="H226" i="1"/>
  <c r="I226" i="1"/>
  <c r="J226" i="1"/>
  <c r="K226" i="1"/>
  <c r="L226" i="1"/>
  <c r="M226" i="1"/>
  <c r="U226" i="1"/>
  <c r="V226" i="1"/>
  <c r="W226" i="1"/>
  <c r="X226" i="1"/>
  <c r="Z226" i="1"/>
  <c r="B227" i="1"/>
  <c r="C227" i="1"/>
  <c r="D227" i="1"/>
  <c r="E227" i="1"/>
  <c r="F227" i="1"/>
  <c r="G227" i="1"/>
  <c r="H227" i="1"/>
  <c r="I227" i="1"/>
  <c r="J227" i="1"/>
  <c r="K227" i="1"/>
  <c r="L227" i="1"/>
  <c r="M227" i="1"/>
  <c r="U227" i="1"/>
  <c r="V227" i="1"/>
  <c r="W227" i="1"/>
  <c r="X227" i="1"/>
  <c r="Z227" i="1"/>
  <c r="B228" i="1"/>
  <c r="C228" i="1"/>
  <c r="D228" i="1"/>
  <c r="E228" i="1"/>
  <c r="F228" i="1"/>
  <c r="G228" i="1"/>
  <c r="H228" i="1"/>
  <c r="I228" i="1"/>
  <c r="J228" i="1"/>
  <c r="K228" i="1"/>
  <c r="L228" i="1"/>
  <c r="M228" i="1"/>
  <c r="U228" i="1"/>
  <c r="V228" i="1"/>
  <c r="W228" i="1"/>
  <c r="X228" i="1"/>
  <c r="Z228" i="1"/>
  <c r="B229" i="1"/>
  <c r="C229" i="1"/>
  <c r="D229" i="1"/>
  <c r="E229" i="1"/>
  <c r="F229" i="1"/>
  <c r="G229" i="1"/>
  <c r="H229" i="1"/>
  <c r="I229" i="1"/>
  <c r="J229" i="1"/>
  <c r="K229" i="1"/>
  <c r="L229" i="1"/>
  <c r="M229" i="1"/>
  <c r="U229" i="1"/>
  <c r="V229" i="1"/>
  <c r="W229" i="1"/>
  <c r="X229" i="1"/>
  <c r="Z229" i="1"/>
  <c r="B230" i="1"/>
  <c r="C230" i="1"/>
  <c r="D230" i="1"/>
  <c r="E230" i="1"/>
  <c r="F230" i="1"/>
  <c r="G230" i="1"/>
  <c r="H230" i="1"/>
  <c r="I230" i="1"/>
  <c r="J230" i="1"/>
  <c r="K230" i="1"/>
  <c r="L230" i="1"/>
  <c r="M230" i="1"/>
  <c r="U230" i="1"/>
  <c r="V230" i="1"/>
  <c r="W230" i="1"/>
  <c r="X230" i="1"/>
  <c r="Z230" i="1"/>
  <c r="B231" i="1"/>
  <c r="C231" i="1"/>
  <c r="D231" i="1"/>
  <c r="E231" i="1"/>
  <c r="F231" i="1"/>
  <c r="G231" i="1"/>
  <c r="H231" i="1"/>
  <c r="I231" i="1"/>
  <c r="J231" i="1"/>
  <c r="K231" i="1"/>
  <c r="L231" i="1"/>
  <c r="M231" i="1"/>
  <c r="U231" i="1"/>
  <c r="V231" i="1"/>
  <c r="W231" i="1"/>
  <c r="X231" i="1"/>
  <c r="Z231" i="1"/>
  <c r="B232" i="1"/>
  <c r="C232" i="1"/>
  <c r="D232" i="1"/>
  <c r="E232" i="1"/>
  <c r="F232" i="1"/>
  <c r="G232" i="1"/>
  <c r="H232" i="1"/>
  <c r="I232" i="1"/>
  <c r="J232" i="1"/>
  <c r="K232" i="1"/>
  <c r="L232" i="1"/>
  <c r="M232" i="1"/>
  <c r="U232" i="1"/>
  <c r="V232" i="1"/>
  <c r="W232" i="1"/>
  <c r="X232" i="1"/>
  <c r="Z232" i="1"/>
  <c r="B233" i="1"/>
  <c r="C233" i="1"/>
  <c r="D233" i="1"/>
  <c r="E233" i="1"/>
  <c r="F233" i="1"/>
  <c r="G233" i="1"/>
  <c r="H233" i="1"/>
  <c r="I233" i="1"/>
  <c r="J233" i="1"/>
  <c r="K233" i="1"/>
  <c r="L233" i="1"/>
  <c r="M233" i="1"/>
  <c r="U233" i="1"/>
  <c r="V233" i="1"/>
  <c r="W233" i="1"/>
  <c r="X233" i="1"/>
  <c r="Z233" i="1"/>
  <c r="B234" i="1"/>
  <c r="C234" i="1"/>
  <c r="D234" i="1"/>
  <c r="E234" i="1"/>
  <c r="F234" i="1"/>
  <c r="G234" i="1"/>
  <c r="H234" i="1"/>
  <c r="I234" i="1"/>
  <c r="J234" i="1"/>
  <c r="K234" i="1"/>
  <c r="L234" i="1"/>
  <c r="M234" i="1"/>
  <c r="U234" i="1"/>
  <c r="V234" i="1"/>
  <c r="W234" i="1"/>
  <c r="X234" i="1"/>
  <c r="Z234" i="1"/>
  <c r="B235" i="1"/>
  <c r="C235" i="1"/>
  <c r="D235" i="1"/>
  <c r="E235" i="1"/>
  <c r="F235" i="1"/>
  <c r="G235" i="1"/>
  <c r="H235" i="1"/>
  <c r="I235" i="1"/>
  <c r="J235" i="1"/>
  <c r="K235" i="1"/>
  <c r="L235" i="1"/>
  <c r="M235" i="1"/>
  <c r="U235" i="1"/>
  <c r="V235" i="1"/>
  <c r="W235" i="1"/>
  <c r="X235" i="1"/>
  <c r="Z235" i="1"/>
  <c r="B236" i="1"/>
  <c r="C236" i="1"/>
  <c r="D236" i="1"/>
  <c r="E236" i="1"/>
  <c r="F236" i="1"/>
  <c r="G236" i="1"/>
  <c r="H236" i="1"/>
  <c r="I236" i="1"/>
  <c r="J236" i="1"/>
  <c r="K236" i="1"/>
  <c r="L236" i="1"/>
  <c r="M236" i="1"/>
  <c r="U236" i="1"/>
  <c r="V236" i="1"/>
  <c r="W236" i="1"/>
  <c r="X236" i="1"/>
  <c r="Z236" i="1"/>
  <c r="B237" i="1"/>
  <c r="C237" i="1"/>
  <c r="D237" i="1"/>
  <c r="E237" i="1"/>
  <c r="F237" i="1"/>
  <c r="G237" i="1"/>
  <c r="H237" i="1"/>
  <c r="I237" i="1"/>
  <c r="J237" i="1"/>
  <c r="K237" i="1"/>
  <c r="L237" i="1"/>
  <c r="M237" i="1"/>
  <c r="U237" i="1"/>
  <c r="V237" i="1"/>
  <c r="W237" i="1"/>
  <c r="X237" i="1"/>
  <c r="Z237" i="1"/>
  <c r="B238" i="1"/>
  <c r="C238" i="1"/>
  <c r="D238" i="1"/>
  <c r="E238" i="1"/>
  <c r="F238" i="1"/>
  <c r="G238" i="1"/>
  <c r="H238" i="1"/>
  <c r="I238" i="1"/>
  <c r="J238" i="1"/>
  <c r="K238" i="1"/>
  <c r="L238" i="1"/>
  <c r="M238" i="1"/>
  <c r="U238" i="1"/>
  <c r="V238" i="1"/>
  <c r="W238" i="1"/>
  <c r="X238" i="1"/>
  <c r="Z238" i="1"/>
  <c r="B239" i="1"/>
  <c r="C239" i="1"/>
  <c r="D239" i="1"/>
  <c r="E239" i="1"/>
  <c r="F239" i="1"/>
  <c r="G239" i="1"/>
  <c r="H239" i="1"/>
  <c r="I239" i="1"/>
  <c r="J239" i="1"/>
  <c r="K239" i="1"/>
  <c r="L239" i="1"/>
  <c r="M239" i="1"/>
  <c r="U239" i="1"/>
  <c r="V239" i="1"/>
  <c r="W239" i="1"/>
  <c r="X239" i="1"/>
  <c r="Z239" i="1"/>
  <c r="B240" i="1"/>
  <c r="C240" i="1"/>
  <c r="D240" i="1"/>
  <c r="E240" i="1"/>
  <c r="F240" i="1"/>
  <c r="G240" i="1"/>
  <c r="H240" i="1"/>
  <c r="I240" i="1"/>
  <c r="J240" i="1"/>
  <c r="K240" i="1"/>
  <c r="L240" i="1"/>
  <c r="M240" i="1"/>
  <c r="U240" i="1"/>
  <c r="V240" i="1"/>
  <c r="W240" i="1"/>
  <c r="X240" i="1"/>
  <c r="Z240" i="1"/>
  <c r="B241" i="1"/>
  <c r="C241" i="1"/>
  <c r="D241" i="1"/>
  <c r="E241" i="1"/>
  <c r="F241" i="1"/>
  <c r="G241" i="1"/>
  <c r="H241" i="1"/>
  <c r="I241" i="1"/>
  <c r="J241" i="1"/>
  <c r="K241" i="1"/>
  <c r="L241" i="1"/>
  <c r="M241" i="1"/>
  <c r="U241" i="1"/>
  <c r="V241" i="1"/>
  <c r="W241" i="1"/>
  <c r="X241" i="1"/>
  <c r="Z241" i="1"/>
  <c r="B242" i="1"/>
  <c r="C242" i="1"/>
  <c r="D242" i="1"/>
  <c r="E242" i="1"/>
  <c r="F242" i="1"/>
  <c r="G242" i="1"/>
  <c r="H242" i="1"/>
  <c r="I242" i="1"/>
  <c r="J242" i="1"/>
  <c r="K242" i="1"/>
  <c r="L242" i="1"/>
  <c r="M242" i="1"/>
  <c r="U242" i="1"/>
  <c r="V242" i="1"/>
  <c r="W242" i="1"/>
  <c r="X242" i="1"/>
  <c r="Z242" i="1"/>
  <c r="B243" i="1"/>
  <c r="C243" i="1"/>
  <c r="D243" i="1"/>
  <c r="E243" i="1"/>
  <c r="F243" i="1"/>
  <c r="G243" i="1"/>
  <c r="H243" i="1"/>
  <c r="I243" i="1"/>
  <c r="J243" i="1"/>
  <c r="K243" i="1"/>
  <c r="L243" i="1"/>
  <c r="M243" i="1"/>
  <c r="U243" i="1"/>
  <c r="V243" i="1"/>
  <c r="W243" i="1"/>
  <c r="X243" i="1"/>
  <c r="Z243" i="1"/>
  <c r="B244" i="1"/>
  <c r="C244" i="1"/>
  <c r="D244" i="1"/>
  <c r="E244" i="1"/>
  <c r="F244" i="1"/>
  <c r="G244" i="1"/>
  <c r="H244" i="1"/>
  <c r="I244" i="1"/>
  <c r="J244" i="1"/>
  <c r="K244" i="1"/>
  <c r="L244" i="1"/>
  <c r="M244" i="1"/>
  <c r="U244" i="1"/>
  <c r="V244" i="1"/>
  <c r="W244" i="1"/>
  <c r="X244" i="1"/>
  <c r="Z244" i="1"/>
  <c r="B245" i="1"/>
  <c r="C245" i="1"/>
  <c r="D245" i="1"/>
  <c r="E245" i="1"/>
  <c r="F245" i="1"/>
  <c r="G245" i="1"/>
  <c r="H245" i="1"/>
  <c r="I245" i="1"/>
  <c r="J245" i="1"/>
  <c r="K245" i="1"/>
  <c r="L245" i="1"/>
  <c r="M245" i="1"/>
  <c r="U245" i="1"/>
  <c r="V245" i="1"/>
  <c r="W245" i="1"/>
  <c r="X245" i="1"/>
  <c r="Z245" i="1"/>
  <c r="B246" i="1"/>
  <c r="C246" i="1"/>
  <c r="D246" i="1"/>
  <c r="E246" i="1"/>
  <c r="F246" i="1"/>
  <c r="G246" i="1"/>
  <c r="H246" i="1"/>
  <c r="I246" i="1"/>
  <c r="J246" i="1"/>
  <c r="K246" i="1"/>
  <c r="L246" i="1"/>
  <c r="M246" i="1"/>
  <c r="U246" i="1"/>
  <c r="V246" i="1"/>
  <c r="W246" i="1"/>
  <c r="X246" i="1"/>
  <c r="Z246" i="1"/>
  <c r="B247" i="1"/>
  <c r="C247" i="1"/>
  <c r="D247" i="1"/>
  <c r="E247" i="1"/>
  <c r="F247" i="1"/>
  <c r="G247" i="1"/>
  <c r="H247" i="1"/>
  <c r="I247" i="1"/>
  <c r="J247" i="1"/>
  <c r="K247" i="1"/>
  <c r="L247" i="1"/>
  <c r="M247" i="1"/>
  <c r="U247" i="1"/>
  <c r="V247" i="1"/>
  <c r="W247" i="1"/>
  <c r="X247" i="1"/>
  <c r="Z247" i="1"/>
  <c r="B248" i="1"/>
  <c r="C248" i="1"/>
  <c r="D248" i="1"/>
  <c r="E248" i="1"/>
  <c r="F248" i="1"/>
  <c r="G248" i="1"/>
  <c r="H248" i="1"/>
  <c r="I248" i="1"/>
  <c r="J248" i="1"/>
  <c r="K248" i="1"/>
  <c r="L248" i="1"/>
  <c r="M248" i="1"/>
  <c r="U248" i="1"/>
  <c r="V248" i="1"/>
  <c r="W248" i="1"/>
  <c r="X248" i="1"/>
  <c r="Z248" i="1"/>
  <c r="B249" i="1"/>
  <c r="C249" i="1"/>
  <c r="D249" i="1"/>
  <c r="E249" i="1"/>
  <c r="F249" i="1"/>
  <c r="G249" i="1"/>
  <c r="H249" i="1"/>
  <c r="I249" i="1"/>
  <c r="J249" i="1"/>
  <c r="K249" i="1"/>
  <c r="L249" i="1"/>
  <c r="M249" i="1"/>
  <c r="U249" i="1"/>
  <c r="V249" i="1"/>
  <c r="W249" i="1"/>
  <c r="X249" i="1"/>
  <c r="Z249" i="1"/>
  <c r="B250" i="1"/>
  <c r="C250" i="1"/>
  <c r="D250" i="1"/>
  <c r="E250" i="1"/>
  <c r="F250" i="1"/>
  <c r="G250" i="1"/>
  <c r="H250" i="1"/>
  <c r="I250" i="1"/>
  <c r="J250" i="1"/>
  <c r="K250" i="1"/>
  <c r="L250" i="1"/>
  <c r="M250" i="1"/>
  <c r="U250" i="1"/>
  <c r="V250" i="1"/>
  <c r="W250" i="1"/>
  <c r="X250" i="1"/>
  <c r="Z250" i="1"/>
  <c r="B251" i="1"/>
  <c r="C251" i="1"/>
  <c r="D251" i="1"/>
  <c r="E251" i="1"/>
  <c r="F251" i="1"/>
  <c r="G251" i="1"/>
  <c r="H251" i="1"/>
  <c r="I251" i="1"/>
  <c r="J251" i="1"/>
  <c r="K251" i="1"/>
  <c r="L251" i="1"/>
  <c r="M251" i="1"/>
  <c r="U251" i="1"/>
  <c r="V251" i="1"/>
  <c r="W251" i="1"/>
  <c r="X251" i="1"/>
  <c r="Z251" i="1"/>
  <c r="B252" i="1"/>
  <c r="C252" i="1"/>
  <c r="D252" i="1"/>
  <c r="E252" i="1"/>
  <c r="F252" i="1"/>
  <c r="G252" i="1"/>
  <c r="H252" i="1"/>
  <c r="I252" i="1"/>
  <c r="J252" i="1"/>
  <c r="K252" i="1"/>
  <c r="L252" i="1"/>
  <c r="M252" i="1"/>
  <c r="U252" i="1"/>
  <c r="V252" i="1"/>
  <c r="W252" i="1"/>
  <c r="X252" i="1"/>
  <c r="Z252" i="1"/>
  <c r="B253" i="1"/>
  <c r="C253" i="1"/>
  <c r="D253" i="1"/>
  <c r="E253" i="1"/>
  <c r="F253" i="1"/>
  <c r="G253" i="1"/>
  <c r="H253" i="1"/>
  <c r="I253" i="1"/>
  <c r="J253" i="1"/>
  <c r="K253" i="1"/>
  <c r="L253" i="1"/>
  <c r="M253" i="1"/>
  <c r="U253" i="1"/>
  <c r="V253" i="1"/>
  <c r="W253" i="1"/>
  <c r="X253" i="1"/>
  <c r="Z253" i="1"/>
  <c r="B254" i="1"/>
  <c r="C254" i="1"/>
  <c r="D254" i="1"/>
  <c r="E254" i="1"/>
  <c r="F254" i="1"/>
  <c r="G254" i="1"/>
  <c r="H254" i="1"/>
  <c r="I254" i="1"/>
  <c r="J254" i="1"/>
  <c r="K254" i="1"/>
  <c r="L254" i="1"/>
  <c r="M254" i="1"/>
  <c r="U254" i="1"/>
  <c r="V254" i="1"/>
  <c r="W254" i="1"/>
  <c r="X254" i="1"/>
  <c r="Z254" i="1"/>
  <c r="B255" i="1"/>
  <c r="C255" i="1"/>
  <c r="D255" i="1"/>
  <c r="E255" i="1"/>
  <c r="F255" i="1"/>
  <c r="G255" i="1"/>
  <c r="H255" i="1"/>
  <c r="I255" i="1"/>
  <c r="J255" i="1"/>
  <c r="K255" i="1"/>
  <c r="L255" i="1"/>
  <c r="M255" i="1"/>
  <c r="U255" i="1"/>
  <c r="V255" i="1"/>
  <c r="W255" i="1"/>
  <c r="X255" i="1"/>
  <c r="Z255" i="1"/>
  <c r="B256" i="1"/>
  <c r="C256" i="1"/>
  <c r="D256" i="1"/>
  <c r="E256" i="1"/>
  <c r="F256" i="1"/>
  <c r="G256" i="1"/>
  <c r="H256" i="1"/>
  <c r="I256" i="1"/>
  <c r="J256" i="1"/>
  <c r="K256" i="1"/>
  <c r="L256" i="1"/>
  <c r="M256" i="1"/>
  <c r="U256" i="1"/>
  <c r="V256" i="1"/>
  <c r="W256" i="1"/>
  <c r="X256" i="1"/>
  <c r="Z256" i="1"/>
  <c r="B257" i="1"/>
  <c r="C257" i="1"/>
  <c r="D257" i="1"/>
  <c r="E257" i="1"/>
  <c r="F257" i="1"/>
  <c r="G257" i="1"/>
  <c r="H257" i="1"/>
  <c r="I257" i="1"/>
  <c r="J257" i="1"/>
  <c r="K257" i="1"/>
  <c r="L257" i="1"/>
  <c r="M257" i="1"/>
  <c r="U257" i="1"/>
  <c r="V257" i="1"/>
  <c r="W257" i="1"/>
  <c r="X257" i="1"/>
  <c r="Z257" i="1"/>
  <c r="B258" i="1"/>
  <c r="C258" i="1"/>
  <c r="D258" i="1"/>
  <c r="E258" i="1"/>
  <c r="F258" i="1"/>
  <c r="G258" i="1"/>
  <c r="H258" i="1"/>
  <c r="I258" i="1"/>
  <c r="J258" i="1"/>
  <c r="K258" i="1"/>
  <c r="L258" i="1"/>
  <c r="M258" i="1"/>
  <c r="U258" i="1"/>
  <c r="V258" i="1"/>
  <c r="W258" i="1"/>
  <c r="X258" i="1"/>
  <c r="Z258" i="1"/>
  <c r="B259" i="1"/>
  <c r="C259" i="1"/>
  <c r="D259" i="1"/>
  <c r="E259" i="1"/>
  <c r="F259" i="1"/>
  <c r="G259" i="1"/>
  <c r="H259" i="1"/>
  <c r="I259" i="1"/>
  <c r="J259" i="1"/>
  <c r="K259" i="1"/>
  <c r="L259" i="1"/>
  <c r="M259" i="1"/>
  <c r="U259" i="1"/>
  <c r="V259" i="1"/>
  <c r="W259" i="1"/>
  <c r="X259" i="1"/>
  <c r="Z259" i="1"/>
  <c r="B260" i="1"/>
  <c r="C260" i="1"/>
  <c r="D260" i="1"/>
  <c r="E260" i="1"/>
  <c r="F260" i="1"/>
  <c r="G260" i="1"/>
  <c r="H260" i="1"/>
  <c r="I260" i="1"/>
  <c r="J260" i="1"/>
  <c r="K260" i="1"/>
  <c r="L260" i="1"/>
  <c r="M260" i="1"/>
  <c r="U260" i="1"/>
  <c r="V260" i="1"/>
  <c r="W260" i="1"/>
  <c r="X260" i="1"/>
  <c r="Z260" i="1"/>
  <c r="B261" i="1"/>
  <c r="C261" i="1"/>
  <c r="D261" i="1"/>
  <c r="E261" i="1"/>
  <c r="F261" i="1"/>
  <c r="G261" i="1"/>
  <c r="H261" i="1"/>
  <c r="I261" i="1"/>
  <c r="J261" i="1"/>
  <c r="K261" i="1"/>
  <c r="L261" i="1"/>
  <c r="M261" i="1"/>
  <c r="U261" i="1"/>
  <c r="V261" i="1"/>
  <c r="W261" i="1"/>
  <c r="X261" i="1"/>
  <c r="Z261" i="1"/>
  <c r="B262" i="1"/>
  <c r="C262" i="1"/>
  <c r="D262" i="1"/>
  <c r="E262" i="1"/>
  <c r="F262" i="1"/>
  <c r="G262" i="1"/>
  <c r="H262" i="1"/>
  <c r="I262" i="1"/>
  <c r="J262" i="1"/>
  <c r="K262" i="1"/>
  <c r="L262" i="1"/>
  <c r="M262" i="1"/>
  <c r="U262" i="1"/>
  <c r="V262" i="1"/>
  <c r="W262" i="1"/>
  <c r="X262" i="1"/>
  <c r="Z262" i="1"/>
  <c r="B263" i="1"/>
  <c r="C263" i="1"/>
  <c r="D263" i="1"/>
  <c r="E263" i="1"/>
  <c r="F263" i="1"/>
  <c r="G263" i="1"/>
  <c r="H263" i="1"/>
  <c r="I263" i="1"/>
  <c r="J263" i="1"/>
  <c r="K263" i="1"/>
  <c r="L263" i="1"/>
  <c r="M263" i="1"/>
  <c r="U263" i="1"/>
  <c r="V263" i="1"/>
  <c r="W263" i="1"/>
  <c r="X263" i="1"/>
  <c r="Z263" i="1"/>
  <c r="B264" i="1"/>
  <c r="C264" i="1"/>
  <c r="D264" i="1"/>
  <c r="E264" i="1"/>
  <c r="F264" i="1"/>
  <c r="G264" i="1"/>
  <c r="H264" i="1"/>
  <c r="I264" i="1"/>
  <c r="J264" i="1"/>
  <c r="K264" i="1"/>
  <c r="L264" i="1"/>
  <c r="M264" i="1"/>
  <c r="U264" i="1"/>
  <c r="V264" i="1"/>
  <c r="W264" i="1"/>
  <c r="X264" i="1"/>
  <c r="Z264" i="1"/>
  <c r="B265" i="1"/>
  <c r="C265" i="1"/>
  <c r="D265" i="1"/>
  <c r="E265" i="1"/>
  <c r="F265" i="1"/>
  <c r="G265" i="1"/>
  <c r="H265" i="1"/>
  <c r="I265" i="1"/>
  <c r="J265" i="1"/>
  <c r="K265" i="1"/>
  <c r="L265" i="1"/>
  <c r="M265" i="1"/>
  <c r="U265" i="1"/>
  <c r="V265" i="1"/>
  <c r="W265" i="1"/>
  <c r="X265" i="1"/>
  <c r="Z265" i="1"/>
  <c r="B266" i="1"/>
  <c r="C266" i="1"/>
  <c r="D266" i="1"/>
  <c r="E266" i="1"/>
  <c r="F266" i="1"/>
  <c r="G266" i="1"/>
  <c r="H266" i="1"/>
  <c r="I266" i="1"/>
  <c r="J266" i="1"/>
  <c r="K266" i="1"/>
  <c r="L266" i="1"/>
  <c r="M266" i="1"/>
  <c r="U266" i="1"/>
  <c r="V266" i="1"/>
  <c r="W266" i="1"/>
  <c r="X266" i="1"/>
  <c r="Z266" i="1"/>
  <c r="B267" i="1"/>
  <c r="C267" i="1"/>
  <c r="D267" i="1"/>
  <c r="E267" i="1"/>
  <c r="F267" i="1"/>
  <c r="G267" i="1"/>
  <c r="H267" i="1"/>
  <c r="I267" i="1"/>
  <c r="J267" i="1"/>
  <c r="K267" i="1"/>
  <c r="L267" i="1"/>
  <c r="M267" i="1"/>
  <c r="U267" i="1"/>
  <c r="V267" i="1"/>
  <c r="W267" i="1"/>
  <c r="X267" i="1"/>
  <c r="Z267" i="1"/>
  <c r="B268" i="1"/>
  <c r="C268" i="1"/>
  <c r="D268" i="1"/>
  <c r="E268" i="1"/>
  <c r="F268" i="1"/>
  <c r="G268" i="1"/>
  <c r="H268" i="1"/>
  <c r="I268" i="1"/>
  <c r="J268" i="1"/>
  <c r="K268" i="1"/>
  <c r="L268" i="1"/>
  <c r="M268" i="1"/>
  <c r="U268" i="1"/>
  <c r="V268" i="1"/>
  <c r="W268" i="1"/>
  <c r="X268" i="1"/>
  <c r="Z268" i="1"/>
  <c r="B269" i="1"/>
  <c r="C269" i="1"/>
  <c r="D269" i="1"/>
  <c r="E269" i="1"/>
  <c r="F269" i="1"/>
  <c r="G269" i="1"/>
  <c r="H269" i="1"/>
  <c r="I269" i="1"/>
  <c r="J269" i="1"/>
  <c r="K269" i="1"/>
  <c r="L269" i="1"/>
  <c r="M269" i="1"/>
  <c r="U269" i="1"/>
  <c r="V269" i="1"/>
  <c r="W269" i="1"/>
  <c r="X269" i="1"/>
  <c r="Z269" i="1"/>
  <c r="B270" i="1"/>
  <c r="C270" i="1"/>
  <c r="D270" i="1"/>
  <c r="E270" i="1"/>
  <c r="F270" i="1"/>
  <c r="G270" i="1"/>
  <c r="H270" i="1"/>
  <c r="I270" i="1"/>
  <c r="J270" i="1"/>
  <c r="K270" i="1"/>
  <c r="L270" i="1"/>
  <c r="M270" i="1"/>
  <c r="U270" i="1"/>
  <c r="V270" i="1"/>
  <c r="W270" i="1"/>
  <c r="X270" i="1"/>
  <c r="Z270" i="1"/>
  <c r="B271" i="1"/>
  <c r="C271" i="1"/>
  <c r="D271" i="1"/>
  <c r="E271" i="1"/>
  <c r="F271" i="1"/>
  <c r="G271" i="1"/>
  <c r="H271" i="1"/>
  <c r="I271" i="1"/>
  <c r="J271" i="1"/>
  <c r="K271" i="1"/>
  <c r="L271" i="1"/>
  <c r="M271" i="1"/>
  <c r="U271" i="1"/>
  <c r="V271" i="1"/>
  <c r="W271" i="1"/>
  <c r="X271" i="1"/>
  <c r="Z271" i="1"/>
  <c r="B272" i="1"/>
  <c r="C272" i="1"/>
  <c r="D272" i="1"/>
  <c r="E272" i="1"/>
  <c r="F272" i="1"/>
  <c r="G272" i="1"/>
  <c r="H272" i="1"/>
  <c r="I272" i="1"/>
  <c r="J272" i="1"/>
  <c r="K272" i="1"/>
  <c r="L272" i="1"/>
  <c r="M272" i="1"/>
  <c r="U272" i="1"/>
  <c r="V272" i="1"/>
  <c r="W272" i="1"/>
  <c r="X272" i="1"/>
  <c r="Z272" i="1"/>
  <c r="B273" i="1"/>
  <c r="C273" i="1"/>
  <c r="D273" i="1"/>
  <c r="E273" i="1"/>
  <c r="F273" i="1"/>
  <c r="G273" i="1"/>
  <c r="H273" i="1"/>
  <c r="I273" i="1"/>
  <c r="J273" i="1"/>
  <c r="K273" i="1"/>
  <c r="L273" i="1"/>
  <c r="M273" i="1"/>
  <c r="U273" i="1"/>
  <c r="V273" i="1"/>
  <c r="W273" i="1"/>
  <c r="X273" i="1"/>
  <c r="Z273" i="1"/>
  <c r="B274" i="1"/>
  <c r="C274" i="1"/>
  <c r="D274" i="1"/>
  <c r="E274" i="1"/>
  <c r="F274" i="1"/>
  <c r="G274" i="1"/>
  <c r="H274" i="1"/>
  <c r="I274" i="1"/>
  <c r="J274" i="1"/>
  <c r="K274" i="1"/>
  <c r="L274" i="1"/>
  <c r="M274" i="1"/>
  <c r="U274" i="1"/>
  <c r="V274" i="1"/>
  <c r="W274" i="1"/>
  <c r="X274" i="1"/>
  <c r="Z274" i="1"/>
  <c r="B275" i="1"/>
  <c r="C275" i="1"/>
  <c r="D275" i="1"/>
  <c r="E275" i="1"/>
  <c r="F275" i="1"/>
  <c r="G275" i="1"/>
  <c r="H275" i="1"/>
  <c r="I275" i="1"/>
  <c r="J275" i="1"/>
  <c r="K275" i="1"/>
  <c r="L275" i="1"/>
  <c r="M275" i="1"/>
  <c r="U275" i="1"/>
  <c r="V275" i="1"/>
  <c r="W275" i="1"/>
  <c r="X275" i="1"/>
  <c r="Z275" i="1"/>
  <c r="B276" i="1"/>
  <c r="C276" i="1"/>
  <c r="D276" i="1"/>
  <c r="E276" i="1"/>
  <c r="F276" i="1"/>
  <c r="G276" i="1"/>
  <c r="H276" i="1"/>
  <c r="I276" i="1"/>
  <c r="J276" i="1"/>
  <c r="K276" i="1"/>
  <c r="L276" i="1"/>
  <c r="M276" i="1"/>
  <c r="U276" i="1"/>
  <c r="V276" i="1"/>
  <c r="W276" i="1"/>
  <c r="X276" i="1"/>
  <c r="Z276" i="1"/>
  <c r="B277" i="1"/>
  <c r="C277" i="1"/>
  <c r="D277" i="1"/>
  <c r="E277" i="1"/>
  <c r="F277" i="1"/>
  <c r="G277" i="1"/>
  <c r="H277" i="1"/>
  <c r="I277" i="1"/>
  <c r="J277" i="1"/>
  <c r="K277" i="1"/>
  <c r="L277" i="1"/>
  <c r="M277" i="1"/>
  <c r="U277" i="1"/>
  <c r="V277" i="1"/>
  <c r="W277" i="1"/>
  <c r="X277" i="1"/>
  <c r="Z277" i="1"/>
  <c r="B278" i="1"/>
  <c r="C278" i="1"/>
  <c r="D278" i="1"/>
  <c r="E278" i="1"/>
  <c r="F278" i="1"/>
  <c r="G278" i="1"/>
  <c r="H278" i="1"/>
  <c r="I278" i="1"/>
  <c r="J278" i="1"/>
  <c r="K278" i="1"/>
  <c r="L278" i="1"/>
  <c r="M278" i="1"/>
  <c r="U278" i="1"/>
  <c r="V278" i="1"/>
  <c r="W278" i="1"/>
  <c r="X278" i="1"/>
  <c r="Z278" i="1"/>
  <c r="B279" i="1"/>
  <c r="C279" i="1"/>
  <c r="D279" i="1"/>
  <c r="E279" i="1"/>
  <c r="F279" i="1"/>
  <c r="G279" i="1"/>
  <c r="H279" i="1"/>
  <c r="I279" i="1"/>
  <c r="J279" i="1"/>
  <c r="K279" i="1"/>
  <c r="L279" i="1"/>
  <c r="M279" i="1"/>
  <c r="U279" i="1"/>
  <c r="V279" i="1"/>
  <c r="W279" i="1"/>
  <c r="X279" i="1"/>
  <c r="Z279" i="1"/>
  <c r="B280" i="1"/>
  <c r="C280" i="1"/>
  <c r="D280" i="1"/>
  <c r="E280" i="1"/>
  <c r="F280" i="1"/>
  <c r="G280" i="1"/>
  <c r="H280" i="1"/>
  <c r="I280" i="1"/>
  <c r="J280" i="1"/>
  <c r="K280" i="1"/>
  <c r="L280" i="1"/>
  <c r="M280" i="1"/>
  <c r="U280" i="1"/>
  <c r="V280" i="1"/>
  <c r="W280" i="1"/>
  <c r="X280" i="1"/>
  <c r="Z280" i="1"/>
  <c r="B281" i="1"/>
  <c r="C281" i="1"/>
  <c r="D281" i="1"/>
  <c r="E281" i="1"/>
  <c r="F281" i="1"/>
  <c r="G281" i="1"/>
  <c r="H281" i="1"/>
  <c r="I281" i="1"/>
  <c r="J281" i="1"/>
  <c r="K281" i="1"/>
  <c r="L281" i="1"/>
  <c r="M281" i="1"/>
  <c r="U281" i="1"/>
  <c r="V281" i="1"/>
  <c r="W281" i="1"/>
  <c r="X281" i="1"/>
  <c r="Z281" i="1"/>
  <c r="B282" i="1"/>
  <c r="C282" i="1"/>
  <c r="D282" i="1"/>
  <c r="E282" i="1"/>
  <c r="F282" i="1"/>
  <c r="G282" i="1"/>
  <c r="H282" i="1"/>
  <c r="I282" i="1"/>
  <c r="J282" i="1"/>
  <c r="K282" i="1"/>
  <c r="L282" i="1"/>
  <c r="M282" i="1"/>
  <c r="U282" i="1"/>
  <c r="V282" i="1"/>
  <c r="W282" i="1"/>
  <c r="X282" i="1"/>
  <c r="Z282" i="1"/>
  <c r="B283" i="1"/>
  <c r="C283" i="1"/>
  <c r="D283" i="1"/>
  <c r="E283" i="1"/>
  <c r="F283" i="1"/>
  <c r="G283" i="1"/>
  <c r="H283" i="1"/>
  <c r="I283" i="1"/>
  <c r="J283" i="1"/>
  <c r="K283" i="1"/>
  <c r="L283" i="1"/>
  <c r="M283" i="1"/>
  <c r="U283" i="1"/>
  <c r="V283" i="1"/>
  <c r="W283" i="1"/>
  <c r="X283" i="1"/>
  <c r="Z283" i="1"/>
  <c r="B284" i="1"/>
  <c r="C284" i="1"/>
  <c r="D284" i="1"/>
  <c r="E284" i="1"/>
  <c r="F284" i="1"/>
  <c r="G284" i="1"/>
  <c r="H284" i="1"/>
  <c r="I284" i="1"/>
  <c r="J284" i="1"/>
  <c r="K284" i="1"/>
  <c r="L284" i="1"/>
  <c r="M284" i="1"/>
  <c r="U284" i="1"/>
  <c r="V284" i="1"/>
  <c r="W284" i="1"/>
  <c r="X284" i="1"/>
  <c r="Z284" i="1"/>
  <c r="B285" i="1"/>
  <c r="C285" i="1"/>
  <c r="D285" i="1"/>
  <c r="E285" i="1"/>
  <c r="F285" i="1"/>
  <c r="G285" i="1"/>
  <c r="H285" i="1"/>
  <c r="I285" i="1"/>
  <c r="J285" i="1"/>
  <c r="K285" i="1"/>
  <c r="L285" i="1"/>
  <c r="M285" i="1"/>
  <c r="U285" i="1"/>
  <c r="V285" i="1"/>
  <c r="W285" i="1"/>
  <c r="X285" i="1"/>
  <c r="Z285" i="1"/>
  <c r="B286" i="1"/>
  <c r="C286" i="1"/>
  <c r="D286" i="1"/>
  <c r="E286" i="1"/>
  <c r="F286" i="1"/>
  <c r="G286" i="1"/>
  <c r="H286" i="1"/>
  <c r="I286" i="1"/>
  <c r="J286" i="1"/>
  <c r="K286" i="1"/>
  <c r="L286" i="1"/>
  <c r="M286" i="1"/>
  <c r="U286" i="1"/>
  <c r="V286" i="1"/>
  <c r="W286" i="1"/>
  <c r="X286" i="1"/>
  <c r="Z286" i="1"/>
  <c r="B287" i="1"/>
  <c r="C287" i="1"/>
  <c r="D287" i="1"/>
  <c r="E287" i="1"/>
  <c r="F287" i="1"/>
  <c r="G287" i="1"/>
  <c r="H287" i="1"/>
  <c r="I287" i="1"/>
  <c r="J287" i="1"/>
  <c r="K287" i="1"/>
  <c r="L287" i="1"/>
  <c r="M287" i="1"/>
  <c r="U287" i="1"/>
  <c r="V287" i="1"/>
  <c r="W287" i="1"/>
  <c r="X287" i="1"/>
  <c r="Z287" i="1"/>
  <c r="B288" i="1"/>
  <c r="C288" i="1"/>
  <c r="D288" i="1"/>
  <c r="E288" i="1"/>
  <c r="F288" i="1"/>
  <c r="G288" i="1"/>
  <c r="H288" i="1"/>
  <c r="I288" i="1"/>
  <c r="J288" i="1"/>
  <c r="K288" i="1"/>
  <c r="L288" i="1"/>
  <c r="M288" i="1"/>
  <c r="U288" i="1"/>
  <c r="V288" i="1"/>
  <c r="W288" i="1"/>
  <c r="X288" i="1"/>
  <c r="Z288" i="1"/>
  <c r="B289" i="1"/>
  <c r="C289" i="1"/>
  <c r="D289" i="1"/>
  <c r="E289" i="1"/>
  <c r="F289" i="1"/>
  <c r="G289" i="1"/>
  <c r="H289" i="1"/>
  <c r="I289" i="1"/>
  <c r="J289" i="1"/>
  <c r="K289" i="1"/>
  <c r="L289" i="1"/>
  <c r="M289" i="1"/>
  <c r="U289" i="1"/>
  <c r="V289" i="1"/>
  <c r="W289" i="1"/>
  <c r="X289" i="1"/>
  <c r="Z289" i="1"/>
  <c r="B290" i="1"/>
  <c r="C290" i="1"/>
  <c r="D290" i="1"/>
  <c r="E290" i="1"/>
  <c r="F290" i="1"/>
  <c r="G290" i="1"/>
  <c r="H290" i="1"/>
  <c r="I290" i="1"/>
  <c r="J290" i="1"/>
  <c r="K290" i="1"/>
  <c r="L290" i="1"/>
  <c r="M290" i="1"/>
  <c r="U290" i="1"/>
  <c r="V290" i="1"/>
  <c r="W290" i="1"/>
  <c r="X290" i="1"/>
  <c r="Z290" i="1"/>
  <c r="B291" i="1"/>
  <c r="C291" i="1"/>
  <c r="D291" i="1"/>
  <c r="E291" i="1"/>
  <c r="F291" i="1"/>
  <c r="G291" i="1"/>
  <c r="H291" i="1"/>
  <c r="I291" i="1"/>
  <c r="J291" i="1"/>
  <c r="K291" i="1"/>
  <c r="L291" i="1"/>
  <c r="M291" i="1"/>
  <c r="U291" i="1"/>
  <c r="V291" i="1"/>
  <c r="W291" i="1"/>
  <c r="X291" i="1"/>
  <c r="Z291" i="1"/>
  <c r="B292" i="1"/>
  <c r="C292" i="1"/>
  <c r="D292" i="1"/>
  <c r="E292" i="1"/>
  <c r="F292" i="1"/>
  <c r="G292" i="1"/>
  <c r="H292" i="1"/>
  <c r="I292" i="1"/>
  <c r="J292" i="1"/>
  <c r="K292" i="1"/>
  <c r="L292" i="1"/>
  <c r="M292" i="1"/>
  <c r="U292" i="1"/>
  <c r="V292" i="1"/>
  <c r="W292" i="1"/>
  <c r="X292" i="1"/>
  <c r="Z292" i="1"/>
  <c r="B293" i="1"/>
  <c r="C293" i="1"/>
  <c r="D293" i="1"/>
  <c r="E293" i="1"/>
  <c r="F293" i="1"/>
  <c r="G293" i="1"/>
  <c r="H293" i="1"/>
  <c r="I293" i="1"/>
  <c r="J293" i="1"/>
  <c r="K293" i="1"/>
  <c r="L293" i="1"/>
  <c r="M293" i="1"/>
  <c r="U293" i="1"/>
  <c r="V293" i="1"/>
  <c r="W293" i="1"/>
  <c r="X293" i="1"/>
  <c r="Z293" i="1"/>
  <c r="B294" i="1"/>
  <c r="C294" i="1"/>
  <c r="D294" i="1"/>
  <c r="E294" i="1"/>
  <c r="F294" i="1"/>
  <c r="G294" i="1"/>
  <c r="H294" i="1"/>
  <c r="I294" i="1"/>
  <c r="J294" i="1"/>
  <c r="K294" i="1"/>
  <c r="L294" i="1"/>
  <c r="M294" i="1"/>
  <c r="U294" i="1"/>
  <c r="V294" i="1"/>
  <c r="W294" i="1"/>
  <c r="X294" i="1"/>
  <c r="Z294" i="1"/>
  <c r="B295" i="1"/>
  <c r="C295" i="1"/>
  <c r="D295" i="1"/>
  <c r="E295" i="1"/>
  <c r="F295" i="1"/>
  <c r="G295" i="1"/>
  <c r="H295" i="1"/>
  <c r="I295" i="1"/>
  <c r="J295" i="1"/>
  <c r="K295" i="1"/>
  <c r="L295" i="1"/>
  <c r="M295" i="1"/>
  <c r="U295" i="1"/>
  <c r="V295" i="1"/>
  <c r="W295" i="1"/>
  <c r="X295" i="1"/>
  <c r="Z295" i="1"/>
  <c r="B296" i="1"/>
  <c r="C296" i="1"/>
  <c r="D296" i="1"/>
  <c r="E296" i="1"/>
  <c r="F296" i="1"/>
  <c r="G296" i="1"/>
  <c r="H296" i="1"/>
  <c r="I296" i="1"/>
  <c r="J296" i="1"/>
  <c r="K296" i="1"/>
  <c r="L296" i="1"/>
  <c r="M296" i="1"/>
  <c r="U296" i="1"/>
  <c r="V296" i="1"/>
  <c r="W296" i="1"/>
  <c r="X296" i="1"/>
  <c r="Z296" i="1"/>
  <c r="B297" i="1"/>
  <c r="C297" i="1"/>
  <c r="D297" i="1"/>
  <c r="E297" i="1"/>
  <c r="F297" i="1"/>
  <c r="G297" i="1"/>
  <c r="H297" i="1"/>
  <c r="I297" i="1"/>
  <c r="J297" i="1"/>
  <c r="K297" i="1"/>
  <c r="L297" i="1"/>
  <c r="M297" i="1"/>
  <c r="U297" i="1"/>
  <c r="V297" i="1"/>
  <c r="W297" i="1"/>
  <c r="X297" i="1"/>
  <c r="Z297" i="1"/>
  <c r="B298" i="1"/>
  <c r="C298" i="1"/>
  <c r="D298" i="1"/>
  <c r="E298" i="1"/>
  <c r="F298" i="1"/>
  <c r="G298" i="1"/>
  <c r="H298" i="1"/>
  <c r="I298" i="1"/>
  <c r="J298" i="1"/>
  <c r="K298" i="1"/>
  <c r="L298" i="1"/>
  <c r="M298" i="1"/>
  <c r="U298" i="1"/>
  <c r="V298" i="1"/>
  <c r="W298" i="1"/>
  <c r="X298" i="1"/>
  <c r="Z298" i="1"/>
  <c r="B299" i="1"/>
  <c r="C299" i="1"/>
  <c r="D299" i="1"/>
  <c r="E299" i="1"/>
  <c r="F299" i="1"/>
  <c r="G299" i="1"/>
  <c r="H299" i="1"/>
  <c r="I299" i="1"/>
  <c r="J299" i="1"/>
  <c r="K299" i="1"/>
  <c r="L299" i="1"/>
  <c r="M299" i="1"/>
  <c r="U299" i="1"/>
  <c r="V299" i="1"/>
  <c r="W299" i="1"/>
  <c r="X299" i="1"/>
  <c r="Z299" i="1"/>
  <c r="B300" i="1"/>
  <c r="C300" i="1"/>
  <c r="D300" i="1"/>
  <c r="E300" i="1"/>
  <c r="F300" i="1"/>
  <c r="G300" i="1"/>
  <c r="H300" i="1"/>
  <c r="I300" i="1"/>
  <c r="J300" i="1"/>
  <c r="K300" i="1"/>
  <c r="L300" i="1"/>
  <c r="M300" i="1"/>
  <c r="U300" i="1"/>
  <c r="V300" i="1"/>
  <c r="W300" i="1"/>
  <c r="X300" i="1"/>
  <c r="Z300" i="1"/>
  <c r="B301" i="1"/>
  <c r="C301" i="1"/>
  <c r="D301" i="1"/>
  <c r="E301" i="1"/>
  <c r="F301" i="1"/>
  <c r="G301" i="1"/>
  <c r="H301" i="1"/>
  <c r="I301" i="1"/>
  <c r="J301" i="1"/>
  <c r="K301" i="1"/>
  <c r="L301" i="1"/>
  <c r="M301" i="1"/>
  <c r="U301" i="1"/>
  <c r="V301" i="1"/>
  <c r="W301" i="1"/>
  <c r="X301" i="1"/>
  <c r="Z301" i="1"/>
  <c r="B302" i="1"/>
  <c r="C302" i="1"/>
  <c r="D302" i="1"/>
  <c r="E302" i="1"/>
  <c r="F302" i="1"/>
  <c r="G302" i="1"/>
  <c r="H302" i="1"/>
  <c r="I302" i="1"/>
  <c r="J302" i="1"/>
  <c r="K302" i="1"/>
  <c r="L302" i="1"/>
  <c r="M302" i="1"/>
  <c r="U302" i="1"/>
  <c r="V302" i="1"/>
  <c r="W302" i="1"/>
  <c r="X302" i="1"/>
  <c r="Z302" i="1"/>
  <c r="B303" i="1"/>
  <c r="C303" i="1"/>
  <c r="D303" i="1"/>
  <c r="E303" i="1"/>
  <c r="F303" i="1"/>
  <c r="G303" i="1"/>
  <c r="H303" i="1"/>
  <c r="I303" i="1"/>
  <c r="J303" i="1"/>
  <c r="K303" i="1"/>
  <c r="L303" i="1"/>
  <c r="M303" i="1"/>
  <c r="U303" i="1"/>
  <c r="V303" i="1"/>
  <c r="W303" i="1"/>
  <c r="X303" i="1"/>
  <c r="Z303" i="1"/>
  <c r="B304" i="1"/>
  <c r="C304" i="1"/>
  <c r="D304" i="1"/>
  <c r="E304" i="1"/>
  <c r="F304" i="1"/>
  <c r="G304" i="1"/>
  <c r="H304" i="1"/>
  <c r="I304" i="1"/>
  <c r="J304" i="1"/>
  <c r="K304" i="1"/>
  <c r="L304" i="1"/>
  <c r="M304" i="1"/>
  <c r="U304" i="1"/>
  <c r="V304" i="1"/>
  <c r="W304" i="1"/>
  <c r="X304" i="1"/>
  <c r="Z304" i="1"/>
  <c r="B305" i="1"/>
  <c r="C305" i="1"/>
  <c r="D305" i="1"/>
  <c r="E305" i="1"/>
  <c r="F305" i="1"/>
  <c r="G305" i="1"/>
  <c r="H305" i="1"/>
  <c r="I305" i="1"/>
  <c r="J305" i="1"/>
  <c r="K305" i="1"/>
  <c r="L305" i="1"/>
  <c r="M305" i="1"/>
  <c r="U305" i="1"/>
  <c r="V305" i="1"/>
  <c r="W305" i="1"/>
  <c r="X305" i="1"/>
  <c r="Z305" i="1"/>
  <c r="B306" i="1"/>
  <c r="C306" i="1"/>
  <c r="D306" i="1"/>
  <c r="E306" i="1"/>
  <c r="F306" i="1"/>
  <c r="G306" i="1"/>
  <c r="H306" i="1"/>
  <c r="I306" i="1"/>
  <c r="J306" i="1"/>
  <c r="K306" i="1"/>
  <c r="L306" i="1"/>
  <c r="M306" i="1"/>
  <c r="U306" i="1"/>
  <c r="V306" i="1"/>
  <c r="W306" i="1"/>
  <c r="X306" i="1"/>
  <c r="Z306" i="1"/>
  <c r="B307" i="1"/>
  <c r="C307" i="1"/>
  <c r="D307" i="1"/>
  <c r="E307" i="1"/>
  <c r="F307" i="1"/>
  <c r="G307" i="1"/>
  <c r="H307" i="1"/>
  <c r="I307" i="1"/>
  <c r="J307" i="1"/>
  <c r="K307" i="1"/>
  <c r="L307" i="1"/>
  <c r="M307" i="1"/>
  <c r="U307" i="1"/>
  <c r="V307" i="1"/>
  <c r="W307" i="1"/>
  <c r="X307" i="1"/>
  <c r="Z307" i="1"/>
  <c r="B308" i="1"/>
  <c r="C308" i="1"/>
  <c r="D308" i="1"/>
  <c r="E308" i="1"/>
  <c r="F308" i="1"/>
  <c r="G308" i="1"/>
  <c r="H308" i="1"/>
  <c r="I308" i="1"/>
  <c r="J308" i="1"/>
  <c r="K308" i="1"/>
  <c r="L308" i="1"/>
  <c r="M308" i="1"/>
  <c r="U308" i="1"/>
  <c r="V308" i="1"/>
  <c r="W308" i="1"/>
  <c r="X308" i="1"/>
  <c r="Z308" i="1"/>
  <c r="B309" i="1"/>
  <c r="C309" i="1"/>
  <c r="D309" i="1"/>
  <c r="E309" i="1"/>
  <c r="F309" i="1"/>
  <c r="G309" i="1"/>
  <c r="H309" i="1"/>
  <c r="I309" i="1"/>
  <c r="J309" i="1"/>
  <c r="K309" i="1"/>
  <c r="L309" i="1"/>
  <c r="M309" i="1"/>
  <c r="U309" i="1"/>
  <c r="V309" i="1"/>
  <c r="W309" i="1"/>
  <c r="X309" i="1"/>
  <c r="Z309" i="1"/>
  <c r="B310" i="1"/>
  <c r="C310" i="1"/>
  <c r="D310" i="1"/>
  <c r="E310" i="1"/>
  <c r="F310" i="1"/>
  <c r="G310" i="1"/>
  <c r="H310" i="1"/>
  <c r="I310" i="1"/>
  <c r="J310" i="1"/>
  <c r="K310" i="1"/>
  <c r="L310" i="1"/>
  <c r="M310" i="1"/>
  <c r="U310" i="1"/>
  <c r="V310" i="1"/>
  <c r="W310" i="1"/>
  <c r="X310" i="1"/>
  <c r="Z310" i="1"/>
  <c r="B311" i="1"/>
  <c r="C311" i="1"/>
  <c r="D311" i="1"/>
  <c r="E311" i="1"/>
  <c r="F311" i="1"/>
  <c r="G311" i="1"/>
  <c r="H311" i="1"/>
  <c r="I311" i="1"/>
  <c r="J311" i="1"/>
  <c r="K311" i="1"/>
  <c r="L311" i="1"/>
  <c r="M311" i="1"/>
  <c r="U311" i="1"/>
  <c r="V311" i="1"/>
  <c r="W311" i="1"/>
  <c r="X311" i="1"/>
  <c r="Z311" i="1"/>
  <c r="B312" i="1"/>
  <c r="C312" i="1"/>
  <c r="D312" i="1"/>
  <c r="E312" i="1"/>
  <c r="F312" i="1"/>
  <c r="G312" i="1"/>
  <c r="H312" i="1"/>
  <c r="I312" i="1"/>
  <c r="J312" i="1"/>
  <c r="K312" i="1"/>
  <c r="L312" i="1"/>
  <c r="M312" i="1"/>
  <c r="U312" i="1"/>
  <c r="V312" i="1"/>
  <c r="W312" i="1"/>
  <c r="X312" i="1"/>
  <c r="Z312" i="1"/>
  <c r="B313" i="1"/>
  <c r="C313" i="1"/>
  <c r="D313" i="1"/>
  <c r="E313" i="1"/>
  <c r="F313" i="1"/>
  <c r="G313" i="1"/>
  <c r="H313" i="1"/>
  <c r="I313" i="1"/>
  <c r="J313" i="1"/>
  <c r="K313" i="1"/>
  <c r="L313" i="1"/>
  <c r="M313" i="1"/>
  <c r="U313" i="1"/>
  <c r="V313" i="1"/>
  <c r="W313" i="1"/>
  <c r="X313" i="1"/>
  <c r="Z313" i="1"/>
  <c r="B314" i="1"/>
  <c r="C314" i="1"/>
  <c r="D314" i="1"/>
  <c r="E314" i="1"/>
  <c r="F314" i="1"/>
  <c r="G314" i="1"/>
  <c r="H314" i="1"/>
  <c r="I314" i="1"/>
  <c r="J314" i="1"/>
  <c r="K314" i="1"/>
  <c r="L314" i="1"/>
  <c r="M314" i="1"/>
  <c r="U314" i="1"/>
  <c r="V314" i="1"/>
  <c r="W314" i="1"/>
  <c r="X314" i="1"/>
  <c r="Z314" i="1"/>
  <c r="B315" i="1"/>
  <c r="C315" i="1"/>
  <c r="D315" i="1"/>
  <c r="E315" i="1"/>
  <c r="F315" i="1"/>
  <c r="G315" i="1"/>
  <c r="H315" i="1"/>
  <c r="I315" i="1"/>
  <c r="J315" i="1"/>
  <c r="K315" i="1"/>
  <c r="L315" i="1"/>
  <c r="M315" i="1"/>
  <c r="U315" i="1"/>
  <c r="V315" i="1"/>
  <c r="W315" i="1"/>
  <c r="X315" i="1"/>
  <c r="Z315" i="1"/>
  <c r="B316" i="1"/>
  <c r="C316" i="1"/>
  <c r="D316" i="1"/>
  <c r="E316" i="1"/>
  <c r="F316" i="1"/>
  <c r="G316" i="1"/>
  <c r="H316" i="1"/>
  <c r="I316" i="1"/>
  <c r="J316" i="1"/>
  <c r="K316" i="1"/>
  <c r="L316" i="1"/>
  <c r="M316" i="1"/>
  <c r="U316" i="1"/>
  <c r="V316" i="1"/>
  <c r="W316" i="1"/>
  <c r="X316" i="1"/>
  <c r="Z316" i="1"/>
  <c r="B317" i="1"/>
  <c r="C317" i="1"/>
  <c r="D317" i="1"/>
  <c r="E317" i="1"/>
  <c r="F317" i="1"/>
  <c r="G317" i="1"/>
  <c r="H317" i="1"/>
  <c r="I317" i="1"/>
  <c r="J317" i="1"/>
  <c r="K317" i="1"/>
  <c r="L317" i="1"/>
  <c r="M317" i="1"/>
  <c r="U317" i="1"/>
  <c r="V317" i="1"/>
  <c r="W317" i="1"/>
  <c r="X317" i="1"/>
  <c r="Z317" i="1"/>
  <c r="B318" i="1"/>
  <c r="C318" i="1"/>
  <c r="D318" i="1"/>
  <c r="E318" i="1"/>
  <c r="F318" i="1"/>
  <c r="G318" i="1"/>
  <c r="H318" i="1"/>
  <c r="I318" i="1"/>
  <c r="J318" i="1"/>
  <c r="K318" i="1"/>
  <c r="L318" i="1"/>
  <c r="M318" i="1"/>
  <c r="U318" i="1"/>
  <c r="V318" i="1"/>
  <c r="W318" i="1"/>
  <c r="X318" i="1"/>
  <c r="Z318" i="1"/>
  <c r="B319" i="1"/>
  <c r="C319" i="1"/>
  <c r="D319" i="1"/>
  <c r="E319" i="1"/>
  <c r="F319" i="1"/>
  <c r="G319" i="1"/>
  <c r="H319" i="1"/>
  <c r="I319" i="1"/>
  <c r="J319" i="1"/>
  <c r="K319" i="1"/>
  <c r="L319" i="1"/>
  <c r="M319" i="1"/>
  <c r="U319" i="1"/>
  <c r="V319" i="1"/>
  <c r="W319" i="1"/>
  <c r="X319" i="1"/>
  <c r="Z319" i="1"/>
  <c r="B320" i="1"/>
  <c r="C320" i="1"/>
  <c r="D320" i="1"/>
  <c r="E320" i="1"/>
  <c r="F320" i="1"/>
  <c r="G320" i="1"/>
  <c r="H320" i="1"/>
  <c r="I320" i="1"/>
  <c r="J320" i="1"/>
  <c r="K320" i="1"/>
  <c r="L320" i="1"/>
  <c r="M320" i="1"/>
  <c r="U320" i="1"/>
  <c r="V320" i="1"/>
  <c r="W320" i="1"/>
  <c r="X320" i="1"/>
  <c r="Z320" i="1"/>
  <c r="B321" i="1"/>
  <c r="C321" i="1"/>
  <c r="D321" i="1"/>
  <c r="E321" i="1"/>
  <c r="F321" i="1"/>
  <c r="G321" i="1"/>
  <c r="H321" i="1"/>
  <c r="I321" i="1"/>
  <c r="J321" i="1"/>
  <c r="K321" i="1"/>
  <c r="L321" i="1"/>
  <c r="M321" i="1"/>
  <c r="U321" i="1"/>
  <c r="V321" i="1"/>
  <c r="W321" i="1"/>
  <c r="X321" i="1"/>
  <c r="Z321" i="1"/>
  <c r="B322" i="1"/>
  <c r="C322" i="1"/>
  <c r="D322" i="1"/>
  <c r="E322" i="1"/>
  <c r="F322" i="1"/>
  <c r="G322" i="1"/>
  <c r="H322" i="1"/>
  <c r="I322" i="1"/>
  <c r="J322" i="1"/>
  <c r="K322" i="1"/>
  <c r="L322" i="1"/>
  <c r="M322" i="1"/>
  <c r="U322" i="1"/>
  <c r="V322" i="1"/>
  <c r="W322" i="1"/>
  <c r="X322" i="1"/>
  <c r="Z322" i="1"/>
  <c r="B323" i="1"/>
  <c r="C323" i="1"/>
  <c r="D323" i="1"/>
  <c r="E323" i="1"/>
  <c r="F323" i="1"/>
  <c r="G323" i="1"/>
  <c r="H323" i="1"/>
  <c r="I323" i="1"/>
  <c r="J323" i="1"/>
  <c r="K323" i="1"/>
  <c r="L323" i="1"/>
  <c r="M323" i="1"/>
  <c r="U323" i="1"/>
  <c r="V323" i="1"/>
  <c r="W323" i="1"/>
  <c r="X323" i="1"/>
  <c r="Z323" i="1"/>
  <c r="B324" i="1"/>
  <c r="C324" i="1"/>
  <c r="D324" i="1"/>
  <c r="E324" i="1"/>
  <c r="F324" i="1"/>
  <c r="G324" i="1"/>
  <c r="H324" i="1"/>
  <c r="I324" i="1"/>
  <c r="J324" i="1"/>
  <c r="K324" i="1"/>
  <c r="L324" i="1"/>
  <c r="M324" i="1"/>
  <c r="U324" i="1"/>
  <c r="V324" i="1"/>
  <c r="W324" i="1"/>
  <c r="X324" i="1"/>
  <c r="Z324" i="1"/>
  <c r="B325" i="1"/>
  <c r="C325" i="1"/>
  <c r="D325" i="1"/>
  <c r="E325" i="1"/>
  <c r="F325" i="1"/>
  <c r="G325" i="1"/>
  <c r="H325" i="1"/>
  <c r="I325" i="1"/>
  <c r="J325" i="1"/>
  <c r="K325" i="1"/>
  <c r="L325" i="1"/>
  <c r="M325" i="1"/>
  <c r="U325" i="1"/>
  <c r="V325" i="1"/>
  <c r="W325" i="1"/>
  <c r="X325" i="1"/>
  <c r="Z325" i="1"/>
  <c r="B326" i="1"/>
  <c r="C326" i="1"/>
  <c r="D326" i="1"/>
  <c r="E326" i="1"/>
  <c r="F326" i="1"/>
  <c r="G326" i="1"/>
  <c r="H326" i="1"/>
  <c r="I326" i="1"/>
  <c r="J326" i="1"/>
  <c r="K326" i="1"/>
  <c r="L326" i="1"/>
  <c r="M326" i="1"/>
  <c r="U326" i="1"/>
  <c r="V326" i="1"/>
  <c r="W326" i="1"/>
  <c r="X326" i="1"/>
  <c r="Z326" i="1"/>
  <c r="B327" i="1"/>
  <c r="C327" i="1"/>
  <c r="D327" i="1"/>
  <c r="E327" i="1"/>
  <c r="F327" i="1"/>
  <c r="G327" i="1"/>
  <c r="H327" i="1"/>
  <c r="I327" i="1"/>
  <c r="J327" i="1"/>
  <c r="K327" i="1"/>
  <c r="L327" i="1"/>
  <c r="M327" i="1"/>
  <c r="U327" i="1"/>
  <c r="V327" i="1"/>
  <c r="W327" i="1"/>
  <c r="X327" i="1"/>
  <c r="Z327" i="1"/>
  <c r="B328" i="1"/>
  <c r="C328" i="1"/>
  <c r="D328" i="1"/>
  <c r="E328" i="1"/>
  <c r="F328" i="1"/>
  <c r="G328" i="1"/>
  <c r="H328" i="1"/>
  <c r="I328" i="1"/>
  <c r="J328" i="1"/>
  <c r="K328" i="1"/>
  <c r="L328" i="1"/>
  <c r="M328" i="1"/>
  <c r="U328" i="1"/>
  <c r="V328" i="1"/>
  <c r="W328" i="1"/>
  <c r="X328" i="1"/>
  <c r="Z328" i="1"/>
  <c r="B329" i="1"/>
  <c r="C329" i="1"/>
  <c r="D329" i="1"/>
  <c r="E329" i="1"/>
  <c r="F329" i="1"/>
  <c r="G329" i="1"/>
  <c r="H329" i="1"/>
  <c r="I329" i="1"/>
  <c r="J329" i="1"/>
  <c r="K329" i="1"/>
  <c r="L329" i="1"/>
  <c r="M329" i="1"/>
  <c r="U329" i="1"/>
  <c r="V329" i="1"/>
  <c r="W329" i="1"/>
  <c r="X329" i="1"/>
  <c r="Z329" i="1"/>
  <c r="B330" i="1"/>
  <c r="C330" i="1"/>
  <c r="D330" i="1"/>
  <c r="E330" i="1"/>
  <c r="F330" i="1"/>
  <c r="G330" i="1"/>
  <c r="H330" i="1"/>
  <c r="I330" i="1"/>
  <c r="J330" i="1"/>
  <c r="K330" i="1"/>
  <c r="L330" i="1"/>
  <c r="M330" i="1"/>
  <c r="U330" i="1"/>
  <c r="V330" i="1"/>
  <c r="W330" i="1"/>
  <c r="X330" i="1"/>
  <c r="Z330" i="1"/>
  <c r="B331" i="1"/>
  <c r="C331" i="1"/>
  <c r="D331" i="1"/>
  <c r="E331" i="1"/>
  <c r="F331" i="1"/>
  <c r="G331" i="1"/>
  <c r="H331" i="1"/>
  <c r="I331" i="1"/>
  <c r="J331" i="1"/>
  <c r="K331" i="1"/>
  <c r="L331" i="1"/>
  <c r="M331" i="1"/>
  <c r="U331" i="1"/>
  <c r="V331" i="1"/>
  <c r="W331" i="1"/>
  <c r="X331" i="1"/>
  <c r="Z331" i="1"/>
  <c r="B332" i="1"/>
  <c r="C332" i="1"/>
  <c r="D332" i="1"/>
  <c r="E332" i="1"/>
  <c r="F332" i="1"/>
  <c r="G332" i="1"/>
  <c r="H332" i="1"/>
  <c r="I332" i="1"/>
  <c r="J332" i="1"/>
  <c r="K332" i="1"/>
  <c r="L332" i="1"/>
  <c r="M332" i="1"/>
  <c r="U332" i="1"/>
  <c r="V332" i="1"/>
  <c r="W332" i="1"/>
  <c r="X332" i="1"/>
  <c r="Z332" i="1"/>
  <c r="B333" i="1"/>
  <c r="C333" i="1"/>
  <c r="D333" i="1"/>
  <c r="E333" i="1"/>
  <c r="F333" i="1"/>
  <c r="G333" i="1"/>
  <c r="H333" i="1"/>
  <c r="I333" i="1"/>
  <c r="J333" i="1"/>
  <c r="K333" i="1"/>
  <c r="L333" i="1"/>
  <c r="M333" i="1"/>
  <c r="U333" i="1"/>
  <c r="V333" i="1"/>
  <c r="W333" i="1"/>
  <c r="X333" i="1"/>
  <c r="Z333" i="1"/>
  <c r="B334" i="1"/>
  <c r="C334" i="1"/>
  <c r="D334" i="1"/>
  <c r="E334" i="1"/>
  <c r="F334" i="1"/>
  <c r="G334" i="1"/>
  <c r="H334" i="1"/>
  <c r="I334" i="1"/>
  <c r="J334" i="1"/>
  <c r="K334" i="1"/>
  <c r="L334" i="1"/>
  <c r="M334" i="1"/>
  <c r="U334" i="1"/>
  <c r="V334" i="1"/>
  <c r="W334" i="1"/>
  <c r="X334" i="1"/>
  <c r="Z334" i="1"/>
  <c r="B335" i="1"/>
  <c r="C335" i="1"/>
  <c r="D335" i="1"/>
  <c r="E335" i="1"/>
  <c r="F335" i="1"/>
  <c r="G335" i="1"/>
  <c r="H335" i="1"/>
  <c r="I335" i="1"/>
  <c r="J335" i="1"/>
  <c r="K335" i="1"/>
  <c r="L335" i="1"/>
  <c r="M335" i="1"/>
  <c r="U335" i="1"/>
  <c r="V335" i="1"/>
  <c r="W335" i="1"/>
  <c r="X335" i="1"/>
  <c r="Z335" i="1"/>
  <c r="B336" i="1"/>
  <c r="C336" i="1"/>
  <c r="D336" i="1"/>
  <c r="E336" i="1"/>
  <c r="F336" i="1"/>
  <c r="G336" i="1"/>
  <c r="H336" i="1"/>
  <c r="I336" i="1"/>
  <c r="J336" i="1"/>
  <c r="K336" i="1"/>
  <c r="L336" i="1"/>
  <c r="M336" i="1"/>
  <c r="U336" i="1"/>
  <c r="V336" i="1"/>
  <c r="W336" i="1"/>
  <c r="X336" i="1"/>
  <c r="Z336" i="1"/>
  <c r="B337" i="1"/>
  <c r="C337" i="1"/>
  <c r="D337" i="1"/>
  <c r="E337" i="1"/>
  <c r="F337" i="1"/>
  <c r="G337" i="1"/>
  <c r="H337" i="1"/>
  <c r="I337" i="1"/>
  <c r="J337" i="1"/>
  <c r="K337" i="1"/>
  <c r="L337" i="1"/>
  <c r="M337" i="1"/>
  <c r="U337" i="1"/>
  <c r="V337" i="1"/>
  <c r="W337" i="1"/>
  <c r="X337" i="1"/>
  <c r="Z337" i="1"/>
  <c r="B338" i="1"/>
  <c r="C338" i="1"/>
  <c r="D338" i="1"/>
  <c r="E338" i="1"/>
  <c r="F338" i="1"/>
  <c r="G338" i="1"/>
  <c r="H338" i="1"/>
  <c r="I338" i="1"/>
  <c r="J338" i="1"/>
  <c r="K338" i="1"/>
  <c r="L338" i="1"/>
  <c r="M338" i="1"/>
  <c r="U338" i="1"/>
  <c r="V338" i="1"/>
  <c r="W338" i="1"/>
  <c r="X338" i="1"/>
  <c r="Z338" i="1"/>
  <c r="B339" i="1"/>
  <c r="C339" i="1"/>
  <c r="D339" i="1"/>
  <c r="E339" i="1"/>
  <c r="F339" i="1"/>
  <c r="G339" i="1"/>
  <c r="H339" i="1"/>
  <c r="I339" i="1"/>
  <c r="J339" i="1"/>
  <c r="K339" i="1"/>
  <c r="L339" i="1"/>
  <c r="M339" i="1"/>
  <c r="U339" i="1"/>
  <c r="V339" i="1"/>
  <c r="W339" i="1"/>
  <c r="X339" i="1"/>
  <c r="Z339" i="1"/>
  <c r="B340" i="1"/>
  <c r="C340" i="1"/>
  <c r="D340" i="1"/>
  <c r="E340" i="1"/>
  <c r="F340" i="1"/>
  <c r="G340" i="1"/>
  <c r="H340" i="1"/>
  <c r="I340" i="1"/>
  <c r="J340" i="1"/>
  <c r="K340" i="1"/>
  <c r="L340" i="1"/>
  <c r="M340" i="1"/>
  <c r="U340" i="1"/>
  <c r="V340" i="1"/>
  <c r="W340" i="1"/>
  <c r="X340" i="1"/>
  <c r="Z340" i="1"/>
  <c r="B341" i="1"/>
  <c r="C341" i="1"/>
  <c r="D341" i="1"/>
  <c r="E341" i="1"/>
  <c r="F341" i="1"/>
  <c r="G341" i="1"/>
  <c r="H341" i="1"/>
  <c r="I341" i="1"/>
  <c r="J341" i="1"/>
  <c r="K341" i="1"/>
  <c r="L341" i="1"/>
  <c r="M341" i="1"/>
  <c r="U341" i="1"/>
  <c r="V341" i="1"/>
  <c r="W341" i="1"/>
  <c r="X341" i="1"/>
  <c r="Z341" i="1"/>
  <c r="B342" i="1"/>
  <c r="C342" i="1"/>
  <c r="D342" i="1"/>
  <c r="E342" i="1"/>
  <c r="F342" i="1"/>
  <c r="G342" i="1"/>
  <c r="H342" i="1"/>
  <c r="I342" i="1"/>
  <c r="J342" i="1"/>
  <c r="K342" i="1"/>
  <c r="L342" i="1"/>
  <c r="M342" i="1"/>
  <c r="U342" i="1"/>
  <c r="V342" i="1"/>
  <c r="W342" i="1"/>
  <c r="X342" i="1"/>
  <c r="Z342" i="1"/>
  <c r="B343" i="1"/>
  <c r="C343" i="1"/>
  <c r="D343" i="1"/>
  <c r="E343" i="1"/>
  <c r="F343" i="1"/>
  <c r="G343" i="1"/>
  <c r="H343" i="1"/>
  <c r="I343" i="1"/>
  <c r="J343" i="1"/>
  <c r="K343" i="1"/>
  <c r="L343" i="1"/>
  <c r="M343" i="1"/>
  <c r="U343" i="1"/>
  <c r="V343" i="1"/>
  <c r="W343" i="1"/>
  <c r="X343" i="1"/>
  <c r="Z343" i="1"/>
  <c r="B344" i="1"/>
  <c r="C344" i="1"/>
  <c r="D344" i="1"/>
  <c r="E344" i="1"/>
  <c r="F344" i="1"/>
  <c r="G344" i="1"/>
  <c r="H344" i="1"/>
  <c r="I344" i="1"/>
  <c r="J344" i="1"/>
  <c r="K344" i="1"/>
  <c r="L344" i="1"/>
  <c r="M344" i="1"/>
  <c r="U344" i="1"/>
  <c r="V344" i="1"/>
  <c r="W344" i="1"/>
  <c r="X344" i="1"/>
  <c r="Z344" i="1"/>
  <c r="B345" i="1"/>
  <c r="C345" i="1"/>
  <c r="D345" i="1"/>
  <c r="E345" i="1"/>
  <c r="F345" i="1"/>
  <c r="G345" i="1"/>
  <c r="H345" i="1"/>
  <c r="I345" i="1"/>
  <c r="J345" i="1"/>
  <c r="K345" i="1"/>
  <c r="L345" i="1"/>
  <c r="M345" i="1"/>
  <c r="U345" i="1"/>
  <c r="V345" i="1"/>
  <c r="W345" i="1"/>
  <c r="X345" i="1"/>
  <c r="Z345" i="1"/>
  <c r="B346" i="1"/>
  <c r="C346" i="1"/>
  <c r="D346" i="1"/>
  <c r="E346" i="1"/>
  <c r="F346" i="1"/>
  <c r="G346" i="1"/>
  <c r="H346" i="1"/>
  <c r="I346" i="1"/>
  <c r="J346" i="1"/>
  <c r="K346" i="1"/>
  <c r="L346" i="1"/>
  <c r="M346" i="1"/>
  <c r="U346" i="1"/>
  <c r="V346" i="1"/>
  <c r="W346" i="1"/>
  <c r="X346" i="1"/>
  <c r="Z346" i="1"/>
  <c r="B347" i="1"/>
  <c r="C347" i="1"/>
  <c r="D347" i="1"/>
  <c r="E347" i="1"/>
  <c r="F347" i="1"/>
  <c r="G347" i="1"/>
  <c r="H347" i="1"/>
  <c r="I347" i="1"/>
  <c r="J347" i="1"/>
  <c r="K347" i="1"/>
  <c r="L347" i="1"/>
  <c r="M347" i="1"/>
  <c r="U347" i="1"/>
  <c r="V347" i="1"/>
  <c r="W347" i="1"/>
  <c r="X347" i="1"/>
  <c r="Z347" i="1"/>
  <c r="B348" i="1"/>
  <c r="C348" i="1"/>
  <c r="D348" i="1"/>
  <c r="E348" i="1"/>
  <c r="F348" i="1"/>
  <c r="G348" i="1"/>
  <c r="H348" i="1"/>
  <c r="I348" i="1"/>
  <c r="J348" i="1"/>
  <c r="K348" i="1"/>
  <c r="L348" i="1"/>
  <c r="M348" i="1"/>
  <c r="U348" i="1"/>
  <c r="V348" i="1"/>
  <c r="W348" i="1"/>
  <c r="X348" i="1"/>
  <c r="Z348" i="1"/>
  <c r="B349" i="1"/>
  <c r="C349" i="1"/>
  <c r="D349" i="1"/>
  <c r="E349" i="1"/>
  <c r="F349" i="1"/>
  <c r="G349" i="1"/>
  <c r="H349" i="1"/>
  <c r="I349" i="1"/>
  <c r="J349" i="1"/>
  <c r="K349" i="1"/>
  <c r="L349" i="1"/>
  <c r="M349" i="1"/>
  <c r="U349" i="1"/>
  <c r="V349" i="1"/>
  <c r="W349" i="1"/>
  <c r="X349" i="1"/>
  <c r="Z349" i="1"/>
  <c r="B350" i="1"/>
  <c r="C350" i="1"/>
  <c r="D350" i="1"/>
  <c r="E350" i="1"/>
  <c r="F350" i="1"/>
  <c r="G350" i="1"/>
  <c r="H350" i="1"/>
  <c r="I350" i="1"/>
  <c r="J350" i="1"/>
  <c r="K350" i="1"/>
  <c r="L350" i="1"/>
  <c r="M350" i="1"/>
  <c r="U350" i="1"/>
  <c r="V350" i="1"/>
  <c r="W350" i="1"/>
  <c r="X350" i="1"/>
  <c r="Z350" i="1"/>
  <c r="B351" i="1"/>
  <c r="C351" i="1"/>
  <c r="D351" i="1"/>
  <c r="E351" i="1"/>
  <c r="F351" i="1"/>
  <c r="G351" i="1"/>
  <c r="H351" i="1"/>
  <c r="I351" i="1"/>
  <c r="J351" i="1"/>
  <c r="K351" i="1"/>
  <c r="L351" i="1"/>
  <c r="M351" i="1"/>
  <c r="U351" i="1"/>
  <c r="V351" i="1"/>
  <c r="W351" i="1"/>
  <c r="X351" i="1"/>
  <c r="Z351" i="1"/>
  <c r="B352" i="1"/>
  <c r="C352" i="1"/>
  <c r="D352" i="1"/>
  <c r="E352" i="1"/>
  <c r="F352" i="1"/>
  <c r="G352" i="1"/>
  <c r="H352" i="1"/>
  <c r="I352" i="1"/>
  <c r="J352" i="1"/>
  <c r="K352" i="1"/>
  <c r="L352" i="1"/>
  <c r="M352" i="1"/>
  <c r="U352" i="1"/>
  <c r="V352" i="1"/>
  <c r="W352" i="1"/>
  <c r="X352" i="1"/>
  <c r="Z352" i="1"/>
  <c r="B353" i="1"/>
  <c r="C353" i="1"/>
  <c r="D353" i="1"/>
  <c r="E353" i="1"/>
  <c r="F353" i="1"/>
  <c r="G353" i="1"/>
  <c r="H353" i="1"/>
  <c r="I353" i="1"/>
  <c r="J353" i="1"/>
  <c r="K353" i="1"/>
  <c r="L353" i="1"/>
  <c r="M353" i="1"/>
  <c r="U353" i="1"/>
  <c r="V353" i="1"/>
  <c r="W353" i="1"/>
  <c r="X353" i="1"/>
  <c r="Z353" i="1"/>
  <c r="B354" i="1"/>
  <c r="C354" i="1"/>
  <c r="D354" i="1"/>
  <c r="E354" i="1"/>
  <c r="F354" i="1"/>
  <c r="G354" i="1"/>
  <c r="H354" i="1"/>
  <c r="I354" i="1"/>
  <c r="J354" i="1"/>
  <c r="K354" i="1"/>
  <c r="L354" i="1"/>
  <c r="M354" i="1"/>
  <c r="U354" i="1"/>
  <c r="V354" i="1"/>
  <c r="W354" i="1"/>
  <c r="X354" i="1"/>
  <c r="Z354" i="1"/>
  <c r="B355" i="1"/>
  <c r="C355" i="1"/>
  <c r="D355" i="1"/>
  <c r="E355" i="1"/>
  <c r="F355" i="1"/>
  <c r="G355" i="1"/>
  <c r="H355" i="1"/>
  <c r="I355" i="1"/>
  <c r="J355" i="1"/>
  <c r="K355" i="1"/>
  <c r="L355" i="1"/>
  <c r="M355" i="1"/>
  <c r="U355" i="1"/>
  <c r="V355" i="1"/>
  <c r="W355" i="1"/>
  <c r="X355" i="1"/>
  <c r="Z355" i="1"/>
  <c r="B356" i="1"/>
  <c r="C356" i="1"/>
  <c r="D356" i="1"/>
  <c r="E356" i="1"/>
  <c r="F356" i="1"/>
  <c r="G356" i="1"/>
  <c r="H356" i="1"/>
  <c r="I356" i="1"/>
  <c r="J356" i="1"/>
  <c r="K356" i="1"/>
  <c r="L356" i="1"/>
  <c r="M356" i="1"/>
  <c r="U356" i="1"/>
  <c r="V356" i="1"/>
  <c r="W356" i="1"/>
  <c r="X356" i="1"/>
  <c r="Z356" i="1"/>
  <c r="B357" i="1"/>
  <c r="C357" i="1"/>
  <c r="D357" i="1"/>
  <c r="E357" i="1"/>
  <c r="F357" i="1"/>
  <c r="G357" i="1"/>
  <c r="H357" i="1"/>
  <c r="I357" i="1"/>
  <c r="J357" i="1"/>
  <c r="K357" i="1"/>
  <c r="L357" i="1"/>
  <c r="M357" i="1"/>
  <c r="U357" i="1"/>
  <c r="V357" i="1"/>
  <c r="W357" i="1"/>
  <c r="X357" i="1"/>
  <c r="Z357" i="1"/>
  <c r="B358" i="1"/>
  <c r="C358" i="1"/>
  <c r="D358" i="1"/>
  <c r="E358" i="1"/>
  <c r="F358" i="1"/>
  <c r="G358" i="1"/>
  <c r="H358" i="1"/>
  <c r="I358" i="1"/>
  <c r="J358" i="1"/>
  <c r="K358" i="1"/>
  <c r="L358" i="1"/>
  <c r="M358" i="1"/>
  <c r="U358" i="1"/>
  <c r="V358" i="1"/>
  <c r="W358" i="1"/>
  <c r="X358" i="1"/>
  <c r="Z358" i="1"/>
  <c r="B359" i="1"/>
  <c r="C359" i="1"/>
  <c r="D359" i="1"/>
  <c r="E359" i="1"/>
  <c r="F359" i="1"/>
  <c r="G359" i="1"/>
  <c r="H359" i="1"/>
  <c r="I359" i="1"/>
  <c r="J359" i="1"/>
  <c r="K359" i="1"/>
  <c r="L359" i="1"/>
  <c r="M359" i="1"/>
  <c r="U359" i="1"/>
  <c r="V359" i="1"/>
  <c r="W359" i="1"/>
  <c r="X359" i="1"/>
  <c r="Z359" i="1"/>
  <c r="B360" i="1"/>
  <c r="C360" i="1"/>
  <c r="D360" i="1"/>
  <c r="E360" i="1"/>
  <c r="F360" i="1"/>
  <c r="G360" i="1"/>
  <c r="H360" i="1"/>
  <c r="I360" i="1"/>
  <c r="J360" i="1"/>
  <c r="K360" i="1"/>
  <c r="L360" i="1"/>
  <c r="M360" i="1"/>
  <c r="U360" i="1"/>
  <c r="V360" i="1"/>
  <c r="W360" i="1"/>
  <c r="X360" i="1"/>
  <c r="Z360" i="1"/>
  <c r="B361" i="1"/>
  <c r="C361" i="1"/>
  <c r="D361" i="1"/>
  <c r="E361" i="1"/>
  <c r="F361" i="1"/>
  <c r="G361" i="1"/>
  <c r="H361" i="1"/>
  <c r="I361" i="1"/>
  <c r="J361" i="1"/>
  <c r="K361" i="1"/>
  <c r="L361" i="1"/>
  <c r="M361" i="1"/>
  <c r="U361" i="1"/>
  <c r="V361" i="1"/>
  <c r="W361" i="1"/>
  <c r="X361" i="1"/>
  <c r="Z361" i="1"/>
  <c r="B362" i="1"/>
  <c r="C362" i="1"/>
  <c r="D362" i="1"/>
  <c r="E362" i="1"/>
  <c r="F362" i="1"/>
  <c r="G362" i="1"/>
  <c r="H362" i="1"/>
  <c r="I362" i="1"/>
  <c r="J362" i="1"/>
  <c r="K362" i="1"/>
  <c r="L362" i="1"/>
  <c r="M362" i="1"/>
  <c r="U362" i="1"/>
  <c r="V362" i="1"/>
  <c r="W362" i="1"/>
  <c r="X362" i="1"/>
  <c r="Z362" i="1"/>
  <c r="B363" i="1"/>
  <c r="C363" i="1"/>
  <c r="D363" i="1"/>
  <c r="E363" i="1"/>
  <c r="F363" i="1"/>
  <c r="G363" i="1"/>
  <c r="H363" i="1"/>
  <c r="I363" i="1"/>
  <c r="J363" i="1"/>
  <c r="K363" i="1"/>
  <c r="L363" i="1"/>
  <c r="M363" i="1"/>
  <c r="U363" i="1"/>
  <c r="V363" i="1"/>
  <c r="W363" i="1"/>
  <c r="X363" i="1"/>
  <c r="Z363" i="1"/>
  <c r="B364" i="1"/>
  <c r="C364" i="1"/>
  <c r="D364" i="1"/>
  <c r="E364" i="1"/>
  <c r="F364" i="1"/>
  <c r="G364" i="1"/>
  <c r="H364" i="1"/>
  <c r="I364" i="1"/>
  <c r="J364" i="1"/>
  <c r="K364" i="1"/>
  <c r="L364" i="1"/>
  <c r="M364" i="1"/>
  <c r="U364" i="1"/>
  <c r="V364" i="1"/>
  <c r="W364" i="1"/>
  <c r="X364" i="1"/>
  <c r="Z364" i="1"/>
  <c r="B365" i="1"/>
  <c r="C365" i="1"/>
  <c r="D365" i="1"/>
  <c r="E365" i="1"/>
  <c r="F365" i="1"/>
  <c r="G365" i="1"/>
  <c r="H365" i="1"/>
  <c r="I365" i="1"/>
  <c r="J365" i="1"/>
  <c r="K365" i="1"/>
  <c r="L365" i="1"/>
  <c r="M365" i="1"/>
  <c r="U365" i="1"/>
  <c r="V365" i="1"/>
  <c r="W365" i="1"/>
  <c r="X365" i="1"/>
  <c r="Z365" i="1"/>
  <c r="B366" i="1"/>
  <c r="C366" i="1"/>
  <c r="D366" i="1"/>
  <c r="E366" i="1"/>
  <c r="F366" i="1"/>
  <c r="G366" i="1"/>
  <c r="H366" i="1"/>
  <c r="I366" i="1"/>
  <c r="J366" i="1"/>
  <c r="K366" i="1"/>
  <c r="L366" i="1"/>
  <c r="M366" i="1"/>
  <c r="U366" i="1"/>
  <c r="V366" i="1"/>
  <c r="W366" i="1"/>
  <c r="X366" i="1"/>
  <c r="Z366" i="1"/>
  <c r="B367" i="1"/>
  <c r="C367" i="1"/>
  <c r="D367" i="1"/>
  <c r="E367" i="1"/>
  <c r="F367" i="1"/>
  <c r="G367" i="1"/>
  <c r="H367" i="1"/>
  <c r="I367" i="1"/>
  <c r="J367" i="1"/>
  <c r="K367" i="1"/>
  <c r="L367" i="1"/>
  <c r="M367" i="1"/>
  <c r="U367" i="1"/>
  <c r="V367" i="1"/>
  <c r="W367" i="1"/>
  <c r="X367" i="1"/>
  <c r="Z367" i="1"/>
  <c r="B368" i="1"/>
  <c r="C368" i="1"/>
  <c r="D368" i="1"/>
  <c r="E368" i="1"/>
  <c r="F368" i="1"/>
  <c r="G368" i="1"/>
  <c r="H368" i="1"/>
  <c r="I368" i="1"/>
  <c r="J368" i="1"/>
  <c r="K368" i="1"/>
  <c r="L368" i="1"/>
  <c r="M368" i="1"/>
  <c r="U368" i="1"/>
  <c r="V368" i="1"/>
  <c r="W368" i="1"/>
  <c r="X368" i="1"/>
  <c r="Z368" i="1"/>
  <c r="B369" i="1"/>
  <c r="C369" i="1"/>
  <c r="D369" i="1"/>
  <c r="E369" i="1"/>
  <c r="F369" i="1"/>
  <c r="G369" i="1"/>
  <c r="H369" i="1"/>
  <c r="I369" i="1"/>
  <c r="J369" i="1"/>
  <c r="K369" i="1"/>
  <c r="L369" i="1"/>
  <c r="M369" i="1"/>
  <c r="U369" i="1"/>
  <c r="V369" i="1"/>
  <c r="W369" i="1"/>
  <c r="X369" i="1"/>
  <c r="Z369" i="1"/>
  <c r="B370" i="1"/>
  <c r="C370" i="1"/>
  <c r="D370" i="1"/>
  <c r="E370" i="1"/>
  <c r="F370" i="1"/>
  <c r="G370" i="1"/>
  <c r="H370" i="1"/>
  <c r="I370" i="1"/>
  <c r="J370" i="1"/>
  <c r="K370" i="1"/>
  <c r="L370" i="1"/>
  <c r="M370" i="1"/>
  <c r="U370" i="1"/>
  <c r="V370" i="1"/>
  <c r="W370" i="1"/>
  <c r="X370" i="1"/>
  <c r="Z370" i="1"/>
  <c r="B371" i="1"/>
  <c r="C371" i="1"/>
  <c r="D371" i="1"/>
  <c r="E371" i="1"/>
  <c r="F371" i="1"/>
  <c r="G371" i="1"/>
  <c r="H371" i="1"/>
  <c r="I371" i="1"/>
  <c r="J371" i="1"/>
  <c r="K371" i="1"/>
  <c r="L371" i="1"/>
  <c r="M371" i="1"/>
  <c r="U371" i="1"/>
  <c r="V371" i="1"/>
  <c r="W371" i="1"/>
  <c r="X371" i="1"/>
  <c r="Z371" i="1"/>
  <c r="B372" i="1"/>
  <c r="C372" i="1"/>
  <c r="D372" i="1"/>
  <c r="E372" i="1"/>
  <c r="F372" i="1"/>
  <c r="G372" i="1"/>
  <c r="H372" i="1"/>
  <c r="I372" i="1"/>
  <c r="J372" i="1"/>
  <c r="K372" i="1"/>
  <c r="L372" i="1"/>
  <c r="M372" i="1"/>
  <c r="U372" i="1"/>
  <c r="V372" i="1"/>
  <c r="W372" i="1"/>
  <c r="X372" i="1"/>
  <c r="Z372" i="1"/>
  <c r="B373" i="1"/>
  <c r="C373" i="1"/>
  <c r="D373" i="1"/>
  <c r="E373" i="1"/>
  <c r="F373" i="1"/>
  <c r="G373" i="1"/>
  <c r="H373" i="1"/>
  <c r="I373" i="1"/>
  <c r="J373" i="1"/>
  <c r="K373" i="1"/>
  <c r="L373" i="1"/>
  <c r="M373" i="1"/>
  <c r="U373" i="1"/>
  <c r="V373" i="1"/>
  <c r="W373" i="1"/>
  <c r="X373" i="1"/>
  <c r="Z373" i="1"/>
  <c r="B374" i="1"/>
  <c r="C374" i="1"/>
  <c r="D374" i="1"/>
  <c r="E374" i="1"/>
  <c r="F374" i="1"/>
  <c r="G374" i="1"/>
  <c r="H374" i="1"/>
  <c r="I374" i="1"/>
  <c r="J374" i="1"/>
  <c r="K374" i="1"/>
  <c r="L374" i="1"/>
  <c r="M374" i="1"/>
  <c r="U374" i="1"/>
  <c r="V374" i="1"/>
  <c r="W374" i="1"/>
  <c r="X374" i="1"/>
  <c r="Z374" i="1"/>
  <c r="B375" i="1"/>
  <c r="C375" i="1"/>
  <c r="D375" i="1"/>
  <c r="E375" i="1"/>
  <c r="F375" i="1"/>
  <c r="G375" i="1"/>
  <c r="H375" i="1"/>
  <c r="I375" i="1"/>
  <c r="J375" i="1"/>
  <c r="K375" i="1"/>
  <c r="L375" i="1"/>
  <c r="M375" i="1"/>
  <c r="U375" i="1"/>
  <c r="V375" i="1"/>
  <c r="W375" i="1"/>
  <c r="X375" i="1"/>
  <c r="Z375" i="1"/>
  <c r="B376" i="1"/>
  <c r="C376" i="1"/>
  <c r="D376" i="1"/>
  <c r="E376" i="1"/>
  <c r="F376" i="1"/>
  <c r="G376" i="1"/>
  <c r="H376" i="1"/>
  <c r="I376" i="1"/>
  <c r="J376" i="1"/>
  <c r="K376" i="1"/>
  <c r="L376" i="1"/>
  <c r="M376" i="1"/>
  <c r="U376" i="1"/>
  <c r="V376" i="1"/>
  <c r="W376" i="1"/>
  <c r="X376" i="1"/>
  <c r="Z376" i="1"/>
  <c r="B377" i="1"/>
  <c r="C377" i="1"/>
  <c r="D377" i="1"/>
  <c r="E377" i="1"/>
  <c r="F377" i="1"/>
  <c r="G377" i="1"/>
  <c r="H377" i="1"/>
  <c r="I377" i="1"/>
  <c r="J377" i="1"/>
  <c r="K377" i="1"/>
  <c r="L377" i="1"/>
  <c r="M377" i="1"/>
  <c r="U377" i="1"/>
  <c r="V377" i="1"/>
  <c r="W377" i="1"/>
  <c r="X377" i="1"/>
  <c r="Z377" i="1"/>
  <c r="B378" i="1"/>
  <c r="C378" i="1"/>
  <c r="D378" i="1"/>
  <c r="E378" i="1"/>
  <c r="F378" i="1"/>
  <c r="G378" i="1"/>
  <c r="H378" i="1"/>
  <c r="I378" i="1"/>
  <c r="J378" i="1"/>
  <c r="K378" i="1"/>
  <c r="L378" i="1"/>
  <c r="M378" i="1"/>
  <c r="U378" i="1"/>
  <c r="V378" i="1"/>
  <c r="W378" i="1"/>
  <c r="X378" i="1"/>
  <c r="Z378" i="1"/>
  <c r="B379" i="1"/>
  <c r="C379" i="1"/>
  <c r="D379" i="1"/>
  <c r="E379" i="1"/>
  <c r="F379" i="1"/>
  <c r="G379" i="1"/>
  <c r="H379" i="1"/>
  <c r="I379" i="1"/>
  <c r="J379" i="1"/>
  <c r="K379" i="1"/>
  <c r="L379" i="1"/>
  <c r="M379" i="1"/>
  <c r="U379" i="1"/>
  <c r="V379" i="1"/>
  <c r="W379" i="1"/>
  <c r="X379" i="1"/>
  <c r="Z379" i="1"/>
  <c r="B380" i="1"/>
  <c r="C380" i="1"/>
  <c r="D380" i="1"/>
  <c r="E380" i="1"/>
  <c r="F380" i="1"/>
  <c r="G380" i="1"/>
  <c r="H380" i="1"/>
  <c r="I380" i="1"/>
  <c r="J380" i="1"/>
  <c r="K380" i="1"/>
  <c r="L380" i="1"/>
  <c r="M380" i="1"/>
  <c r="U380" i="1"/>
  <c r="V380" i="1"/>
  <c r="W380" i="1"/>
  <c r="X380" i="1"/>
  <c r="Z380" i="1"/>
  <c r="B381" i="1"/>
  <c r="C381" i="1"/>
  <c r="D381" i="1"/>
  <c r="E381" i="1"/>
  <c r="F381" i="1"/>
  <c r="G381" i="1"/>
  <c r="H381" i="1"/>
  <c r="I381" i="1"/>
  <c r="J381" i="1"/>
  <c r="K381" i="1"/>
  <c r="L381" i="1"/>
  <c r="M381" i="1"/>
  <c r="U381" i="1"/>
  <c r="V381" i="1"/>
  <c r="W381" i="1"/>
  <c r="X381" i="1"/>
  <c r="Z381" i="1"/>
  <c r="B382" i="1"/>
  <c r="C382" i="1"/>
  <c r="D382" i="1"/>
  <c r="E382" i="1"/>
  <c r="F382" i="1"/>
  <c r="G382" i="1"/>
  <c r="H382" i="1"/>
  <c r="I382" i="1"/>
  <c r="J382" i="1"/>
  <c r="K382" i="1"/>
  <c r="L382" i="1"/>
  <c r="M382" i="1"/>
  <c r="U382" i="1"/>
  <c r="V382" i="1"/>
  <c r="W382" i="1"/>
  <c r="X382" i="1"/>
  <c r="Z382" i="1"/>
  <c r="B383" i="1"/>
  <c r="C383" i="1"/>
  <c r="D383" i="1"/>
  <c r="E383" i="1"/>
  <c r="F383" i="1"/>
  <c r="G383" i="1"/>
  <c r="H383" i="1"/>
  <c r="I383" i="1"/>
  <c r="J383" i="1"/>
  <c r="K383" i="1"/>
  <c r="L383" i="1"/>
  <c r="M383" i="1"/>
  <c r="U383" i="1"/>
  <c r="V383" i="1"/>
  <c r="W383" i="1"/>
  <c r="X383" i="1"/>
  <c r="Z383" i="1"/>
  <c r="B384" i="1"/>
  <c r="C384" i="1"/>
  <c r="D384" i="1"/>
  <c r="E384" i="1"/>
  <c r="F384" i="1"/>
  <c r="G384" i="1"/>
  <c r="H384" i="1"/>
  <c r="I384" i="1"/>
  <c r="J384" i="1"/>
  <c r="K384" i="1"/>
  <c r="L384" i="1"/>
  <c r="M384" i="1"/>
  <c r="U384" i="1"/>
  <c r="V384" i="1"/>
  <c r="W384" i="1"/>
  <c r="X384" i="1"/>
  <c r="Z384" i="1"/>
  <c r="B385" i="1"/>
  <c r="C385" i="1"/>
  <c r="D385" i="1"/>
  <c r="E385" i="1"/>
  <c r="F385" i="1"/>
  <c r="G385" i="1"/>
  <c r="H385" i="1"/>
  <c r="I385" i="1"/>
  <c r="J385" i="1"/>
  <c r="K385" i="1"/>
  <c r="L385" i="1"/>
  <c r="M385" i="1"/>
  <c r="U385" i="1"/>
  <c r="V385" i="1"/>
  <c r="W385" i="1"/>
  <c r="X385" i="1"/>
  <c r="Z385" i="1"/>
  <c r="B386" i="1"/>
  <c r="C386" i="1"/>
  <c r="D386" i="1"/>
  <c r="E386" i="1"/>
  <c r="F386" i="1"/>
  <c r="G386" i="1"/>
  <c r="H386" i="1"/>
  <c r="I386" i="1"/>
  <c r="J386" i="1"/>
  <c r="K386" i="1"/>
  <c r="L386" i="1"/>
  <c r="M386" i="1"/>
  <c r="U386" i="1"/>
  <c r="V386" i="1"/>
  <c r="W386" i="1"/>
  <c r="X386" i="1"/>
  <c r="Z386" i="1"/>
  <c r="B387" i="1"/>
  <c r="C387" i="1"/>
  <c r="D387" i="1"/>
  <c r="E387" i="1"/>
  <c r="F387" i="1"/>
  <c r="G387" i="1"/>
  <c r="H387" i="1"/>
  <c r="I387" i="1"/>
  <c r="J387" i="1"/>
  <c r="K387" i="1"/>
  <c r="L387" i="1"/>
  <c r="M387" i="1"/>
  <c r="U387" i="1"/>
  <c r="V387" i="1"/>
  <c r="W387" i="1"/>
  <c r="X387" i="1"/>
  <c r="Z387" i="1"/>
  <c r="B388" i="1"/>
  <c r="C388" i="1"/>
  <c r="D388" i="1"/>
  <c r="E388" i="1"/>
  <c r="F388" i="1"/>
  <c r="G388" i="1"/>
  <c r="H388" i="1"/>
  <c r="I388" i="1"/>
  <c r="J388" i="1"/>
  <c r="K388" i="1"/>
  <c r="L388" i="1"/>
  <c r="M388" i="1"/>
  <c r="U388" i="1"/>
  <c r="V388" i="1"/>
  <c r="W388" i="1"/>
  <c r="X388" i="1"/>
  <c r="Z388" i="1"/>
  <c r="B389" i="1"/>
  <c r="C389" i="1"/>
  <c r="D389" i="1"/>
  <c r="E389" i="1"/>
  <c r="F389" i="1"/>
  <c r="G389" i="1"/>
  <c r="H389" i="1"/>
  <c r="I389" i="1"/>
  <c r="J389" i="1"/>
  <c r="K389" i="1"/>
  <c r="L389" i="1"/>
  <c r="M389" i="1"/>
  <c r="U389" i="1"/>
  <c r="V389" i="1"/>
  <c r="W389" i="1"/>
  <c r="X389" i="1"/>
  <c r="Z389" i="1"/>
  <c r="B390" i="1"/>
  <c r="C390" i="1"/>
  <c r="D390" i="1"/>
  <c r="E390" i="1"/>
  <c r="F390" i="1"/>
  <c r="G390" i="1"/>
  <c r="H390" i="1"/>
  <c r="I390" i="1"/>
  <c r="J390" i="1"/>
  <c r="K390" i="1"/>
  <c r="L390" i="1"/>
  <c r="M390" i="1"/>
  <c r="U390" i="1"/>
  <c r="V390" i="1"/>
  <c r="W390" i="1"/>
  <c r="X390" i="1"/>
  <c r="Z390" i="1"/>
  <c r="B391" i="1"/>
  <c r="C391" i="1"/>
  <c r="D391" i="1"/>
  <c r="E391" i="1"/>
  <c r="F391" i="1"/>
  <c r="G391" i="1"/>
  <c r="H391" i="1"/>
  <c r="I391" i="1"/>
  <c r="J391" i="1"/>
  <c r="K391" i="1"/>
  <c r="L391" i="1"/>
  <c r="M391" i="1"/>
  <c r="U391" i="1"/>
  <c r="V391" i="1"/>
  <c r="W391" i="1"/>
  <c r="X391" i="1"/>
  <c r="Z391" i="1"/>
  <c r="B392" i="1"/>
  <c r="C392" i="1"/>
  <c r="D392" i="1"/>
  <c r="E392" i="1"/>
  <c r="F392" i="1"/>
  <c r="G392" i="1"/>
  <c r="H392" i="1"/>
  <c r="I392" i="1"/>
  <c r="J392" i="1"/>
  <c r="K392" i="1"/>
  <c r="L392" i="1"/>
  <c r="M392" i="1"/>
  <c r="U392" i="1"/>
  <c r="V392" i="1"/>
  <c r="W392" i="1"/>
  <c r="X392" i="1"/>
  <c r="Z392" i="1"/>
  <c r="B393" i="1"/>
  <c r="C393" i="1"/>
  <c r="D393" i="1"/>
  <c r="E393" i="1"/>
  <c r="F393" i="1"/>
  <c r="G393" i="1"/>
  <c r="H393" i="1"/>
  <c r="I393" i="1"/>
  <c r="J393" i="1"/>
  <c r="K393" i="1"/>
  <c r="L393" i="1"/>
  <c r="M393" i="1"/>
  <c r="U393" i="1"/>
  <c r="V393" i="1"/>
  <c r="W393" i="1"/>
  <c r="X393" i="1"/>
  <c r="Z393" i="1"/>
  <c r="B394" i="1"/>
  <c r="C394" i="1"/>
  <c r="D394" i="1"/>
  <c r="E394" i="1"/>
  <c r="F394" i="1"/>
  <c r="G394" i="1"/>
  <c r="H394" i="1"/>
  <c r="I394" i="1"/>
  <c r="J394" i="1"/>
  <c r="K394" i="1"/>
  <c r="L394" i="1"/>
  <c r="M394" i="1"/>
  <c r="U394" i="1"/>
  <c r="V394" i="1"/>
  <c r="W394" i="1"/>
  <c r="X394" i="1"/>
  <c r="Z394" i="1"/>
  <c r="B395" i="1"/>
  <c r="C395" i="1"/>
  <c r="D395" i="1"/>
  <c r="E395" i="1"/>
  <c r="F395" i="1"/>
  <c r="G395" i="1"/>
  <c r="H395" i="1"/>
  <c r="I395" i="1"/>
  <c r="J395" i="1"/>
  <c r="K395" i="1"/>
  <c r="L395" i="1"/>
  <c r="M395" i="1"/>
  <c r="U395" i="1"/>
  <c r="V395" i="1"/>
  <c r="W395" i="1"/>
  <c r="X395" i="1"/>
  <c r="Z395" i="1"/>
  <c r="B396" i="1"/>
  <c r="C396" i="1"/>
  <c r="D396" i="1"/>
  <c r="E396" i="1"/>
  <c r="F396" i="1"/>
  <c r="G396" i="1"/>
  <c r="H396" i="1"/>
  <c r="I396" i="1"/>
  <c r="J396" i="1"/>
  <c r="K396" i="1"/>
  <c r="L396" i="1"/>
  <c r="M396" i="1"/>
  <c r="U396" i="1"/>
  <c r="V396" i="1"/>
  <c r="W396" i="1"/>
  <c r="X396" i="1"/>
  <c r="Z396" i="1"/>
  <c r="B397" i="1"/>
  <c r="C397" i="1"/>
  <c r="D397" i="1"/>
  <c r="E397" i="1"/>
  <c r="F397" i="1"/>
  <c r="G397" i="1"/>
  <c r="H397" i="1"/>
  <c r="I397" i="1"/>
  <c r="J397" i="1"/>
  <c r="K397" i="1"/>
  <c r="L397" i="1"/>
  <c r="M397" i="1"/>
  <c r="U397" i="1"/>
  <c r="V397" i="1"/>
  <c r="W397" i="1"/>
  <c r="X397" i="1"/>
  <c r="Z397" i="1"/>
  <c r="B398" i="1"/>
  <c r="C398" i="1"/>
  <c r="D398" i="1"/>
  <c r="E398" i="1"/>
  <c r="F398" i="1"/>
  <c r="G398" i="1"/>
  <c r="H398" i="1"/>
  <c r="I398" i="1"/>
  <c r="J398" i="1"/>
  <c r="K398" i="1"/>
  <c r="L398" i="1"/>
  <c r="M398" i="1"/>
  <c r="U398" i="1"/>
  <c r="V398" i="1"/>
  <c r="W398" i="1"/>
  <c r="X398" i="1"/>
  <c r="Z398" i="1"/>
  <c r="B399" i="1"/>
  <c r="C399" i="1"/>
  <c r="D399" i="1"/>
  <c r="E399" i="1"/>
  <c r="F399" i="1"/>
  <c r="G399" i="1"/>
  <c r="H399" i="1"/>
  <c r="I399" i="1"/>
  <c r="J399" i="1"/>
  <c r="K399" i="1"/>
  <c r="L399" i="1"/>
  <c r="M399" i="1"/>
  <c r="U399" i="1"/>
  <c r="V399" i="1"/>
  <c r="W399" i="1"/>
  <c r="X399" i="1"/>
  <c r="Z399" i="1"/>
  <c r="B400" i="1"/>
  <c r="C400" i="1"/>
  <c r="D400" i="1"/>
  <c r="E400" i="1"/>
  <c r="F400" i="1"/>
  <c r="G400" i="1"/>
  <c r="H400" i="1"/>
  <c r="I400" i="1"/>
  <c r="J400" i="1"/>
  <c r="K400" i="1"/>
  <c r="L400" i="1"/>
  <c r="M400" i="1"/>
  <c r="U400" i="1"/>
  <c r="V400" i="1"/>
  <c r="W400" i="1"/>
  <c r="X400" i="1"/>
  <c r="Z400" i="1"/>
  <c r="B401" i="1"/>
  <c r="C401" i="1"/>
  <c r="D401" i="1"/>
  <c r="E401" i="1"/>
  <c r="F401" i="1"/>
  <c r="G401" i="1"/>
  <c r="H401" i="1"/>
  <c r="I401" i="1"/>
  <c r="J401" i="1"/>
  <c r="K401" i="1"/>
  <c r="L401" i="1"/>
  <c r="M401" i="1"/>
  <c r="U401" i="1"/>
  <c r="V401" i="1"/>
  <c r="W401" i="1"/>
  <c r="X401" i="1"/>
  <c r="Z401" i="1"/>
  <c r="B402" i="1"/>
  <c r="C402" i="1"/>
  <c r="D402" i="1"/>
  <c r="E402" i="1"/>
  <c r="F402" i="1"/>
  <c r="G402" i="1"/>
  <c r="H402" i="1"/>
  <c r="I402" i="1"/>
  <c r="J402" i="1"/>
  <c r="K402" i="1"/>
  <c r="L402" i="1"/>
  <c r="M402" i="1"/>
  <c r="U402" i="1"/>
  <c r="V402" i="1"/>
  <c r="W402" i="1"/>
  <c r="X402" i="1"/>
  <c r="Z402" i="1"/>
  <c r="B403" i="1"/>
  <c r="C403" i="1"/>
  <c r="D403" i="1"/>
  <c r="E403" i="1"/>
  <c r="F403" i="1"/>
  <c r="G403" i="1"/>
  <c r="H403" i="1"/>
  <c r="I403" i="1"/>
  <c r="J403" i="1"/>
  <c r="K403" i="1"/>
  <c r="L403" i="1"/>
  <c r="M403" i="1"/>
  <c r="U403" i="1"/>
  <c r="V403" i="1"/>
  <c r="W403" i="1"/>
  <c r="X403" i="1"/>
  <c r="Z403" i="1"/>
  <c r="B404" i="1"/>
  <c r="C404" i="1"/>
  <c r="D404" i="1"/>
  <c r="E404" i="1"/>
  <c r="F404" i="1"/>
  <c r="G404" i="1"/>
  <c r="H404" i="1"/>
  <c r="I404" i="1"/>
  <c r="J404" i="1"/>
  <c r="K404" i="1"/>
  <c r="L404" i="1"/>
  <c r="M404" i="1"/>
  <c r="U404" i="1"/>
  <c r="V404" i="1"/>
  <c r="W404" i="1"/>
  <c r="X404" i="1"/>
  <c r="Z404" i="1"/>
  <c r="B405" i="1"/>
  <c r="C405" i="1"/>
  <c r="D405" i="1"/>
  <c r="E405" i="1"/>
  <c r="F405" i="1"/>
  <c r="G405" i="1"/>
  <c r="H405" i="1"/>
  <c r="I405" i="1"/>
  <c r="J405" i="1"/>
  <c r="K405" i="1"/>
  <c r="L405" i="1"/>
  <c r="M405" i="1"/>
  <c r="U405" i="1"/>
  <c r="V405" i="1"/>
  <c r="W405" i="1"/>
  <c r="X405" i="1"/>
  <c r="Z405" i="1"/>
  <c r="B406" i="1"/>
  <c r="C406" i="1"/>
  <c r="D406" i="1"/>
  <c r="E406" i="1"/>
  <c r="F406" i="1"/>
  <c r="G406" i="1"/>
  <c r="H406" i="1"/>
  <c r="I406" i="1"/>
  <c r="J406" i="1"/>
  <c r="K406" i="1"/>
  <c r="L406" i="1"/>
  <c r="M406" i="1"/>
  <c r="U406" i="1"/>
  <c r="V406" i="1"/>
  <c r="W406" i="1"/>
  <c r="X406" i="1"/>
  <c r="Z406" i="1"/>
  <c r="B407" i="1"/>
  <c r="C407" i="1"/>
  <c r="D407" i="1"/>
  <c r="E407" i="1"/>
  <c r="F407" i="1"/>
  <c r="G407" i="1"/>
  <c r="H407" i="1"/>
  <c r="I407" i="1"/>
  <c r="J407" i="1"/>
  <c r="K407" i="1"/>
  <c r="L407" i="1"/>
  <c r="M407" i="1"/>
  <c r="U407" i="1"/>
  <c r="V407" i="1"/>
  <c r="W407" i="1"/>
  <c r="X407" i="1"/>
  <c r="Z407" i="1"/>
  <c r="B408" i="1"/>
  <c r="C408" i="1"/>
  <c r="D408" i="1"/>
  <c r="E408" i="1"/>
  <c r="F408" i="1"/>
  <c r="G408" i="1"/>
  <c r="H408" i="1"/>
  <c r="I408" i="1"/>
  <c r="J408" i="1"/>
  <c r="K408" i="1"/>
  <c r="L408" i="1"/>
  <c r="M408" i="1"/>
  <c r="U408" i="1"/>
  <c r="V408" i="1"/>
  <c r="W408" i="1"/>
  <c r="X408" i="1"/>
  <c r="Z408" i="1"/>
  <c r="B409" i="1"/>
  <c r="C409" i="1"/>
  <c r="D409" i="1"/>
  <c r="E409" i="1"/>
  <c r="F409" i="1"/>
  <c r="G409" i="1"/>
  <c r="H409" i="1"/>
  <c r="I409" i="1"/>
  <c r="J409" i="1"/>
  <c r="K409" i="1"/>
  <c r="L409" i="1"/>
  <c r="M409" i="1"/>
  <c r="U409" i="1"/>
  <c r="V409" i="1"/>
  <c r="W409" i="1"/>
  <c r="X409" i="1"/>
  <c r="Z409" i="1"/>
  <c r="B410" i="1"/>
  <c r="C410" i="1"/>
  <c r="D410" i="1"/>
  <c r="E410" i="1"/>
  <c r="F410" i="1"/>
  <c r="G410" i="1"/>
  <c r="H410" i="1"/>
  <c r="I410" i="1"/>
  <c r="J410" i="1"/>
  <c r="K410" i="1"/>
  <c r="L410" i="1"/>
  <c r="M410" i="1"/>
  <c r="U410" i="1"/>
  <c r="V410" i="1"/>
  <c r="W410" i="1"/>
  <c r="X410" i="1"/>
  <c r="Z410" i="1"/>
  <c r="B411" i="1"/>
  <c r="C411" i="1"/>
  <c r="D411" i="1"/>
  <c r="E411" i="1"/>
  <c r="F411" i="1"/>
  <c r="G411" i="1"/>
  <c r="H411" i="1"/>
  <c r="I411" i="1"/>
  <c r="J411" i="1"/>
  <c r="K411" i="1"/>
  <c r="L411" i="1"/>
  <c r="M411" i="1"/>
  <c r="U411" i="1"/>
  <c r="V411" i="1"/>
  <c r="W411" i="1"/>
  <c r="X411" i="1"/>
  <c r="Z411" i="1"/>
  <c r="B412" i="1"/>
  <c r="C412" i="1"/>
  <c r="D412" i="1"/>
  <c r="E412" i="1"/>
  <c r="F412" i="1"/>
  <c r="G412" i="1"/>
  <c r="H412" i="1"/>
  <c r="I412" i="1"/>
  <c r="J412" i="1"/>
  <c r="K412" i="1"/>
  <c r="L412" i="1"/>
  <c r="M412" i="1"/>
  <c r="U412" i="1"/>
  <c r="V412" i="1"/>
  <c r="W412" i="1"/>
  <c r="X412" i="1"/>
  <c r="Z412" i="1"/>
  <c r="B413" i="1"/>
  <c r="C413" i="1"/>
  <c r="D413" i="1"/>
  <c r="E413" i="1"/>
  <c r="F413" i="1"/>
  <c r="G413" i="1"/>
  <c r="H413" i="1"/>
  <c r="I413" i="1"/>
  <c r="J413" i="1"/>
  <c r="K413" i="1"/>
  <c r="L413" i="1"/>
  <c r="M413" i="1"/>
  <c r="U413" i="1"/>
  <c r="V413" i="1"/>
  <c r="W413" i="1"/>
  <c r="X413" i="1"/>
  <c r="Z413" i="1"/>
  <c r="B414" i="1"/>
  <c r="C414" i="1"/>
  <c r="D414" i="1"/>
  <c r="E414" i="1"/>
  <c r="F414" i="1"/>
  <c r="G414" i="1"/>
  <c r="H414" i="1"/>
  <c r="I414" i="1"/>
  <c r="J414" i="1"/>
  <c r="K414" i="1"/>
  <c r="L414" i="1"/>
  <c r="M414" i="1"/>
  <c r="U414" i="1"/>
  <c r="V414" i="1"/>
  <c r="W414" i="1"/>
  <c r="X414" i="1"/>
  <c r="Z414" i="1"/>
  <c r="B415" i="1"/>
  <c r="C415" i="1"/>
  <c r="D415" i="1"/>
  <c r="E415" i="1"/>
  <c r="F415" i="1"/>
  <c r="G415" i="1"/>
  <c r="H415" i="1"/>
  <c r="I415" i="1"/>
  <c r="J415" i="1"/>
  <c r="K415" i="1"/>
  <c r="L415" i="1"/>
  <c r="M415" i="1"/>
  <c r="U415" i="1"/>
  <c r="V415" i="1"/>
  <c r="W415" i="1"/>
  <c r="X415" i="1"/>
  <c r="Z415" i="1"/>
  <c r="B416" i="1"/>
  <c r="C416" i="1"/>
  <c r="D416" i="1"/>
  <c r="E416" i="1"/>
  <c r="F416" i="1"/>
  <c r="G416" i="1"/>
  <c r="H416" i="1"/>
  <c r="I416" i="1"/>
  <c r="J416" i="1"/>
  <c r="K416" i="1"/>
  <c r="L416" i="1"/>
  <c r="M416" i="1"/>
  <c r="U416" i="1"/>
  <c r="V416" i="1"/>
  <c r="W416" i="1"/>
  <c r="X416" i="1"/>
  <c r="Z416" i="1"/>
  <c r="B417" i="1"/>
  <c r="C417" i="1"/>
  <c r="D417" i="1"/>
  <c r="E417" i="1"/>
  <c r="F417" i="1"/>
  <c r="G417" i="1"/>
  <c r="H417" i="1"/>
  <c r="I417" i="1"/>
  <c r="J417" i="1"/>
  <c r="K417" i="1"/>
  <c r="L417" i="1"/>
  <c r="M417" i="1"/>
  <c r="U417" i="1"/>
  <c r="V417" i="1"/>
  <c r="W417" i="1"/>
  <c r="X417" i="1"/>
  <c r="Z417" i="1"/>
  <c r="B418" i="1"/>
  <c r="C418" i="1"/>
  <c r="D418" i="1"/>
  <c r="E418" i="1"/>
  <c r="F418" i="1"/>
  <c r="G418" i="1"/>
  <c r="H418" i="1"/>
  <c r="I418" i="1"/>
  <c r="J418" i="1"/>
  <c r="K418" i="1"/>
  <c r="L418" i="1"/>
  <c r="M418" i="1"/>
  <c r="U418" i="1"/>
  <c r="V418" i="1"/>
  <c r="W418" i="1"/>
  <c r="X418" i="1"/>
  <c r="Z418" i="1"/>
  <c r="B419" i="1"/>
  <c r="C419" i="1"/>
  <c r="D419" i="1"/>
  <c r="E419" i="1"/>
  <c r="F419" i="1"/>
  <c r="G419" i="1"/>
  <c r="H419" i="1"/>
  <c r="I419" i="1"/>
  <c r="J419" i="1"/>
  <c r="K419" i="1"/>
  <c r="L419" i="1"/>
  <c r="M419" i="1"/>
  <c r="U419" i="1"/>
  <c r="V419" i="1"/>
  <c r="W419" i="1"/>
  <c r="X419" i="1"/>
  <c r="Z419" i="1"/>
  <c r="B420" i="1"/>
  <c r="C420" i="1"/>
  <c r="D420" i="1"/>
  <c r="E420" i="1"/>
  <c r="F420" i="1"/>
  <c r="G420" i="1"/>
  <c r="H420" i="1"/>
  <c r="I420" i="1"/>
  <c r="J420" i="1"/>
  <c r="K420" i="1"/>
  <c r="L420" i="1"/>
  <c r="M420" i="1"/>
  <c r="U420" i="1"/>
  <c r="V420" i="1"/>
  <c r="W420" i="1"/>
  <c r="X420" i="1"/>
  <c r="Z420" i="1"/>
  <c r="B421" i="1"/>
  <c r="C421" i="1"/>
  <c r="D421" i="1"/>
  <c r="E421" i="1"/>
  <c r="F421" i="1"/>
  <c r="G421" i="1"/>
  <c r="H421" i="1"/>
  <c r="I421" i="1"/>
  <c r="J421" i="1"/>
  <c r="K421" i="1"/>
  <c r="L421" i="1"/>
  <c r="M421" i="1"/>
  <c r="U421" i="1"/>
  <c r="V421" i="1"/>
  <c r="W421" i="1"/>
  <c r="X421" i="1"/>
  <c r="Z421" i="1"/>
  <c r="B422" i="1"/>
  <c r="C422" i="1"/>
  <c r="D422" i="1"/>
  <c r="E422" i="1"/>
  <c r="F422" i="1"/>
  <c r="G422" i="1"/>
  <c r="H422" i="1"/>
  <c r="I422" i="1"/>
  <c r="J422" i="1"/>
  <c r="K422" i="1"/>
  <c r="L422" i="1"/>
  <c r="M422" i="1"/>
  <c r="U422" i="1"/>
  <c r="V422" i="1"/>
  <c r="W422" i="1"/>
  <c r="X422" i="1"/>
  <c r="Z422" i="1"/>
  <c r="B423" i="1"/>
  <c r="C423" i="1"/>
  <c r="D423" i="1"/>
  <c r="E423" i="1"/>
  <c r="F423" i="1"/>
  <c r="G423" i="1"/>
  <c r="H423" i="1"/>
  <c r="I423" i="1"/>
  <c r="J423" i="1"/>
  <c r="K423" i="1"/>
  <c r="L423" i="1"/>
  <c r="M423" i="1"/>
  <c r="U423" i="1"/>
  <c r="V423" i="1"/>
  <c r="W423" i="1"/>
  <c r="X423" i="1"/>
  <c r="Z423" i="1"/>
  <c r="B424" i="1"/>
  <c r="C424" i="1"/>
  <c r="D424" i="1"/>
  <c r="E424" i="1"/>
  <c r="F424" i="1"/>
  <c r="G424" i="1"/>
  <c r="H424" i="1"/>
  <c r="I424" i="1"/>
  <c r="J424" i="1"/>
  <c r="K424" i="1"/>
  <c r="L424" i="1"/>
  <c r="M424" i="1"/>
  <c r="U424" i="1"/>
  <c r="V424" i="1"/>
  <c r="W424" i="1"/>
  <c r="X424" i="1"/>
  <c r="Z424" i="1"/>
  <c r="B425" i="1"/>
  <c r="C425" i="1"/>
  <c r="D425" i="1"/>
  <c r="E425" i="1"/>
  <c r="F425" i="1"/>
  <c r="G425" i="1"/>
  <c r="H425" i="1"/>
  <c r="I425" i="1"/>
  <c r="J425" i="1"/>
  <c r="K425" i="1"/>
  <c r="L425" i="1"/>
  <c r="M425" i="1"/>
  <c r="U425" i="1"/>
  <c r="V425" i="1"/>
  <c r="W425" i="1"/>
  <c r="X425" i="1"/>
  <c r="Z425" i="1"/>
  <c r="B426" i="1"/>
  <c r="C426" i="1"/>
  <c r="D426" i="1"/>
  <c r="E426" i="1"/>
  <c r="F426" i="1"/>
  <c r="G426" i="1"/>
  <c r="H426" i="1"/>
  <c r="I426" i="1"/>
  <c r="J426" i="1"/>
  <c r="K426" i="1"/>
  <c r="L426" i="1"/>
  <c r="M426" i="1"/>
  <c r="U426" i="1"/>
  <c r="V426" i="1"/>
  <c r="W426" i="1"/>
  <c r="X426" i="1"/>
  <c r="Z426" i="1"/>
  <c r="B427" i="1"/>
  <c r="C427" i="1"/>
  <c r="D427" i="1"/>
  <c r="E427" i="1"/>
  <c r="F427" i="1"/>
  <c r="G427" i="1"/>
  <c r="H427" i="1"/>
  <c r="I427" i="1"/>
  <c r="J427" i="1"/>
  <c r="K427" i="1"/>
  <c r="L427" i="1"/>
  <c r="M427" i="1"/>
  <c r="U427" i="1"/>
  <c r="V427" i="1"/>
  <c r="W427" i="1"/>
  <c r="X427" i="1"/>
  <c r="Z427" i="1"/>
  <c r="B428" i="1"/>
  <c r="C428" i="1"/>
  <c r="D428" i="1"/>
  <c r="E428" i="1"/>
  <c r="F428" i="1"/>
  <c r="G428" i="1"/>
  <c r="H428" i="1"/>
  <c r="I428" i="1"/>
  <c r="J428" i="1"/>
  <c r="K428" i="1"/>
  <c r="L428" i="1"/>
  <c r="M428" i="1"/>
  <c r="U428" i="1"/>
  <c r="V428" i="1"/>
  <c r="W428" i="1"/>
  <c r="X428" i="1"/>
  <c r="Z428" i="1"/>
  <c r="B429" i="1"/>
  <c r="C429" i="1"/>
  <c r="D429" i="1"/>
  <c r="E429" i="1"/>
  <c r="F429" i="1"/>
  <c r="G429" i="1"/>
  <c r="H429" i="1"/>
  <c r="I429" i="1"/>
  <c r="J429" i="1"/>
  <c r="K429" i="1"/>
  <c r="L429" i="1"/>
  <c r="M429" i="1"/>
  <c r="U429" i="1"/>
  <c r="V429" i="1"/>
  <c r="W429" i="1"/>
  <c r="X429" i="1"/>
  <c r="Z429" i="1"/>
  <c r="B430" i="1"/>
  <c r="C430" i="1"/>
  <c r="D430" i="1"/>
  <c r="E430" i="1"/>
  <c r="F430" i="1"/>
  <c r="G430" i="1"/>
  <c r="H430" i="1"/>
  <c r="I430" i="1"/>
  <c r="J430" i="1"/>
  <c r="K430" i="1"/>
  <c r="L430" i="1"/>
  <c r="M430" i="1"/>
  <c r="U430" i="1"/>
  <c r="V430" i="1"/>
  <c r="W430" i="1"/>
  <c r="X430" i="1"/>
  <c r="Z430" i="1"/>
  <c r="B431" i="1"/>
  <c r="C431" i="1"/>
  <c r="D431" i="1"/>
  <c r="E431" i="1"/>
  <c r="F431" i="1"/>
  <c r="G431" i="1"/>
  <c r="H431" i="1"/>
  <c r="I431" i="1"/>
  <c r="J431" i="1"/>
  <c r="K431" i="1"/>
  <c r="L431" i="1"/>
  <c r="M431" i="1"/>
  <c r="U431" i="1"/>
  <c r="V431" i="1"/>
  <c r="W431" i="1"/>
  <c r="X431" i="1"/>
  <c r="Z431" i="1"/>
  <c r="B432" i="1"/>
  <c r="C432" i="1"/>
  <c r="D432" i="1"/>
  <c r="E432" i="1"/>
  <c r="F432" i="1"/>
  <c r="G432" i="1"/>
  <c r="H432" i="1"/>
  <c r="I432" i="1"/>
  <c r="J432" i="1"/>
  <c r="K432" i="1"/>
  <c r="L432" i="1"/>
  <c r="M432" i="1"/>
  <c r="U432" i="1"/>
  <c r="V432" i="1"/>
  <c r="W432" i="1"/>
  <c r="X432" i="1"/>
  <c r="Z432" i="1"/>
  <c r="B433" i="1"/>
  <c r="C433" i="1"/>
  <c r="D433" i="1"/>
  <c r="E433" i="1"/>
  <c r="F433" i="1"/>
  <c r="G433" i="1"/>
  <c r="H433" i="1"/>
  <c r="I433" i="1"/>
  <c r="J433" i="1"/>
  <c r="K433" i="1"/>
  <c r="L433" i="1"/>
  <c r="M433" i="1"/>
  <c r="U433" i="1"/>
  <c r="V433" i="1"/>
  <c r="W433" i="1"/>
  <c r="X433" i="1"/>
  <c r="Z433" i="1"/>
  <c r="B434" i="1"/>
  <c r="C434" i="1"/>
  <c r="D434" i="1"/>
  <c r="E434" i="1"/>
  <c r="F434" i="1"/>
  <c r="G434" i="1"/>
  <c r="H434" i="1"/>
  <c r="I434" i="1"/>
  <c r="J434" i="1"/>
  <c r="K434" i="1"/>
  <c r="L434" i="1"/>
  <c r="M434" i="1"/>
  <c r="U434" i="1"/>
  <c r="V434" i="1"/>
  <c r="W434" i="1"/>
  <c r="X434" i="1"/>
  <c r="Z434" i="1"/>
  <c r="B435" i="1"/>
  <c r="C435" i="1"/>
  <c r="D435" i="1"/>
  <c r="E435" i="1"/>
  <c r="F435" i="1"/>
  <c r="G435" i="1"/>
  <c r="H435" i="1"/>
  <c r="I435" i="1"/>
  <c r="J435" i="1"/>
  <c r="K435" i="1"/>
  <c r="L435" i="1"/>
  <c r="M435" i="1"/>
  <c r="U435" i="1"/>
  <c r="V435" i="1"/>
  <c r="W435" i="1"/>
  <c r="X435" i="1"/>
  <c r="Z435" i="1"/>
  <c r="B436" i="1"/>
  <c r="C436" i="1"/>
  <c r="D436" i="1"/>
  <c r="E436" i="1"/>
  <c r="F436" i="1"/>
  <c r="G436" i="1"/>
  <c r="H436" i="1"/>
  <c r="I436" i="1"/>
  <c r="J436" i="1"/>
  <c r="K436" i="1"/>
  <c r="L436" i="1"/>
  <c r="M436" i="1"/>
  <c r="U436" i="1"/>
  <c r="V436" i="1"/>
  <c r="W436" i="1"/>
  <c r="X436" i="1"/>
  <c r="Z436" i="1"/>
  <c r="B437" i="1"/>
  <c r="C437" i="1"/>
  <c r="D437" i="1"/>
  <c r="E437" i="1"/>
  <c r="F437" i="1"/>
  <c r="G437" i="1"/>
  <c r="H437" i="1"/>
  <c r="I437" i="1"/>
  <c r="J437" i="1"/>
  <c r="K437" i="1"/>
  <c r="L437" i="1"/>
  <c r="M437" i="1"/>
  <c r="U437" i="1"/>
  <c r="V437" i="1"/>
  <c r="W437" i="1"/>
  <c r="X437" i="1"/>
  <c r="Z437" i="1"/>
  <c r="B438" i="1"/>
  <c r="C438" i="1"/>
  <c r="D438" i="1"/>
  <c r="E438" i="1"/>
  <c r="F438" i="1"/>
  <c r="G438" i="1"/>
  <c r="H438" i="1"/>
  <c r="I438" i="1"/>
  <c r="J438" i="1"/>
  <c r="K438" i="1"/>
  <c r="L438" i="1"/>
  <c r="M438" i="1"/>
  <c r="U438" i="1"/>
  <c r="V438" i="1"/>
  <c r="W438" i="1"/>
  <c r="X438" i="1"/>
  <c r="Z438" i="1"/>
  <c r="B439" i="1"/>
  <c r="C439" i="1"/>
  <c r="D439" i="1"/>
  <c r="E439" i="1"/>
  <c r="F439" i="1"/>
  <c r="G439" i="1"/>
  <c r="H439" i="1"/>
  <c r="I439" i="1"/>
  <c r="J439" i="1"/>
  <c r="K439" i="1"/>
  <c r="L439" i="1"/>
  <c r="M439" i="1"/>
  <c r="U439" i="1"/>
  <c r="V439" i="1"/>
  <c r="W439" i="1"/>
  <c r="X439" i="1"/>
  <c r="Z439" i="1"/>
  <c r="B440" i="1"/>
  <c r="C440" i="1"/>
  <c r="D440" i="1"/>
  <c r="E440" i="1"/>
  <c r="F440" i="1"/>
  <c r="G440" i="1"/>
  <c r="H440" i="1"/>
  <c r="I440" i="1"/>
  <c r="J440" i="1"/>
  <c r="K440" i="1"/>
  <c r="L440" i="1"/>
  <c r="M440" i="1"/>
  <c r="U440" i="1"/>
  <c r="V440" i="1"/>
  <c r="W440" i="1"/>
  <c r="X440" i="1"/>
  <c r="Z440" i="1"/>
  <c r="B441" i="1"/>
  <c r="C441" i="1"/>
  <c r="D441" i="1"/>
  <c r="E441" i="1"/>
  <c r="F441" i="1"/>
  <c r="G441" i="1"/>
  <c r="H441" i="1"/>
  <c r="I441" i="1"/>
  <c r="J441" i="1"/>
  <c r="K441" i="1"/>
  <c r="L441" i="1"/>
  <c r="M441" i="1"/>
  <c r="U441" i="1"/>
  <c r="V441" i="1"/>
  <c r="W441" i="1"/>
  <c r="X441" i="1"/>
  <c r="Z441" i="1"/>
  <c r="B442" i="1"/>
  <c r="C442" i="1"/>
  <c r="D442" i="1"/>
  <c r="E442" i="1"/>
  <c r="F442" i="1"/>
  <c r="G442" i="1"/>
  <c r="H442" i="1"/>
  <c r="I442" i="1"/>
  <c r="J442" i="1"/>
  <c r="K442" i="1"/>
  <c r="L442" i="1"/>
  <c r="M442" i="1"/>
  <c r="U442" i="1"/>
  <c r="V442" i="1"/>
  <c r="W442" i="1"/>
  <c r="X442" i="1"/>
  <c r="Z442" i="1"/>
  <c r="B443" i="1"/>
  <c r="C443" i="1"/>
  <c r="D443" i="1"/>
  <c r="E443" i="1"/>
  <c r="F443" i="1"/>
  <c r="G443" i="1"/>
  <c r="H443" i="1"/>
  <c r="I443" i="1"/>
  <c r="J443" i="1"/>
  <c r="K443" i="1"/>
  <c r="L443" i="1"/>
  <c r="M443" i="1"/>
  <c r="U443" i="1"/>
  <c r="V443" i="1"/>
  <c r="W443" i="1"/>
  <c r="X443" i="1"/>
  <c r="Z443" i="1"/>
  <c r="B444" i="1"/>
  <c r="C444" i="1"/>
  <c r="D444" i="1"/>
  <c r="E444" i="1"/>
  <c r="F444" i="1"/>
  <c r="G444" i="1"/>
  <c r="H444" i="1"/>
  <c r="I444" i="1"/>
  <c r="J444" i="1"/>
  <c r="K444" i="1"/>
  <c r="L444" i="1"/>
  <c r="M444" i="1"/>
  <c r="U444" i="1"/>
  <c r="V444" i="1"/>
  <c r="W444" i="1"/>
  <c r="X444" i="1"/>
  <c r="Z444" i="1"/>
  <c r="B445" i="1"/>
  <c r="C445" i="1"/>
  <c r="D445" i="1"/>
  <c r="E445" i="1"/>
  <c r="F445" i="1"/>
  <c r="G445" i="1"/>
  <c r="H445" i="1"/>
  <c r="I445" i="1"/>
  <c r="J445" i="1"/>
  <c r="K445" i="1"/>
  <c r="L445" i="1"/>
  <c r="M445" i="1"/>
  <c r="U445" i="1"/>
  <c r="V445" i="1"/>
  <c r="W445" i="1"/>
  <c r="X445" i="1"/>
  <c r="Z445" i="1"/>
  <c r="B446" i="1"/>
  <c r="C446" i="1"/>
  <c r="D446" i="1"/>
  <c r="E446" i="1"/>
  <c r="F446" i="1"/>
  <c r="G446" i="1"/>
  <c r="H446" i="1"/>
  <c r="I446" i="1"/>
  <c r="J446" i="1"/>
  <c r="K446" i="1"/>
  <c r="L446" i="1"/>
  <c r="M446" i="1"/>
  <c r="U446" i="1"/>
  <c r="V446" i="1"/>
  <c r="W446" i="1"/>
  <c r="X446" i="1"/>
  <c r="Z446" i="1"/>
  <c r="B447" i="1"/>
  <c r="C447" i="1"/>
  <c r="D447" i="1"/>
  <c r="E447" i="1"/>
  <c r="F447" i="1"/>
  <c r="G447" i="1"/>
  <c r="H447" i="1"/>
  <c r="I447" i="1"/>
  <c r="J447" i="1"/>
  <c r="K447" i="1"/>
  <c r="L447" i="1"/>
  <c r="M447" i="1"/>
  <c r="U447" i="1"/>
  <c r="V447" i="1"/>
  <c r="W447" i="1"/>
  <c r="X447" i="1"/>
  <c r="Z447" i="1"/>
  <c r="B448" i="1"/>
  <c r="C448" i="1"/>
  <c r="D448" i="1"/>
  <c r="E448" i="1"/>
  <c r="F448" i="1"/>
  <c r="G448" i="1"/>
  <c r="H448" i="1"/>
  <c r="I448" i="1"/>
  <c r="J448" i="1"/>
  <c r="K448" i="1"/>
  <c r="L448" i="1"/>
  <c r="M448" i="1"/>
  <c r="U448" i="1"/>
  <c r="V448" i="1"/>
  <c r="W448" i="1"/>
  <c r="X448" i="1"/>
  <c r="Z448" i="1"/>
  <c r="B449" i="1"/>
  <c r="C449" i="1"/>
  <c r="D449" i="1"/>
  <c r="E449" i="1"/>
  <c r="F449" i="1"/>
  <c r="G449" i="1"/>
  <c r="H449" i="1"/>
  <c r="I449" i="1"/>
  <c r="J449" i="1"/>
  <c r="K449" i="1"/>
  <c r="L449" i="1"/>
  <c r="M449" i="1"/>
  <c r="U449" i="1"/>
  <c r="V449" i="1"/>
  <c r="W449" i="1"/>
  <c r="X449" i="1"/>
  <c r="Z449" i="1"/>
  <c r="B450" i="1"/>
  <c r="C450" i="1"/>
  <c r="D450" i="1"/>
  <c r="E450" i="1"/>
  <c r="F450" i="1"/>
  <c r="G450" i="1"/>
  <c r="H450" i="1"/>
  <c r="I450" i="1"/>
  <c r="J450" i="1"/>
  <c r="K450" i="1"/>
  <c r="L450" i="1"/>
  <c r="M450" i="1"/>
  <c r="U450" i="1"/>
  <c r="V450" i="1"/>
  <c r="W450" i="1"/>
  <c r="X450" i="1"/>
  <c r="Z450" i="1"/>
  <c r="B451" i="1"/>
  <c r="C451" i="1"/>
  <c r="D451" i="1"/>
  <c r="E451" i="1"/>
  <c r="F451" i="1"/>
  <c r="G451" i="1"/>
  <c r="H451" i="1"/>
  <c r="I451" i="1"/>
  <c r="J451" i="1"/>
  <c r="K451" i="1"/>
  <c r="L451" i="1"/>
  <c r="M451" i="1"/>
  <c r="U451" i="1"/>
  <c r="V451" i="1"/>
  <c r="W451" i="1"/>
  <c r="X451" i="1"/>
  <c r="Z451" i="1"/>
  <c r="B452" i="1"/>
  <c r="C452" i="1"/>
  <c r="D452" i="1"/>
  <c r="E452" i="1"/>
  <c r="F452" i="1"/>
  <c r="G452" i="1"/>
  <c r="H452" i="1"/>
  <c r="I452" i="1"/>
  <c r="J452" i="1"/>
  <c r="K452" i="1"/>
  <c r="L452" i="1"/>
  <c r="M452" i="1"/>
  <c r="U452" i="1"/>
  <c r="V452" i="1"/>
  <c r="W452" i="1"/>
  <c r="X452" i="1"/>
  <c r="Z452" i="1"/>
  <c r="B453" i="1"/>
  <c r="C453" i="1"/>
  <c r="D453" i="1"/>
  <c r="E453" i="1"/>
  <c r="F453" i="1"/>
  <c r="G453" i="1"/>
  <c r="H453" i="1"/>
  <c r="I453" i="1"/>
  <c r="J453" i="1"/>
  <c r="K453" i="1"/>
  <c r="L453" i="1"/>
  <c r="M453" i="1"/>
  <c r="U453" i="1"/>
  <c r="V453" i="1"/>
  <c r="W453" i="1"/>
  <c r="X453" i="1"/>
  <c r="Z453" i="1"/>
  <c r="B454" i="1"/>
  <c r="C454" i="1"/>
  <c r="D454" i="1"/>
  <c r="E454" i="1"/>
  <c r="F454" i="1"/>
  <c r="G454" i="1"/>
  <c r="H454" i="1"/>
  <c r="I454" i="1"/>
  <c r="J454" i="1"/>
  <c r="K454" i="1"/>
  <c r="L454" i="1"/>
  <c r="M454" i="1"/>
  <c r="U454" i="1"/>
  <c r="V454" i="1"/>
  <c r="W454" i="1"/>
  <c r="X454" i="1"/>
  <c r="Z454" i="1"/>
  <c r="B455" i="1"/>
  <c r="C455" i="1"/>
  <c r="D455" i="1"/>
  <c r="E455" i="1"/>
  <c r="F455" i="1"/>
  <c r="G455" i="1"/>
  <c r="H455" i="1"/>
  <c r="I455" i="1"/>
  <c r="J455" i="1"/>
  <c r="K455" i="1"/>
  <c r="L455" i="1"/>
  <c r="M455" i="1"/>
  <c r="U455" i="1"/>
  <c r="V455" i="1"/>
  <c r="W455" i="1"/>
  <c r="X455" i="1"/>
  <c r="Z455" i="1"/>
  <c r="B456" i="1"/>
  <c r="C456" i="1"/>
  <c r="D456" i="1"/>
  <c r="E456" i="1"/>
  <c r="F456" i="1"/>
  <c r="G456" i="1"/>
  <c r="H456" i="1"/>
  <c r="I456" i="1"/>
  <c r="J456" i="1"/>
  <c r="K456" i="1"/>
  <c r="L456" i="1"/>
  <c r="M456" i="1"/>
  <c r="U456" i="1"/>
  <c r="V456" i="1"/>
  <c r="W456" i="1"/>
  <c r="X456" i="1"/>
  <c r="Z456" i="1"/>
  <c r="B457" i="1"/>
  <c r="C457" i="1"/>
  <c r="D457" i="1"/>
  <c r="E457" i="1"/>
  <c r="F457" i="1"/>
  <c r="G457" i="1"/>
  <c r="H457" i="1"/>
  <c r="I457" i="1"/>
  <c r="J457" i="1"/>
  <c r="K457" i="1"/>
  <c r="L457" i="1"/>
  <c r="M457" i="1"/>
  <c r="U457" i="1"/>
  <c r="V457" i="1"/>
  <c r="W457" i="1"/>
  <c r="X457" i="1"/>
  <c r="Z457" i="1"/>
  <c r="B458" i="1"/>
  <c r="C458" i="1"/>
  <c r="D458" i="1"/>
  <c r="E458" i="1"/>
  <c r="F458" i="1"/>
  <c r="G458" i="1"/>
  <c r="H458" i="1"/>
  <c r="I458" i="1"/>
  <c r="J458" i="1"/>
  <c r="K458" i="1"/>
  <c r="L458" i="1"/>
  <c r="M458" i="1"/>
  <c r="U458" i="1"/>
  <c r="V458" i="1"/>
  <c r="W458" i="1"/>
  <c r="X458" i="1"/>
  <c r="Z458" i="1"/>
  <c r="B459" i="1"/>
  <c r="C459" i="1"/>
  <c r="D459" i="1"/>
  <c r="E459" i="1"/>
  <c r="F459" i="1"/>
  <c r="G459" i="1"/>
  <c r="H459" i="1"/>
  <c r="I459" i="1"/>
  <c r="J459" i="1"/>
  <c r="K459" i="1"/>
  <c r="L459" i="1"/>
  <c r="M459" i="1"/>
  <c r="U459" i="1"/>
  <c r="V459" i="1"/>
  <c r="W459" i="1"/>
  <c r="X459" i="1"/>
  <c r="Z459" i="1"/>
  <c r="B460" i="1"/>
  <c r="C460" i="1"/>
  <c r="D460" i="1"/>
  <c r="E460" i="1"/>
  <c r="F460" i="1"/>
  <c r="G460" i="1"/>
  <c r="H460" i="1"/>
  <c r="I460" i="1"/>
  <c r="J460" i="1"/>
  <c r="K460" i="1"/>
  <c r="L460" i="1"/>
  <c r="M460" i="1"/>
  <c r="U460" i="1"/>
  <c r="V460" i="1"/>
  <c r="W460" i="1"/>
  <c r="X460" i="1"/>
  <c r="Z460" i="1"/>
  <c r="B461" i="1"/>
  <c r="C461" i="1"/>
  <c r="D461" i="1"/>
  <c r="E461" i="1"/>
  <c r="F461" i="1"/>
  <c r="G461" i="1"/>
  <c r="H461" i="1"/>
  <c r="I461" i="1"/>
  <c r="J461" i="1"/>
  <c r="K461" i="1"/>
  <c r="L461" i="1"/>
  <c r="M461" i="1"/>
  <c r="U461" i="1"/>
  <c r="V461" i="1"/>
  <c r="W461" i="1"/>
  <c r="X461" i="1"/>
  <c r="Z461" i="1"/>
  <c r="B462" i="1"/>
  <c r="C462" i="1"/>
  <c r="D462" i="1"/>
  <c r="E462" i="1"/>
  <c r="F462" i="1"/>
  <c r="G462" i="1"/>
  <c r="H462" i="1"/>
  <c r="I462" i="1"/>
  <c r="J462" i="1"/>
  <c r="K462" i="1"/>
  <c r="L462" i="1"/>
  <c r="M462" i="1"/>
  <c r="U462" i="1"/>
  <c r="V462" i="1"/>
  <c r="W462" i="1"/>
  <c r="X462" i="1"/>
  <c r="Z462" i="1"/>
  <c r="B463" i="1"/>
  <c r="C463" i="1"/>
  <c r="D463" i="1"/>
  <c r="E463" i="1"/>
  <c r="F463" i="1"/>
  <c r="G463" i="1"/>
  <c r="H463" i="1"/>
  <c r="I463" i="1"/>
  <c r="J463" i="1"/>
  <c r="K463" i="1"/>
  <c r="L463" i="1"/>
  <c r="M463" i="1"/>
  <c r="U463" i="1"/>
  <c r="V463" i="1"/>
  <c r="W463" i="1"/>
  <c r="X463" i="1"/>
  <c r="Z463" i="1"/>
  <c r="B464" i="1"/>
  <c r="C464" i="1"/>
  <c r="D464" i="1"/>
  <c r="E464" i="1"/>
  <c r="F464" i="1"/>
  <c r="G464" i="1"/>
  <c r="H464" i="1"/>
  <c r="I464" i="1"/>
  <c r="J464" i="1"/>
  <c r="K464" i="1"/>
  <c r="L464" i="1"/>
  <c r="M464" i="1"/>
  <c r="U464" i="1"/>
  <c r="V464" i="1"/>
  <c r="W464" i="1"/>
  <c r="X464" i="1"/>
  <c r="Z464" i="1"/>
  <c r="B465" i="1"/>
  <c r="C465" i="1"/>
  <c r="D465" i="1"/>
  <c r="E465" i="1"/>
  <c r="F465" i="1"/>
  <c r="G465" i="1"/>
  <c r="H465" i="1"/>
  <c r="I465" i="1"/>
  <c r="J465" i="1"/>
  <c r="K465" i="1"/>
  <c r="L465" i="1"/>
  <c r="M465" i="1"/>
  <c r="U465" i="1"/>
  <c r="V465" i="1"/>
  <c r="W465" i="1"/>
  <c r="X465" i="1"/>
  <c r="Z465" i="1"/>
  <c r="B466" i="1"/>
  <c r="C466" i="1"/>
  <c r="D466" i="1"/>
  <c r="E466" i="1"/>
  <c r="F466" i="1"/>
  <c r="G466" i="1"/>
  <c r="H466" i="1"/>
  <c r="I466" i="1"/>
  <c r="J466" i="1"/>
  <c r="K466" i="1"/>
  <c r="L466" i="1"/>
  <c r="M466" i="1"/>
  <c r="U466" i="1"/>
  <c r="V466" i="1"/>
  <c r="W466" i="1"/>
  <c r="X466" i="1"/>
  <c r="Z466" i="1"/>
  <c r="B467" i="1"/>
  <c r="C467" i="1"/>
  <c r="D467" i="1"/>
  <c r="E467" i="1"/>
  <c r="F467" i="1"/>
  <c r="G467" i="1"/>
  <c r="H467" i="1"/>
  <c r="I467" i="1"/>
  <c r="J467" i="1"/>
  <c r="K467" i="1"/>
  <c r="L467" i="1"/>
  <c r="M467" i="1"/>
  <c r="U467" i="1"/>
  <c r="V467" i="1"/>
  <c r="W467" i="1"/>
  <c r="X467" i="1"/>
  <c r="Z467" i="1"/>
  <c r="B468" i="1"/>
  <c r="C468" i="1"/>
  <c r="D468" i="1"/>
  <c r="E468" i="1"/>
  <c r="F468" i="1"/>
  <c r="G468" i="1"/>
  <c r="H468" i="1"/>
  <c r="I468" i="1"/>
  <c r="J468" i="1"/>
  <c r="K468" i="1"/>
  <c r="L468" i="1"/>
  <c r="M468" i="1"/>
  <c r="U468" i="1"/>
  <c r="V468" i="1"/>
  <c r="W468" i="1"/>
  <c r="X468" i="1"/>
  <c r="Z468" i="1"/>
  <c r="B469" i="1"/>
  <c r="C469" i="1"/>
  <c r="D469" i="1"/>
  <c r="E469" i="1"/>
  <c r="F469" i="1"/>
  <c r="G469" i="1"/>
  <c r="H469" i="1"/>
  <c r="I469" i="1"/>
  <c r="J469" i="1"/>
  <c r="K469" i="1"/>
  <c r="L469" i="1"/>
  <c r="M469" i="1"/>
  <c r="U469" i="1"/>
  <c r="V469" i="1"/>
  <c r="W469" i="1"/>
  <c r="X469" i="1"/>
  <c r="Z469" i="1"/>
  <c r="B470" i="1"/>
  <c r="C470" i="1"/>
  <c r="D470" i="1"/>
  <c r="E470" i="1"/>
  <c r="F470" i="1"/>
  <c r="G470" i="1"/>
  <c r="H470" i="1"/>
  <c r="I470" i="1"/>
  <c r="J470" i="1"/>
  <c r="K470" i="1"/>
  <c r="L470" i="1"/>
  <c r="M470" i="1"/>
  <c r="U470" i="1"/>
  <c r="V470" i="1"/>
  <c r="W470" i="1"/>
  <c r="X470" i="1"/>
  <c r="Z470" i="1"/>
  <c r="B471" i="1"/>
  <c r="C471" i="1"/>
  <c r="D471" i="1"/>
  <c r="E471" i="1"/>
  <c r="F471" i="1"/>
  <c r="G471" i="1"/>
  <c r="H471" i="1"/>
  <c r="I471" i="1"/>
  <c r="J471" i="1"/>
  <c r="K471" i="1"/>
  <c r="L471" i="1"/>
  <c r="M471" i="1"/>
  <c r="U471" i="1"/>
  <c r="V471" i="1"/>
  <c r="W471" i="1"/>
  <c r="X471" i="1"/>
  <c r="Z471" i="1"/>
  <c r="B472" i="1"/>
  <c r="C472" i="1"/>
  <c r="D472" i="1"/>
  <c r="E472" i="1"/>
  <c r="F472" i="1"/>
  <c r="G472" i="1"/>
  <c r="H472" i="1"/>
  <c r="I472" i="1"/>
  <c r="J472" i="1"/>
  <c r="K472" i="1"/>
  <c r="L472" i="1"/>
  <c r="M472" i="1"/>
  <c r="U472" i="1"/>
  <c r="V472" i="1"/>
  <c r="W472" i="1"/>
  <c r="X472" i="1"/>
  <c r="Z472" i="1"/>
  <c r="B473" i="1"/>
  <c r="C473" i="1"/>
  <c r="D473" i="1"/>
  <c r="E473" i="1"/>
  <c r="F473" i="1"/>
  <c r="G473" i="1"/>
  <c r="H473" i="1"/>
  <c r="I473" i="1"/>
  <c r="J473" i="1"/>
  <c r="K473" i="1"/>
  <c r="L473" i="1"/>
  <c r="M473" i="1"/>
  <c r="U473" i="1"/>
  <c r="V473" i="1"/>
  <c r="W473" i="1"/>
  <c r="X473" i="1"/>
  <c r="Z473" i="1"/>
  <c r="B474" i="1"/>
  <c r="C474" i="1"/>
  <c r="D474" i="1"/>
  <c r="E474" i="1"/>
  <c r="F474" i="1"/>
  <c r="G474" i="1"/>
  <c r="H474" i="1"/>
  <c r="I474" i="1"/>
  <c r="J474" i="1"/>
  <c r="K474" i="1"/>
  <c r="L474" i="1"/>
  <c r="M474" i="1"/>
  <c r="U474" i="1"/>
  <c r="V474" i="1"/>
  <c r="W474" i="1"/>
  <c r="X474" i="1"/>
  <c r="Z474" i="1"/>
  <c r="B475" i="1"/>
  <c r="C475" i="1"/>
  <c r="D475" i="1"/>
  <c r="E475" i="1"/>
  <c r="F475" i="1"/>
  <c r="G475" i="1"/>
  <c r="H475" i="1"/>
  <c r="I475" i="1"/>
  <c r="J475" i="1"/>
  <c r="K475" i="1"/>
  <c r="L475" i="1"/>
  <c r="M475" i="1"/>
  <c r="U475" i="1"/>
  <c r="V475" i="1"/>
  <c r="W475" i="1"/>
  <c r="X475" i="1"/>
  <c r="Z475" i="1"/>
  <c r="B476" i="1"/>
  <c r="C476" i="1"/>
  <c r="D476" i="1"/>
  <c r="E476" i="1"/>
  <c r="F476" i="1"/>
  <c r="G476" i="1"/>
  <c r="H476" i="1"/>
  <c r="I476" i="1"/>
  <c r="J476" i="1"/>
  <c r="K476" i="1"/>
  <c r="L476" i="1"/>
  <c r="M476" i="1"/>
  <c r="U476" i="1"/>
  <c r="V476" i="1"/>
  <c r="W476" i="1"/>
  <c r="X476" i="1"/>
  <c r="Z476" i="1"/>
  <c r="B477" i="1"/>
  <c r="C477" i="1"/>
  <c r="D477" i="1"/>
  <c r="E477" i="1"/>
  <c r="F477" i="1"/>
  <c r="G477" i="1"/>
  <c r="H477" i="1"/>
  <c r="I477" i="1"/>
  <c r="J477" i="1"/>
  <c r="K477" i="1"/>
  <c r="L477" i="1"/>
  <c r="M477" i="1"/>
  <c r="U477" i="1"/>
  <c r="V477" i="1"/>
  <c r="W477" i="1"/>
  <c r="X477" i="1"/>
  <c r="Z477" i="1"/>
  <c r="B478" i="1"/>
  <c r="C478" i="1"/>
  <c r="D478" i="1"/>
  <c r="E478" i="1"/>
  <c r="F478" i="1"/>
  <c r="G478" i="1"/>
  <c r="H478" i="1"/>
  <c r="I478" i="1"/>
  <c r="J478" i="1"/>
  <c r="K478" i="1"/>
  <c r="L478" i="1"/>
  <c r="M478" i="1"/>
  <c r="U478" i="1"/>
  <c r="V478" i="1"/>
  <c r="W478" i="1"/>
  <c r="X478" i="1"/>
  <c r="Z478" i="1"/>
  <c r="B479" i="1"/>
  <c r="C479" i="1"/>
  <c r="D479" i="1"/>
  <c r="E479" i="1"/>
  <c r="F479" i="1"/>
  <c r="G479" i="1"/>
  <c r="H479" i="1"/>
  <c r="I479" i="1"/>
  <c r="J479" i="1"/>
  <c r="K479" i="1"/>
  <c r="L479" i="1"/>
  <c r="M479" i="1"/>
  <c r="U479" i="1"/>
  <c r="V479" i="1"/>
  <c r="W479" i="1"/>
  <c r="X479" i="1"/>
  <c r="Z479" i="1"/>
  <c r="B480" i="1"/>
  <c r="C480" i="1"/>
  <c r="D480" i="1"/>
  <c r="E480" i="1"/>
  <c r="F480" i="1"/>
  <c r="G480" i="1"/>
  <c r="H480" i="1"/>
  <c r="I480" i="1"/>
  <c r="J480" i="1"/>
  <c r="K480" i="1"/>
  <c r="L480" i="1"/>
  <c r="M480" i="1"/>
  <c r="U480" i="1"/>
  <c r="V480" i="1"/>
  <c r="W480" i="1"/>
  <c r="X480" i="1"/>
  <c r="Z480" i="1"/>
  <c r="B481" i="1"/>
  <c r="C481" i="1"/>
  <c r="D481" i="1"/>
  <c r="E481" i="1"/>
  <c r="F481" i="1"/>
  <c r="G481" i="1"/>
  <c r="H481" i="1"/>
  <c r="I481" i="1"/>
  <c r="J481" i="1"/>
  <c r="K481" i="1"/>
  <c r="L481" i="1"/>
  <c r="M481" i="1"/>
  <c r="U481" i="1"/>
  <c r="V481" i="1"/>
  <c r="W481" i="1"/>
  <c r="X481" i="1"/>
  <c r="Z481" i="1"/>
  <c r="B482" i="1"/>
  <c r="C482" i="1"/>
  <c r="D482" i="1"/>
  <c r="E482" i="1"/>
  <c r="F482" i="1"/>
  <c r="G482" i="1"/>
  <c r="H482" i="1"/>
  <c r="I482" i="1"/>
  <c r="J482" i="1"/>
  <c r="K482" i="1"/>
  <c r="L482" i="1"/>
  <c r="M482" i="1"/>
  <c r="U482" i="1"/>
  <c r="V482" i="1"/>
  <c r="W482" i="1"/>
  <c r="X482" i="1"/>
  <c r="Z482" i="1"/>
  <c r="B483" i="1"/>
  <c r="C483" i="1"/>
  <c r="D483" i="1"/>
  <c r="E483" i="1"/>
  <c r="F483" i="1"/>
  <c r="G483" i="1"/>
  <c r="H483" i="1"/>
  <c r="I483" i="1"/>
  <c r="J483" i="1"/>
  <c r="K483" i="1"/>
  <c r="L483" i="1"/>
  <c r="M483" i="1"/>
  <c r="U483" i="1"/>
  <c r="V483" i="1"/>
  <c r="W483" i="1"/>
  <c r="X483" i="1"/>
  <c r="Z483" i="1"/>
  <c r="B484" i="1"/>
  <c r="C484" i="1"/>
  <c r="D484" i="1"/>
  <c r="E484" i="1"/>
  <c r="F484" i="1"/>
  <c r="G484" i="1"/>
  <c r="H484" i="1"/>
  <c r="I484" i="1"/>
  <c r="J484" i="1"/>
  <c r="K484" i="1"/>
  <c r="L484" i="1"/>
  <c r="M484" i="1"/>
  <c r="U484" i="1"/>
  <c r="V484" i="1"/>
  <c r="W484" i="1"/>
  <c r="X484" i="1"/>
  <c r="Z484" i="1"/>
  <c r="B485" i="1"/>
  <c r="C485" i="1"/>
  <c r="D485" i="1"/>
  <c r="E485" i="1"/>
  <c r="F485" i="1"/>
  <c r="G485" i="1"/>
  <c r="H485" i="1"/>
  <c r="I485" i="1"/>
  <c r="J485" i="1"/>
  <c r="K485" i="1"/>
  <c r="L485" i="1"/>
  <c r="M485" i="1"/>
  <c r="U485" i="1"/>
  <c r="V485" i="1"/>
  <c r="W485" i="1"/>
  <c r="X485" i="1"/>
  <c r="Z485" i="1"/>
  <c r="B486" i="1"/>
  <c r="C486" i="1"/>
  <c r="D486" i="1"/>
  <c r="E486" i="1"/>
  <c r="F486" i="1"/>
  <c r="G486" i="1"/>
  <c r="H486" i="1"/>
  <c r="I486" i="1"/>
  <c r="J486" i="1"/>
  <c r="K486" i="1"/>
  <c r="L486" i="1"/>
  <c r="M486" i="1"/>
  <c r="U486" i="1"/>
  <c r="V486" i="1"/>
  <c r="W486" i="1"/>
  <c r="X486" i="1"/>
  <c r="Z486" i="1"/>
  <c r="B487" i="1"/>
  <c r="C487" i="1"/>
  <c r="D487" i="1"/>
  <c r="E487" i="1"/>
  <c r="F487" i="1"/>
  <c r="G487" i="1"/>
  <c r="H487" i="1"/>
  <c r="I487" i="1"/>
  <c r="J487" i="1"/>
  <c r="K487" i="1"/>
  <c r="L487" i="1"/>
  <c r="M487" i="1"/>
  <c r="U487" i="1"/>
  <c r="V487" i="1"/>
  <c r="W487" i="1"/>
  <c r="X487" i="1"/>
  <c r="Z487" i="1"/>
  <c r="B488" i="1"/>
  <c r="C488" i="1"/>
  <c r="D488" i="1"/>
  <c r="E488" i="1"/>
  <c r="F488" i="1"/>
  <c r="G488" i="1"/>
  <c r="H488" i="1"/>
  <c r="I488" i="1"/>
  <c r="J488" i="1"/>
  <c r="K488" i="1"/>
  <c r="L488" i="1"/>
  <c r="M488" i="1"/>
  <c r="U488" i="1"/>
  <c r="V488" i="1"/>
  <c r="W488" i="1"/>
  <c r="X488" i="1"/>
  <c r="Z488" i="1"/>
  <c r="B489" i="1"/>
  <c r="C489" i="1"/>
  <c r="D489" i="1"/>
  <c r="E489" i="1"/>
  <c r="F489" i="1"/>
  <c r="G489" i="1"/>
  <c r="H489" i="1"/>
  <c r="I489" i="1"/>
  <c r="J489" i="1"/>
  <c r="K489" i="1"/>
  <c r="L489" i="1"/>
  <c r="M489" i="1"/>
  <c r="U489" i="1"/>
  <c r="V489" i="1"/>
  <c r="W489" i="1"/>
  <c r="X489" i="1"/>
  <c r="Z489" i="1"/>
  <c r="B490" i="1"/>
  <c r="C490" i="1"/>
  <c r="D490" i="1"/>
  <c r="E490" i="1"/>
  <c r="F490" i="1"/>
  <c r="G490" i="1"/>
  <c r="H490" i="1"/>
  <c r="I490" i="1"/>
  <c r="J490" i="1"/>
  <c r="K490" i="1"/>
  <c r="L490" i="1"/>
  <c r="M490" i="1"/>
  <c r="U490" i="1"/>
  <c r="V490" i="1"/>
  <c r="W490" i="1"/>
  <c r="X490" i="1"/>
  <c r="Z490" i="1"/>
  <c r="B491" i="1"/>
  <c r="C491" i="1"/>
  <c r="D491" i="1"/>
  <c r="E491" i="1"/>
  <c r="F491" i="1"/>
  <c r="G491" i="1"/>
  <c r="H491" i="1"/>
  <c r="I491" i="1"/>
  <c r="J491" i="1"/>
  <c r="K491" i="1"/>
  <c r="L491" i="1"/>
  <c r="M491" i="1"/>
  <c r="U491" i="1"/>
  <c r="V491" i="1"/>
  <c r="W491" i="1"/>
  <c r="X491" i="1"/>
  <c r="Z491" i="1"/>
  <c r="B492" i="1"/>
  <c r="C492" i="1"/>
  <c r="D492" i="1"/>
  <c r="E492" i="1"/>
  <c r="F492" i="1"/>
  <c r="G492" i="1"/>
  <c r="H492" i="1"/>
  <c r="I492" i="1"/>
  <c r="J492" i="1"/>
  <c r="K492" i="1"/>
  <c r="L492" i="1"/>
  <c r="M492" i="1"/>
  <c r="U492" i="1"/>
  <c r="V492" i="1"/>
  <c r="W492" i="1"/>
  <c r="X492" i="1"/>
  <c r="Z492" i="1"/>
  <c r="B493" i="1"/>
  <c r="C493" i="1"/>
  <c r="D493" i="1"/>
  <c r="E493" i="1"/>
  <c r="F493" i="1"/>
  <c r="G493" i="1"/>
  <c r="H493" i="1"/>
  <c r="I493" i="1"/>
  <c r="J493" i="1"/>
  <c r="K493" i="1"/>
  <c r="L493" i="1"/>
  <c r="M493" i="1"/>
  <c r="U493" i="1"/>
  <c r="V493" i="1"/>
  <c r="W493" i="1"/>
  <c r="X493" i="1"/>
  <c r="Z493" i="1"/>
  <c r="B494" i="1"/>
  <c r="C494" i="1"/>
  <c r="D494" i="1"/>
  <c r="E494" i="1"/>
  <c r="F494" i="1"/>
  <c r="G494" i="1"/>
  <c r="H494" i="1"/>
  <c r="I494" i="1"/>
  <c r="J494" i="1"/>
  <c r="K494" i="1"/>
  <c r="L494" i="1"/>
  <c r="M494" i="1"/>
  <c r="U494" i="1"/>
  <c r="V494" i="1"/>
  <c r="W494" i="1"/>
  <c r="X494" i="1"/>
  <c r="Z494" i="1"/>
  <c r="B495" i="1"/>
  <c r="C495" i="1"/>
  <c r="D495" i="1"/>
  <c r="E495" i="1"/>
  <c r="F495" i="1"/>
  <c r="G495" i="1"/>
  <c r="H495" i="1"/>
  <c r="I495" i="1"/>
  <c r="J495" i="1"/>
  <c r="K495" i="1"/>
  <c r="L495" i="1"/>
  <c r="M495" i="1"/>
  <c r="U495" i="1"/>
  <c r="V495" i="1"/>
  <c r="W495" i="1"/>
  <c r="X495" i="1"/>
  <c r="Z495" i="1"/>
  <c r="B496" i="1"/>
  <c r="C496" i="1"/>
  <c r="D496" i="1"/>
  <c r="E496" i="1"/>
  <c r="F496" i="1"/>
  <c r="G496" i="1"/>
  <c r="H496" i="1"/>
  <c r="I496" i="1"/>
  <c r="J496" i="1"/>
  <c r="K496" i="1"/>
  <c r="L496" i="1"/>
  <c r="M496" i="1"/>
  <c r="U496" i="1"/>
  <c r="V496" i="1"/>
  <c r="W496" i="1"/>
  <c r="X496" i="1"/>
  <c r="Z496" i="1"/>
  <c r="B497" i="1"/>
  <c r="C497" i="1"/>
  <c r="D497" i="1"/>
  <c r="E497" i="1"/>
  <c r="F497" i="1"/>
  <c r="G497" i="1"/>
  <c r="H497" i="1"/>
  <c r="I497" i="1"/>
  <c r="J497" i="1"/>
  <c r="K497" i="1"/>
  <c r="L497" i="1"/>
  <c r="M497" i="1"/>
  <c r="U497" i="1"/>
  <c r="V497" i="1"/>
  <c r="W497" i="1"/>
  <c r="X497" i="1"/>
  <c r="Z497" i="1"/>
  <c r="B498" i="1"/>
  <c r="C498" i="1"/>
  <c r="D498" i="1"/>
  <c r="E498" i="1"/>
  <c r="F498" i="1"/>
  <c r="G498" i="1"/>
  <c r="H498" i="1"/>
  <c r="I498" i="1"/>
  <c r="J498" i="1"/>
  <c r="K498" i="1"/>
  <c r="L498" i="1"/>
  <c r="M498" i="1"/>
  <c r="U498" i="1"/>
  <c r="V498" i="1"/>
  <c r="W498" i="1"/>
  <c r="X498" i="1"/>
  <c r="Z498" i="1"/>
  <c r="B499" i="1"/>
  <c r="C499" i="1"/>
  <c r="D499" i="1"/>
  <c r="E499" i="1"/>
  <c r="F499" i="1"/>
  <c r="G499" i="1"/>
  <c r="H499" i="1"/>
  <c r="I499" i="1"/>
  <c r="J499" i="1"/>
  <c r="K499" i="1"/>
  <c r="L499" i="1"/>
  <c r="M499" i="1"/>
  <c r="U499" i="1"/>
  <c r="V499" i="1"/>
  <c r="W499" i="1"/>
  <c r="X499" i="1"/>
  <c r="Z499" i="1"/>
  <c r="B500" i="1"/>
  <c r="C500" i="1"/>
  <c r="D500" i="1"/>
  <c r="E500" i="1"/>
  <c r="F500" i="1"/>
  <c r="G500" i="1"/>
  <c r="H500" i="1"/>
  <c r="I500" i="1"/>
  <c r="J500" i="1"/>
  <c r="K500" i="1"/>
  <c r="L500" i="1"/>
  <c r="M500" i="1"/>
  <c r="U500" i="1"/>
  <c r="V500" i="1"/>
  <c r="W500" i="1"/>
  <c r="X500" i="1"/>
  <c r="Z500" i="1"/>
  <c r="B501" i="1"/>
  <c r="C501" i="1"/>
  <c r="D501" i="1"/>
  <c r="E501" i="1"/>
  <c r="F501" i="1"/>
  <c r="G501" i="1"/>
  <c r="H501" i="1"/>
  <c r="I501" i="1"/>
  <c r="J501" i="1"/>
  <c r="K501" i="1"/>
  <c r="L501" i="1"/>
  <c r="M501" i="1"/>
  <c r="U501" i="1"/>
  <c r="V501" i="1"/>
  <c r="W501" i="1"/>
  <c r="X501" i="1"/>
  <c r="Z501" i="1"/>
  <c r="B502" i="1"/>
  <c r="C502" i="1"/>
  <c r="D502" i="1"/>
  <c r="E502" i="1"/>
  <c r="F502" i="1"/>
  <c r="G502" i="1"/>
  <c r="H502" i="1"/>
  <c r="I502" i="1"/>
  <c r="J502" i="1"/>
  <c r="K502" i="1"/>
  <c r="L502" i="1"/>
  <c r="M502" i="1"/>
  <c r="U502" i="1"/>
  <c r="V502" i="1"/>
  <c r="W502" i="1"/>
  <c r="X502" i="1"/>
  <c r="Z502" i="1"/>
  <c r="B503" i="1"/>
  <c r="C503" i="1"/>
  <c r="D503" i="1"/>
  <c r="E503" i="1"/>
  <c r="F503" i="1"/>
  <c r="G503" i="1"/>
  <c r="H503" i="1"/>
  <c r="I503" i="1"/>
  <c r="J503" i="1"/>
  <c r="K503" i="1"/>
  <c r="L503" i="1"/>
  <c r="M503" i="1"/>
  <c r="U503" i="1"/>
  <c r="V503" i="1"/>
  <c r="W503" i="1"/>
  <c r="X503" i="1"/>
  <c r="Z503" i="1"/>
  <c r="B504" i="1"/>
  <c r="C504" i="1"/>
  <c r="D504" i="1"/>
  <c r="E504" i="1"/>
  <c r="F504" i="1"/>
  <c r="G504" i="1"/>
  <c r="H504" i="1"/>
  <c r="I504" i="1"/>
  <c r="J504" i="1"/>
  <c r="K504" i="1"/>
  <c r="L504" i="1"/>
  <c r="M504" i="1"/>
  <c r="U504" i="1"/>
  <c r="V504" i="1"/>
  <c r="W504" i="1"/>
  <c r="X504" i="1"/>
  <c r="Z504" i="1"/>
  <c r="B505" i="1"/>
  <c r="C505" i="1"/>
  <c r="D505" i="1"/>
  <c r="E505" i="1"/>
  <c r="F505" i="1"/>
  <c r="G505" i="1"/>
  <c r="H505" i="1"/>
  <c r="I505" i="1"/>
  <c r="J505" i="1"/>
  <c r="K505" i="1"/>
  <c r="L505" i="1"/>
  <c r="M505" i="1"/>
  <c r="U505" i="1"/>
  <c r="V505" i="1"/>
  <c r="W505" i="1"/>
  <c r="X505" i="1"/>
  <c r="Z505" i="1"/>
  <c r="B506" i="1"/>
  <c r="C506" i="1"/>
  <c r="D506" i="1"/>
  <c r="E506" i="1"/>
  <c r="F506" i="1"/>
  <c r="G506" i="1"/>
  <c r="H506" i="1"/>
  <c r="I506" i="1"/>
  <c r="J506" i="1"/>
  <c r="K506" i="1"/>
  <c r="L506" i="1"/>
  <c r="M506" i="1"/>
  <c r="U506" i="1"/>
  <c r="V506" i="1"/>
  <c r="W506" i="1"/>
  <c r="X506" i="1"/>
  <c r="Z506" i="1"/>
  <c r="B507" i="1"/>
  <c r="C507" i="1"/>
  <c r="D507" i="1"/>
  <c r="E507" i="1"/>
  <c r="F507" i="1"/>
  <c r="G507" i="1"/>
  <c r="H507" i="1"/>
  <c r="I507" i="1"/>
  <c r="J507" i="1"/>
  <c r="K507" i="1"/>
  <c r="L507" i="1"/>
  <c r="M507" i="1"/>
  <c r="U507" i="1"/>
  <c r="V507" i="1"/>
  <c r="W507" i="1"/>
  <c r="X507" i="1"/>
  <c r="Z507" i="1"/>
  <c r="B508" i="1"/>
  <c r="C508" i="1"/>
  <c r="D508" i="1"/>
  <c r="E508" i="1"/>
  <c r="F508" i="1"/>
  <c r="G508" i="1"/>
  <c r="H508" i="1"/>
  <c r="I508" i="1"/>
  <c r="J508" i="1"/>
  <c r="K508" i="1"/>
  <c r="L508" i="1"/>
  <c r="M508" i="1"/>
  <c r="U508" i="1"/>
  <c r="V508" i="1"/>
  <c r="W508" i="1"/>
  <c r="X508" i="1"/>
  <c r="Z508" i="1"/>
  <c r="B509" i="1"/>
  <c r="C509" i="1"/>
  <c r="D509" i="1"/>
  <c r="E509" i="1"/>
  <c r="F509" i="1"/>
  <c r="G509" i="1"/>
  <c r="H509" i="1"/>
  <c r="I509" i="1"/>
  <c r="J509" i="1"/>
  <c r="K509" i="1"/>
  <c r="L509" i="1"/>
  <c r="M509" i="1"/>
  <c r="U509" i="1"/>
  <c r="V509" i="1"/>
  <c r="W509" i="1"/>
  <c r="X509" i="1"/>
  <c r="Z509" i="1"/>
  <c r="B510" i="1"/>
  <c r="C510" i="1"/>
  <c r="D510" i="1"/>
  <c r="E510" i="1"/>
  <c r="F510" i="1"/>
  <c r="G510" i="1"/>
  <c r="H510" i="1"/>
  <c r="I510" i="1"/>
  <c r="J510" i="1"/>
  <c r="K510" i="1"/>
  <c r="L510" i="1"/>
  <c r="M510" i="1"/>
  <c r="U510" i="1"/>
  <c r="V510" i="1"/>
  <c r="W510" i="1"/>
  <c r="X510" i="1"/>
  <c r="Z510" i="1"/>
  <c r="B511" i="1"/>
  <c r="C511" i="1"/>
  <c r="D511" i="1"/>
  <c r="E511" i="1"/>
  <c r="F511" i="1"/>
  <c r="G511" i="1"/>
  <c r="H511" i="1"/>
  <c r="I511" i="1"/>
  <c r="J511" i="1"/>
  <c r="K511" i="1"/>
  <c r="L511" i="1"/>
  <c r="M511" i="1"/>
  <c r="U511" i="1"/>
  <c r="V511" i="1"/>
  <c r="W511" i="1"/>
  <c r="X511" i="1"/>
  <c r="Z511" i="1"/>
  <c r="B512" i="1"/>
  <c r="C512" i="1"/>
  <c r="D512" i="1"/>
  <c r="E512" i="1"/>
  <c r="F512" i="1"/>
  <c r="G512" i="1"/>
  <c r="H512" i="1"/>
  <c r="I512" i="1"/>
  <c r="J512" i="1"/>
  <c r="K512" i="1"/>
  <c r="L512" i="1"/>
  <c r="M512" i="1"/>
  <c r="U512" i="1"/>
  <c r="V512" i="1"/>
  <c r="W512" i="1"/>
  <c r="X512" i="1"/>
  <c r="Z512" i="1"/>
  <c r="B513" i="1"/>
  <c r="C513" i="1"/>
  <c r="D513" i="1"/>
  <c r="E513" i="1"/>
  <c r="F513" i="1"/>
  <c r="G513" i="1"/>
  <c r="H513" i="1"/>
  <c r="I513" i="1"/>
  <c r="J513" i="1"/>
  <c r="K513" i="1"/>
  <c r="L513" i="1"/>
  <c r="M513" i="1"/>
  <c r="U513" i="1"/>
  <c r="V513" i="1"/>
  <c r="W513" i="1"/>
  <c r="X513" i="1"/>
  <c r="Z513" i="1"/>
  <c r="B514" i="1"/>
  <c r="C514" i="1"/>
  <c r="D514" i="1"/>
  <c r="E514" i="1"/>
  <c r="F514" i="1"/>
  <c r="G514" i="1"/>
  <c r="H514" i="1"/>
  <c r="I514" i="1"/>
  <c r="J514" i="1"/>
  <c r="K514" i="1"/>
  <c r="L514" i="1"/>
  <c r="M514" i="1"/>
  <c r="U514" i="1"/>
  <c r="V514" i="1"/>
  <c r="W514" i="1"/>
  <c r="X514" i="1"/>
  <c r="Z514" i="1"/>
  <c r="B515" i="1"/>
  <c r="C515" i="1"/>
  <c r="D515" i="1"/>
  <c r="E515" i="1"/>
  <c r="F515" i="1"/>
  <c r="G515" i="1"/>
  <c r="H515" i="1"/>
  <c r="I515" i="1"/>
  <c r="J515" i="1"/>
  <c r="K515" i="1"/>
  <c r="L515" i="1"/>
  <c r="M515" i="1"/>
  <c r="U515" i="1"/>
  <c r="V515" i="1"/>
  <c r="W515" i="1"/>
  <c r="X515" i="1"/>
  <c r="Z515" i="1"/>
  <c r="B516" i="1"/>
  <c r="C516" i="1"/>
  <c r="D516" i="1"/>
  <c r="E516" i="1"/>
  <c r="F516" i="1"/>
  <c r="G516" i="1"/>
  <c r="H516" i="1"/>
  <c r="I516" i="1"/>
  <c r="J516" i="1"/>
  <c r="K516" i="1"/>
  <c r="L516" i="1"/>
  <c r="M516" i="1"/>
  <c r="U516" i="1"/>
  <c r="V516" i="1"/>
  <c r="W516" i="1"/>
  <c r="X516" i="1"/>
  <c r="Z516" i="1"/>
  <c r="B517" i="1"/>
  <c r="C517" i="1"/>
  <c r="D517" i="1"/>
  <c r="E517" i="1"/>
  <c r="F517" i="1"/>
  <c r="G517" i="1"/>
  <c r="H517" i="1"/>
  <c r="I517" i="1"/>
  <c r="J517" i="1"/>
  <c r="K517" i="1"/>
  <c r="L517" i="1"/>
  <c r="M517" i="1"/>
  <c r="U517" i="1"/>
  <c r="V517" i="1"/>
  <c r="W517" i="1"/>
  <c r="X517" i="1"/>
  <c r="Z517" i="1"/>
  <c r="B518" i="1"/>
  <c r="C518" i="1"/>
  <c r="D518" i="1"/>
  <c r="E518" i="1"/>
  <c r="F518" i="1"/>
  <c r="G518" i="1"/>
  <c r="H518" i="1"/>
  <c r="I518" i="1"/>
  <c r="J518" i="1"/>
  <c r="K518" i="1"/>
  <c r="L518" i="1"/>
  <c r="M518" i="1"/>
  <c r="U518" i="1"/>
  <c r="V518" i="1"/>
  <c r="W518" i="1"/>
  <c r="X518" i="1"/>
  <c r="Z518" i="1"/>
  <c r="B519" i="1"/>
  <c r="C519" i="1"/>
  <c r="D519" i="1"/>
  <c r="E519" i="1"/>
  <c r="F519" i="1"/>
  <c r="G519" i="1"/>
  <c r="H519" i="1"/>
  <c r="I519" i="1"/>
  <c r="J519" i="1"/>
  <c r="K519" i="1"/>
  <c r="L519" i="1"/>
  <c r="M519" i="1"/>
  <c r="U519" i="1"/>
  <c r="V519" i="1"/>
  <c r="W519" i="1"/>
  <c r="X519" i="1"/>
  <c r="Z519" i="1"/>
  <c r="B520" i="1"/>
  <c r="C520" i="1"/>
  <c r="D520" i="1"/>
  <c r="E520" i="1"/>
  <c r="F520" i="1"/>
  <c r="G520" i="1"/>
  <c r="H520" i="1"/>
  <c r="I520" i="1"/>
  <c r="J520" i="1"/>
  <c r="K520" i="1"/>
  <c r="L520" i="1"/>
  <c r="M520" i="1"/>
  <c r="U520" i="1"/>
  <c r="V520" i="1"/>
  <c r="W520" i="1"/>
  <c r="X520" i="1"/>
  <c r="Z520" i="1"/>
  <c r="B521" i="1"/>
  <c r="C521" i="1"/>
  <c r="D521" i="1"/>
  <c r="E521" i="1"/>
  <c r="F521" i="1"/>
  <c r="G521" i="1"/>
  <c r="H521" i="1"/>
  <c r="I521" i="1"/>
  <c r="J521" i="1"/>
  <c r="K521" i="1"/>
  <c r="L521" i="1"/>
  <c r="M521" i="1"/>
  <c r="U521" i="1"/>
  <c r="V521" i="1"/>
  <c r="W521" i="1"/>
  <c r="X521" i="1"/>
  <c r="Z521" i="1"/>
  <c r="B522" i="1"/>
  <c r="C522" i="1"/>
  <c r="D522" i="1"/>
  <c r="E522" i="1"/>
  <c r="F522" i="1"/>
  <c r="G522" i="1"/>
  <c r="H522" i="1"/>
  <c r="I522" i="1"/>
  <c r="J522" i="1"/>
  <c r="K522" i="1"/>
  <c r="L522" i="1"/>
  <c r="M522" i="1"/>
  <c r="U522" i="1"/>
  <c r="V522" i="1"/>
  <c r="W522" i="1"/>
  <c r="X522" i="1"/>
  <c r="Z522" i="1"/>
  <c r="B523" i="1"/>
  <c r="C523" i="1"/>
  <c r="D523" i="1"/>
  <c r="E523" i="1"/>
  <c r="F523" i="1"/>
  <c r="G523" i="1"/>
  <c r="H523" i="1"/>
  <c r="I523" i="1"/>
  <c r="J523" i="1"/>
  <c r="K523" i="1"/>
  <c r="L523" i="1"/>
  <c r="M523" i="1"/>
  <c r="U523" i="1"/>
  <c r="V523" i="1"/>
  <c r="W523" i="1"/>
  <c r="X523" i="1"/>
  <c r="Z523" i="1"/>
  <c r="B524" i="1"/>
  <c r="C524" i="1"/>
  <c r="D524" i="1"/>
  <c r="E524" i="1"/>
  <c r="F524" i="1"/>
  <c r="G524" i="1"/>
  <c r="H524" i="1"/>
  <c r="I524" i="1"/>
  <c r="J524" i="1"/>
  <c r="K524" i="1"/>
  <c r="L524" i="1"/>
  <c r="M524" i="1"/>
  <c r="U524" i="1"/>
  <c r="V524" i="1"/>
  <c r="W524" i="1"/>
  <c r="X524" i="1"/>
  <c r="Z524" i="1"/>
  <c r="B525" i="1"/>
  <c r="C525" i="1"/>
  <c r="D525" i="1"/>
  <c r="E525" i="1"/>
  <c r="F525" i="1"/>
  <c r="G525" i="1"/>
  <c r="H525" i="1"/>
  <c r="I525" i="1"/>
  <c r="J525" i="1"/>
  <c r="K525" i="1"/>
  <c r="L525" i="1"/>
  <c r="M525" i="1"/>
  <c r="U525" i="1"/>
  <c r="V525" i="1"/>
  <c r="W525" i="1"/>
  <c r="X525" i="1"/>
  <c r="Z525" i="1"/>
  <c r="B526" i="1"/>
  <c r="C526" i="1"/>
  <c r="D526" i="1"/>
  <c r="E526" i="1"/>
  <c r="F526" i="1"/>
  <c r="G526" i="1"/>
  <c r="H526" i="1"/>
  <c r="I526" i="1"/>
  <c r="J526" i="1"/>
  <c r="K526" i="1"/>
  <c r="L526" i="1"/>
  <c r="M526" i="1"/>
  <c r="U526" i="1"/>
  <c r="V526" i="1"/>
  <c r="W526" i="1"/>
  <c r="X526" i="1"/>
  <c r="Z526" i="1"/>
  <c r="B527" i="1"/>
  <c r="C527" i="1"/>
  <c r="D527" i="1"/>
  <c r="E527" i="1"/>
  <c r="F527" i="1"/>
  <c r="G527" i="1"/>
  <c r="H527" i="1"/>
  <c r="I527" i="1"/>
  <c r="J527" i="1"/>
  <c r="K527" i="1"/>
  <c r="L527" i="1"/>
  <c r="M527" i="1"/>
  <c r="U527" i="1"/>
  <c r="V527" i="1"/>
  <c r="W527" i="1"/>
  <c r="X527" i="1"/>
  <c r="Z527" i="1"/>
  <c r="B528" i="1"/>
  <c r="C528" i="1"/>
  <c r="D528" i="1"/>
  <c r="E528" i="1"/>
  <c r="F528" i="1"/>
  <c r="G528" i="1"/>
  <c r="H528" i="1"/>
  <c r="I528" i="1"/>
  <c r="J528" i="1"/>
  <c r="K528" i="1"/>
  <c r="L528" i="1"/>
  <c r="M528" i="1"/>
  <c r="U528" i="1"/>
  <c r="V528" i="1"/>
  <c r="W528" i="1"/>
  <c r="X528" i="1"/>
  <c r="Z528" i="1"/>
  <c r="B529" i="1"/>
  <c r="C529" i="1"/>
  <c r="D529" i="1"/>
  <c r="E529" i="1"/>
  <c r="F529" i="1"/>
  <c r="G529" i="1"/>
  <c r="H529" i="1"/>
  <c r="I529" i="1"/>
  <c r="J529" i="1"/>
  <c r="K529" i="1"/>
  <c r="L529" i="1"/>
  <c r="M529" i="1"/>
  <c r="U529" i="1"/>
  <c r="V529" i="1"/>
  <c r="W529" i="1"/>
  <c r="X529" i="1"/>
  <c r="Z529" i="1"/>
  <c r="B530" i="1"/>
  <c r="C530" i="1"/>
  <c r="D530" i="1"/>
  <c r="E530" i="1"/>
  <c r="F530" i="1"/>
  <c r="G530" i="1"/>
  <c r="H530" i="1"/>
  <c r="I530" i="1"/>
  <c r="J530" i="1"/>
  <c r="K530" i="1"/>
  <c r="L530" i="1"/>
  <c r="M530" i="1"/>
  <c r="U530" i="1"/>
  <c r="V530" i="1"/>
  <c r="W530" i="1"/>
  <c r="X530" i="1"/>
  <c r="Z530" i="1"/>
  <c r="B531" i="1"/>
  <c r="C531" i="1"/>
  <c r="D531" i="1"/>
  <c r="E531" i="1"/>
  <c r="F531" i="1"/>
  <c r="G531" i="1"/>
  <c r="H531" i="1"/>
  <c r="I531" i="1"/>
  <c r="J531" i="1"/>
  <c r="K531" i="1"/>
  <c r="L531" i="1"/>
  <c r="M531" i="1"/>
  <c r="U531" i="1"/>
  <c r="V531" i="1"/>
  <c r="W531" i="1"/>
  <c r="X531" i="1"/>
  <c r="Z531" i="1"/>
  <c r="B532" i="1"/>
  <c r="C532" i="1"/>
  <c r="D532" i="1"/>
  <c r="E532" i="1"/>
  <c r="F532" i="1"/>
  <c r="G532" i="1"/>
  <c r="H532" i="1"/>
  <c r="I532" i="1"/>
  <c r="J532" i="1"/>
  <c r="K532" i="1"/>
  <c r="L532" i="1"/>
  <c r="M532" i="1"/>
  <c r="U532" i="1"/>
  <c r="V532" i="1"/>
  <c r="W532" i="1"/>
  <c r="X532" i="1"/>
  <c r="Z532" i="1"/>
  <c r="B533" i="1"/>
  <c r="C533" i="1"/>
  <c r="D533" i="1"/>
  <c r="E533" i="1"/>
  <c r="F533" i="1"/>
  <c r="G533" i="1"/>
  <c r="H533" i="1"/>
  <c r="I533" i="1"/>
  <c r="J533" i="1"/>
  <c r="K533" i="1"/>
  <c r="L533" i="1"/>
  <c r="M533" i="1"/>
  <c r="U533" i="1"/>
  <c r="V533" i="1"/>
  <c r="W533" i="1"/>
  <c r="X533" i="1"/>
  <c r="Z533" i="1"/>
  <c r="B534" i="1"/>
  <c r="C534" i="1"/>
  <c r="D534" i="1"/>
  <c r="E534" i="1"/>
  <c r="F534" i="1"/>
  <c r="G534" i="1"/>
  <c r="H534" i="1"/>
  <c r="I534" i="1"/>
  <c r="J534" i="1"/>
  <c r="K534" i="1"/>
  <c r="L534" i="1"/>
  <c r="M534" i="1"/>
  <c r="U534" i="1"/>
  <c r="V534" i="1"/>
  <c r="W534" i="1"/>
  <c r="X534" i="1"/>
  <c r="Z534" i="1"/>
  <c r="B535" i="1"/>
  <c r="C535" i="1"/>
  <c r="D535" i="1"/>
  <c r="E535" i="1"/>
  <c r="F535" i="1"/>
  <c r="G535" i="1"/>
  <c r="H535" i="1"/>
  <c r="I535" i="1"/>
  <c r="J535" i="1"/>
  <c r="K535" i="1"/>
  <c r="L535" i="1"/>
  <c r="M535" i="1"/>
  <c r="U535" i="1"/>
  <c r="V535" i="1"/>
  <c r="W535" i="1"/>
  <c r="X535" i="1"/>
  <c r="Z535" i="1"/>
  <c r="B536" i="1"/>
  <c r="C536" i="1"/>
  <c r="D536" i="1"/>
  <c r="E536" i="1"/>
  <c r="F536" i="1"/>
  <c r="G536" i="1"/>
  <c r="H536" i="1"/>
  <c r="I536" i="1"/>
  <c r="J536" i="1"/>
  <c r="K536" i="1"/>
  <c r="L536" i="1"/>
  <c r="M536" i="1"/>
  <c r="U536" i="1"/>
  <c r="V536" i="1"/>
  <c r="W536" i="1"/>
  <c r="X536" i="1"/>
  <c r="Z536" i="1"/>
  <c r="B537" i="1"/>
  <c r="C537" i="1"/>
  <c r="D537" i="1"/>
  <c r="E537" i="1"/>
  <c r="F537" i="1"/>
  <c r="G537" i="1"/>
  <c r="H537" i="1"/>
  <c r="I537" i="1"/>
  <c r="J537" i="1"/>
  <c r="K537" i="1"/>
  <c r="L537" i="1"/>
  <c r="M537" i="1"/>
  <c r="U537" i="1"/>
  <c r="V537" i="1"/>
  <c r="W537" i="1"/>
  <c r="X537" i="1"/>
  <c r="Z537" i="1"/>
  <c r="B538" i="1"/>
  <c r="C538" i="1"/>
  <c r="D538" i="1"/>
  <c r="E538" i="1"/>
  <c r="F538" i="1"/>
  <c r="G538" i="1"/>
  <c r="H538" i="1"/>
  <c r="I538" i="1"/>
  <c r="J538" i="1"/>
  <c r="K538" i="1"/>
  <c r="L538" i="1"/>
  <c r="M538" i="1"/>
  <c r="U538" i="1"/>
  <c r="V538" i="1"/>
  <c r="W538" i="1"/>
  <c r="X538" i="1"/>
  <c r="Z538" i="1"/>
  <c r="B539" i="1"/>
  <c r="C539" i="1"/>
  <c r="D539" i="1"/>
  <c r="E539" i="1"/>
  <c r="F539" i="1"/>
  <c r="G539" i="1"/>
  <c r="H539" i="1"/>
  <c r="I539" i="1"/>
  <c r="J539" i="1"/>
  <c r="K539" i="1"/>
  <c r="L539" i="1"/>
  <c r="M539" i="1"/>
  <c r="U539" i="1"/>
  <c r="V539" i="1"/>
  <c r="W539" i="1"/>
  <c r="X539" i="1"/>
  <c r="Z539" i="1"/>
  <c r="B540" i="1"/>
  <c r="C540" i="1"/>
  <c r="D540" i="1"/>
  <c r="E540" i="1"/>
  <c r="F540" i="1"/>
  <c r="G540" i="1"/>
  <c r="H540" i="1"/>
  <c r="I540" i="1"/>
  <c r="J540" i="1"/>
  <c r="K540" i="1"/>
  <c r="L540" i="1"/>
  <c r="M540" i="1"/>
  <c r="U540" i="1"/>
  <c r="V540" i="1"/>
  <c r="W540" i="1"/>
  <c r="X540" i="1"/>
  <c r="Z540" i="1"/>
  <c r="B541" i="1"/>
  <c r="C541" i="1"/>
  <c r="D541" i="1"/>
  <c r="E541" i="1"/>
  <c r="F541" i="1"/>
  <c r="G541" i="1"/>
  <c r="H541" i="1"/>
  <c r="I541" i="1"/>
  <c r="J541" i="1"/>
  <c r="K541" i="1"/>
  <c r="L541" i="1"/>
  <c r="M541" i="1"/>
  <c r="U541" i="1"/>
  <c r="V541" i="1"/>
  <c r="W541" i="1"/>
  <c r="X541" i="1"/>
  <c r="Z541" i="1"/>
  <c r="B542" i="1"/>
  <c r="C542" i="1"/>
  <c r="D542" i="1"/>
  <c r="E542" i="1"/>
  <c r="F542" i="1"/>
  <c r="G542" i="1"/>
  <c r="H542" i="1"/>
  <c r="I542" i="1"/>
  <c r="J542" i="1"/>
  <c r="K542" i="1"/>
  <c r="L542" i="1"/>
  <c r="M542" i="1"/>
  <c r="U542" i="1"/>
  <c r="V542" i="1"/>
  <c r="W542" i="1"/>
  <c r="X542" i="1"/>
  <c r="Z542" i="1"/>
  <c r="B543" i="1"/>
  <c r="C543" i="1"/>
  <c r="D543" i="1"/>
  <c r="E543" i="1"/>
  <c r="F543" i="1"/>
  <c r="G543" i="1"/>
  <c r="H543" i="1"/>
  <c r="I543" i="1"/>
  <c r="J543" i="1"/>
  <c r="K543" i="1"/>
  <c r="L543" i="1"/>
  <c r="M543" i="1"/>
  <c r="U543" i="1"/>
  <c r="V543" i="1"/>
  <c r="W543" i="1"/>
  <c r="X543" i="1"/>
  <c r="Z543" i="1"/>
  <c r="B544" i="1"/>
  <c r="C544" i="1"/>
  <c r="D544" i="1"/>
  <c r="E544" i="1"/>
  <c r="F544" i="1"/>
  <c r="G544" i="1"/>
  <c r="H544" i="1"/>
  <c r="I544" i="1"/>
  <c r="J544" i="1"/>
  <c r="K544" i="1"/>
  <c r="L544" i="1"/>
  <c r="M544" i="1"/>
  <c r="U544" i="1"/>
  <c r="V544" i="1"/>
  <c r="W544" i="1"/>
  <c r="X544" i="1"/>
  <c r="Z544" i="1"/>
  <c r="B545" i="1"/>
  <c r="C545" i="1"/>
  <c r="D545" i="1"/>
  <c r="E545" i="1"/>
  <c r="F545" i="1"/>
  <c r="G545" i="1"/>
  <c r="H545" i="1"/>
  <c r="I545" i="1"/>
  <c r="J545" i="1"/>
  <c r="K545" i="1"/>
  <c r="L545" i="1"/>
  <c r="M545" i="1"/>
  <c r="U545" i="1"/>
  <c r="V545" i="1"/>
  <c r="W545" i="1"/>
  <c r="X545" i="1"/>
  <c r="Z545" i="1"/>
  <c r="B546" i="1"/>
  <c r="C546" i="1"/>
  <c r="D546" i="1"/>
  <c r="E546" i="1"/>
  <c r="F546" i="1"/>
  <c r="G546" i="1"/>
  <c r="H546" i="1"/>
  <c r="I546" i="1"/>
  <c r="J546" i="1"/>
  <c r="K546" i="1"/>
  <c r="L546" i="1"/>
  <c r="M546" i="1"/>
  <c r="U546" i="1"/>
  <c r="V546" i="1"/>
  <c r="W546" i="1"/>
  <c r="X546" i="1"/>
  <c r="Z546" i="1"/>
  <c r="B547" i="1"/>
  <c r="C547" i="1"/>
  <c r="D547" i="1"/>
  <c r="E547" i="1"/>
  <c r="F547" i="1"/>
  <c r="G547" i="1"/>
  <c r="H547" i="1"/>
  <c r="I547" i="1"/>
  <c r="J547" i="1"/>
  <c r="K547" i="1"/>
  <c r="L547" i="1"/>
  <c r="M547" i="1"/>
  <c r="U547" i="1"/>
  <c r="V547" i="1"/>
  <c r="W547" i="1"/>
  <c r="X547" i="1"/>
  <c r="Z547" i="1"/>
  <c r="B548" i="1"/>
  <c r="C548" i="1"/>
  <c r="D548" i="1"/>
  <c r="E548" i="1"/>
  <c r="F548" i="1"/>
  <c r="G548" i="1"/>
  <c r="H548" i="1"/>
  <c r="I548" i="1"/>
  <c r="J548" i="1"/>
  <c r="K548" i="1"/>
  <c r="L548" i="1"/>
  <c r="M548" i="1"/>
  <c r="U548" i="1"/>
  <c r="V548" i="1"/>
  <c r="W548" i="1"/>
  <c r="X548" i="1"/>
  <c r="Z548" i="1"/>
  <c r="B549" i="1"/>
  <c r="C549" i="1"/>
  <c r="D549" i="1"/>
  <c r="E549" i="1"/>
  <c r="F549" i="1"/>
  <c r="G549" i="1"/>
  <c r="H549" i="1"/>
  <c r="I549" i="1"/>
  <c r="J549" i="1"/>
  <c r="K549" i="1"/>
  <c r="L549" i="1"/>
  <c r="M549" i="1"/>
  <c r="U549" i="1"/>
  <c r="V549" i="1"/>
  <c r="W549" i="1"/>
  <c r="X549" i="1"/>
  <c r="Z549" i="1"/>
  <c r="B550" i="1"/>
  <c r="C550" i="1"/>
  <c r="D550" i="1"/>
  <c r="E550" i="1"/>
  <c r="F550" i="1"/>
  <c r="G550" i="1"/>
  <c r="H550" i="1"/>
  <c r="I550" i="1"/>
  <c r="J550" i="1"/>
  <c r="K550" i="1"/>
  <c r="L550" i="1"/>
  <c r="M550" i="1"/>
  <c r="U550" i="1"/>
  <c r="V550" i="1"/>
  <c r="W550" i="1"/>
  <c r="X550" i="1"/>
  <c r="Z550" i="1"/>
  <c r="B551" i="1"/>
  <c r="C551" i="1"/>
  <c r="D551" i="1"/>
  <c r="E551" i="1"/>
  <c r="F551" i="1"/>
  <c r="G551" i="1"/>
  <c r="H551" i="1"/>
  <c r="I551" i="1"/>
  <c r="J551" i="1"/>
  <c r="K551" i="1"/>
  <c r="L551" i="1"/>
  <c r="M551" i="1"/>
  <c r="U551" i="1"/>
  <c r="V551" i="1"/>
  <c r="W551" i="1"/>
  <c r="X551" i="1"/>
  <c r="Z551" i="1"/>
  <c r="B552" i="1"/>
  <c r="C552" i="1"/>
  <c r="D552" i="1"/>
  <c r="E552" i="1"/>
  <c r="F552" i="1"/>
  <c r="G552" i="1"/>
  <c r="H552" i="1"/>
  <c r="I552" i="1"/>
  <c r="J552" i="1"/>
  <c r="K552" i="1"/>
  <c r="L552" i="1"/>
  <c r="M552" i="1"/>
  <c r="U552" i="1"/>
  <c r="V552" i="1"/>
  <c r="W552" i="1"/>
  <c r="X552" i="1"/>
  <c r="Z552" i="1"/>
  <c r="B553" i="1"/>
  <c r="C553" i="1"/>
  <c r="D553" i="1"/>
  <c r="E553" i="1"/>
  <c r="F553" i="1"/>
  <c r="G553" i="1"/>
  <c r="H553" i="1"/>
  <c r="I553" i="1"/>
  <c r="J553" i="1"/>
  <c r="K553" i="1"/>
  <c r="L553" i="1"/>
  <c r="M553" i="1"/>
  <c r="U553" i="1"/>
  <c r="V553" i="1"/>
  <c r="W553" i="1"/>
  <c r="X553" i="1"/>
  <c r="Z553" i="1"/>
  <c r="B554" i="1"/>
  <c r="C554" i="1"/>
  <c r="D554" i="1"/>
  <c r="E554" i="1"/>
  <c r="F554" i="1"/>
  <c r="G554" i="1"/>
  <c r="H554" i="1"/>
  <c r="I554" i="1"/>
  <c r="J554" i="1"/>
  <c r="K554" i="1"/>
  <c r="L554" i="1"/>
  <c r="M554" i="1"/>
  <c r="U554" i="1"/>
  <c r="V554" i="1"/>
  <c r="W554" i="1"/>
  <c r="X554" i="1"/>
  <c r="Z554" i="1"/>
  <c r="B555" i="1"/>
  <c r="C555" i="1"/>
  <c r="D555" i="1"/>
  <c r="E555" i="1"/>
  <c r="F555" i="1"/>
  <c r="G555" i="1"/>
  <c r="H555" i="1"/>
  <c r="I555" i="1"/>
  <c r="J555" i="1"/>
  <c r="K555" i="1"/>
  <c r="L555" i="1"/>
  <c r="M555" i="1"/>
  <c r="U555" i="1"/>
  <c r="V555" i="1"/>
  <c r="W555" i="1"/>
  <c r="X555" i="1"/>
  <c r="Z555" i="1"/>
  <c r="B556" i="1"/>
  <c r="C556" i="1"/>
  <c r="D556" i="1"/>
  <c r="E556" i="1"/>
  <c r="F556" i="1"/>
  <c r="G556" i="1"/>
  <c r="H556" i="1"/>
  <c r="I556" i="1"/>
  <c r="J556" i="1"/>
  <c r="K556" i="1"/>
  <c r="L556" i="1"/>
  <c r="M556" i="1"/>
  <c r="U556" i="1"/>
  <c r="V556" i="1"/>
  <c r="W556" i="1"/>
  <c r="X556" i="1"/>
  <c r="Z556" i="1"/>
  <c r="B557" i="1"/>
  <c r="C557" i="1"/>
  <c r="D557" i="1"/>
  <c r="E557" i="1"/>
  <c r="F557" i="1"/>
  <c r="G557" i="1"/>
  <c r="H557" i="1"/>
  <c r="I557" i="1"/>
  <c r="J557" i="1"/>
  <c r="K557" i="1"/>
  <c r="L557" i="1"/>
  <c r="M557" i="1"/>
  <c r="U557" i="1"/>
  <c r="V557" i="1"/>
  <c r="W557" i="1"/>
  <c r="X557" i="1"/>
  <c r="Z557" i="1"/>
  <c r="B558" i="1"/>
  <c r="C558" i="1"/>
  <c r="D558" i="1"/>
  <c r="E558" i="1"/>
  <c r="F558" i="1"/>
  <c r="G558" i="1"/>
  <c r="H558" i="1"/>
  <c r="I558" i="1"/>
  <c r="J558" i="1"/>
  <c r="K558" i="1"/>
  <c r="L558" i="1"/>
  <c r="M558" i="1"/>
  <c r="U558" i="1"/>
  <c r="V558" i="1"/>
  <c r="W558" i="1"/>
  <c r="X558" i="1"/>
  <c r="Z558" i="1"/>
  <c r="B559" i="1"/>
  <c r="C559" i="1"/>
  <c r="D559" i="1"/>
  <c r="E559" i="1"/>
  <c r="F559" i="1"/>
  <c r="G559" i="1"/>
  <c r="H559" i="1"/>
  <c r="I559" i="1"/>
  <c r="J559" i="1"/>
  <c r="K559" i="1"/>
  <c r="L559" i="1"/>
  <c r="M559" i="1"/>
  <c r="U559" i="1"/>
  <c r="V559" i="1"/>
  <c r="W559" i="1"/>
  <c r="X559" i="1"/>
  <c r="Z559" i="1"/>
  <c r="B560" i="1"/>
  <c r="C560" i="1"/>
  <c r="D560" i="1"/>
  <c r="E560" i="1"/>
  <c r="F560" i="1"/>
  <c r="G560" i="1"/>
  <c r="H560" i="1"/>
  <c r="I560" i="1"/>
  <c r="J560" i="1"/>
  <c r="K560" i="1"/>
  <c r="L560" i="1"/>
  <c r="M560" i="1"/>
  <c r="U560" i="1"/>
  <c r="V560" i="1"/>
  <c r="W560" i="1"/>
  <c r="X560" i="1"/>
  <c r="Z560" i="1"/>
  <c r="B561" i="1"/>
  <c r="C561" i="1"/>
  <c r="D561" i="1"/>
  <c r="E561" i="1"/>
  <c r="F561" i="1"/>
  <c r="G561" i="1"/>
  <c r="H561" i="1"/>
  <c r="I561" i="1"/>
  <c r="J561" i="1"/>
  <c r="K561" i="1"/>
  <c r="L561" i="1"/>
  <c r="M561" i="1"/>
  <c r="U561" i="1"/>
  <c r="V561" i="1"/>
  <c r="W561" i="1"/>
  <c r="X561" i="1"/>
  <c r="Z561" i="1"/>
  <c r="B562" i="1"/>
  <c r="C562" i="1"/>
  <c r="D562" i="1"/>
  <c r="E562" i="1"/>
  <c r="F562" i="1"/>
  <c r="G562" i="1"/>
  <c r="H562" i="1"/>
  <c r="I562" i="1"/>
  <c r="J562" i="1"/>
  <c r="K562" i="1"/>
  <c r="L562" i="1"/>
  <c r="M562" i="1"/>
  <c r="U562" i="1"/>
  <c r="V562" i="1"/>
  <c r="W562" i="1"/>
  <c r="X562" i="1"/>
  <c r="Z562" i="1"/>
  <c r="B563" i="1"/>
  <c r="C563" i="1"/>
  <c r="D563" i="1"/>
  <c r="E563" i="1"/>
  <c r="F563" i="1"/>
  <c r="G563" i="1"/>
  <c r="H563" i="1"/>
  <c r="I563" i="1"/>
  <c r="J563" i="1"/>
  <c r="K563" i="1"/>
  <c r="L563" i="1"/>
  <c r="M563" i="1"/>
  <c r="U563" i="1"/>
  <c r="V563" i="1"/>
  <c r="W563" i="1"/>
  <c r="X563" i="1"/>
  <c r="Z563" i="1"/>
  <c r="B564" i="1"/>
  <c r="C564" i="1"/>
  <c r="D564" i="1"/>
  <c r="E564" i="1"/>
  <c r="F564" i="1"/>
  <c r="G564" i="1"/>
  <c r="H564" i="1"/>
  <c r="I564" i="1"/>
  <c r="J564" i="1"/>
  <c r="K564" i="1"/>
  <c r="L564" i="1"/>
  <c r="M564" i="1"/>
  <c r="U564" i="1"/>
  <c r="V564" i="1"/>
  <c r="W564" i="1"/>
  <c r="X564" i="1"/>
  <c r="Z564" i="1"/>
  <c r="B565" i="1"/>
  <c r="C565" i="1"/>
  <c r="D565" i="1"/>
  <c r="E565" i="1"/>
  <c r="F565" i="1"/>
  <c r="G565" i="1"/>
  <c r="H565" i="1"/>
  <c r="I565" i="1"/>
  <c r="J565" i="1"/>
  <c r="K565" i="1"/>
  <c r="L565" i="1"/>
  <c r="M565" i="1"/>
  <c r="U565" i="1"/>
  <c r="V565" i="1"/>
  <c r="W565" i="1"/>
  <c r="X565" i="1"/>
  <c r="Z565" i="1"/>
  <c r="B566" i="1"/>
  <c r="C566" i="1"/>
  <c r="D566" i="1"/>
  <c r="E566" i="1"/>
  <c r="F566" i="1"/>
  <c r="G566" i="1"/>
  <c r="H566" i="1"/>
  <c r="I566" i="1"/>
  <c r="J566" i="1"/>
  <c r="K566" i="1"/>
  <c r="L566" i="1"/>
  <c r="M566" i="1"/>
  <c r="U566" i="1"/>
  <c r="V566" i="1"/>
  <c r="W566" i="1"/>
  <c r="X566" i="1"/>
  <c r="Z566" i="1"/>
  <c r="B567" i="1"/>
  <c r="C567" i="1"/>
  <c r="D567" i="1"/>
  <c r="E567" i="1"/>
  <c r="F567" i="1"/>
  <c r="G567" i="1"/>
  <c r="H567" i="1"/>
  <c r="I567" i="1"/>
  <c r="J567" i="1"/>
  <c r="K567" i="1"/>
  <c r="L567" i="1"/>
  <c r="M567" i="1"/>
  <c r="U567" i="1"/>
  <c r="V567" i="1"/>
  <c r="W567" i="1"/>
  <c r="X567" i="1"/>
  <c r="Z567" i="1"/>
  <c r="B568" i="1"/>
  <c r="C568" i="1"/>
  <c r="D568" i="1"/>
  <c r="E568" i="1"/>
  <c r="F568" i="1"/>
  <c r="G568" i="1"/>
  <c r="H568" i="1"/>
  <c r="I568" i="1"/>
  <c r="J568" i="1"/>
  <c r="K568" i="1"/>
  <c r="L568" i="1"/>
  <c r="M568" i="1"/>
  <c r="U568" i="1"/>
  <c r="V568" i="1"/>
  <c r="W568" i="1"/>
  <c r="X568" i="1"/>
  <c r="Z568" i="1"/>
  <c r="B569" i="1"/>
  <c r="C569" i="1"/>
  <c r="D569" i="1"/>
  <c r="E569" i="1"/>
  <c r="F569" i="1"/>
  <c r="G569" i="1"/>
  <c r="H569" i="1"/>
  <c r="I569" i="1"/>
  <c r="J569" i="1"/>
  <c r="K569" i="1"/>
  <c r="L569" i="1"/>
  <c r="M569" i="1"/>
  <c r="U569" i="1"/>
  <c r="V569" i="1"/>
  <c r="W569" i="1"/>
  <c r="X569" i="1"/>
  <c r="Z569" i="1"/>
  <c r="B570" i="1"/>
  <c r="C570" i="1"/>
  <c r="D570" i="1"/>
  <c r="E570" i="1"/>
  <c r="F570" i="1"/>
  <c r="G570" i="1"/>
  <c r="H570" i="1"/>
  <c r="I570" i="1"/>
  <c r="J570" i="1"/>
  <c r="K570" i="1"/>
  <c r="L570" i="1"/>
  <c r="M570" i="1"/>
  <c r="U570" i="1"/>
  <c r="V570" i="1"/>
  <c r="W570" i="1"/>
  <c r="X570" i="1"/>
  <c r="Z570" i="1"/>
  <c r="B571" i="1"/>
  <c r="C571" i="1"/>
  <c r="D571" i="1"/>
  <c r="E571" i="1"/>
  <c r="F571" i="1"/>
  <c r="G571" i="1"/>
  <c r="H571" i="1"/>
  <c r="I571" i="1"/>
  <c r="J571" i="1"/>
  <c r="K571" i="1"/>
  <c r="L571" i="1"/>
  <c r="M571" i="1"/>
  <c r="U571" i="1"/>
  <c r="V571" i="1"/>
  <c r="W571" i="1"/>
  <c r="X571" i="1"/>
  <c r="Z571" i="1"/>
  <c r="B572" i="1"/>
  <c r="C572" i="1"/>
  <c r="D572" i="1"/>
  <c r="E572" i="1"/>
  <c r="F572" i="1"/>
  <c r="G572" i="1"/>
  <c r="H572" i="1"/>
  <c r="I572" i="1"/>
  <c r="J572" i="1"/>
  <c r="K572" i="1"/>
  <c r="L572" i="1"/>
  <c r="M572" i="1"/>
  <c r="U572" i="1"/>
  <c r="V572" i="1"/>
  <c r="W572" i="1"/>
  <c r="X572" i="1"/>
  <c r="Z572" i="1"/>
  <c r="B573" i="1"/>
  <c r="C573" i="1"/>
  <c r="D573" i="1"/>
  <c r="E573" i="1"/>
  <c r="F573" i="1"/>
  <c r="G573" i="1"/>
  <c r="H573" i="1"/>
  <c r="I573" i="1"/>
  <c r="J573" i="1"/>
  <c r="K573" i="1"/>
  <c r="L573" i="1"/>
  <c r="M573" i="1"/>
  <c r="U573" i="1"/>
  <c r="V573" i="1"/>
  <c r="W573" i="1"/>
  <c r="X573" i="1"/>
  <c r="Z573" i="1"/>
  <c r="B574" i="1"/>
  <c r="C574" i="1"/>
  <c r="D574" i="1"/>
  <c r="E574" i="1"/>
  <c r="F574" i="1"/>
  <c r="G574" i="1"/>
  <c r="H574" i="1"/>
  <c r="I574" i="1"/>
  <c r="J574" i="1"/>
  <c r="K574" i="1"/>
  <c r="L574" i="1"/>
  <c r="M574" i="1"/>
  <c r="U574" i="1"/>
  <c r="V574" i="1"/>
  <c r="W574" i="1"/>
  <c r="X574" i="1"/>
  <c r="Z574" i="1"/>
  <c r="B575" i="1"/>
  <c r="C575" i="1"/>
  <c r="D575" i="1"/>
  <c r="E575" i="1"/>
  <c r="F575" i="1"/>
  <c r="G575" i="1"/>
  <c r="H575" i="1"/>
  <c r="I575" i="1"/>
  <c r="J575" i="1"/>
  <c r="K575" i="1"/>
  <c r="L575" i="1"/>
  <c r="M575" i="1"/>
  <c r="U575" i="1"/>
  <c r="V575" i="1"/>
  <c r="W575" i="1"/>
  <c r="X575" i="1"/>
  <c r="Z575" i="1"/>
  <c r="B576" i="1"/>
  <c r="C576" i="1"/>
  <c r="D576" i="1"/>
  <c r="E576" i="1"/>
  <c r="F576" i="1"/>
  <c r="G576" i="1"/>
  <c r="H576" i="1"/>
  <c r="I576" i="1"/>
  <c r="J576" i="1"/>
  <c r="K576" i="1"/>
  <c r="L576" i="1"/>
  <c r="M576" i="1"/>
  <c r="U576" i="1"/>
  <c r="V576" i="1"/>
  <c r="W576" i="1"/>
  <c r="X576" i="1"/>
  <c r="Z576" i="1"/>
  <c r="B577" i="1"/>
  <c r="C577" i="1"/>
  <c r="D577" i="1"/>
  <c r="E577" i="1"/>
  <c r="F577" i="1"/>
  <c r="G577" i="1"/>
  <c r="H577" i="1"/>
  <c r="I577" i="1"/>
  <c r="J577" i="1"/>
  <c r="K577" i="1"/>
  <c r="L577" i="1"/>
  <c r="M577" i="1"/>
  <c r="U577" i="1"/>
  <c r="V577" i="1"/>
  <c r="W577" i="1"/>
  <c r="X577" i="1"/>
  <c r="Z577" i="1"/>
  <c r="B578" i="1"/>
  <c r="C578" i="1"/>
  <c r="D578" i="1"/>
  <c r="E578" i="1"/>
  <c r="F578" i="1"/>
  <c r="G578" i="1"/>
  <c r="H578" i="1"/>
  <c r="I578" i="1"/>
  <c r="J578" i="1"/>
  <c r="K578" i="1"/>
  <c r="L578" i="1"/>
  <c r="M578" i="1"/>
  <c r="U578" i="1"/>
  <c r="V578" i="1"/>
  <c r="W578" i="1"/>
  <c r="X578" i="1"/>
  <c r="Z578" i="1"/>
  <c r="B579" i="1"/>
  <c r="C579" i="1"/>
  <c r="D579" i="1"/>
  <c r="E579" i="1"/>
  <c r="F579" i="1"/>
  <c r="G579" i="1"/>
  <c r="H579" i="1"/>
  <c r="I579" i="1"/>
  <c r="J579" i="1"/>
  <c r="K579" i="1"/>
  <c r="L579" i="1"/>
  <c r="M579" i="1"/>
  <c r="U579" i="1"/>
  <c r="V579" i="1"/>
  <c r="W579" i="1"/>
  <c r="X579" i="1"/>
  <c r="Z579" i="1"/>
  <c r="B580" i="1"/>
  <c r="C580" i="1"/>
  <c r="D580" i="1"/>
  <c r="E580" i="1"/>
  <c r="F580" i="1"/>
  <c r="G580" i="1"/>
  <c r="H580" i="1"/>
  <c r="I580" i="1"/>
  <c r="J580" i="1"/>
  <c r="K580" i="1"/>
  <c r="L580" i="1"/>
  <c r="M580" i="1"/>
  <c r="U580" i="1"/>
  <c r="V580" i="1"/>
  <c r="W580" i="1"/>
  <c r="X580" i="1"/>
  <c r="Z580" i="1"/>
  <c r="B581" i="1"/>
  <c r="C581" i="1"/>
  <c r="D581" i="1"/>
  <c r="E581" i="1"/>
  <c r="F581" i="1"/>
  <c r="G581" i="1"/>
  <c r="H581" i="1"/>
  <c r="I581" i="1"/>
  <c r="J581" i="1"/>
  <c r="K581" i="1"/>
  <c r="L581" i="1"/>
  <c r="M581" i="1"/>
  <c r="U581" i="1"/>
  <c r="V581" i="1"/>
  <c r="W581" i="1"/>
  <c r="X581" i="1"/>
  <c r="Z581" i="1"/>
  <c r="B582" i="1"/>
  <c r="C582" i="1"/>
  <c r="D582" i="1"/>
  <c r="E582" i="1"/>
  <c r="F582" i="1"/>
  <c r="G582" i="1"/>
  <c r="H582" i="1"/>
  <c r="I582" i="1"/>
  <c r="J582" i="1"/>
  <c r="K582" i="1"/>
  <c r="L582" i="1"/>
  <c r="M582" i="1"/>
  <c r="U582" i="1"/>
  <c r="V582" i="1"/>
  <c r="W582" i="1"/>
  <c r="X582" i="1"/>
  <c r="Z582" i="1"/>
  <c r="B583" i="1"/>
  <c r="C583" i="1"/>
  <c r="D583" i="1"/>
  <c r="E583" i="1"/>
  <c r="F583" i="1"/>
  <c r="G583" i="1"/>
  <c r="H583" i="1"/>
  <c r="I583" i="1"/>
  <c r="J583" i="1"/>
  <c r="K583" i="1"/>
  <c r="L583" i="1"/>
  <c r="M583" i="1"/>
  <c r="U583" i="1"/>
  <c r="V583" i="1"/>
  <c r="W583" i="1"/>
  <c r="X583" i="1"/>
  <c r="Z583" i="1"/>
  <c r="B584" i="1"/>
  <c r="C584" i="1"/>
  <c r="D584" i="1"/>
  <c r="E584" i="1"/>
  <c r="F584" i="1"/>
  <c r="G584" i="1"/>
  <c r="H584" i="1"/>
  <c r="I584" i="1"/>
  <c r="J584" i="1"/>
  <c r="K584" i="1"/>
  <c r="L584" i="1"/>
  <c r="M584" i="1"/>
  <c r="U584" i="1"/>
  <c r="V584" i="1"/>
  <c r="W584" i="1"/>
  <c r="X584" i="1"/>
  <c r="Z584" i="1"/>
  <c r="B585" i="1"/>
  <c r="C585" i="1"/>
  <c r="D585" i="1"/>
  <c r="E585" i="1"/>
  <c r="F585" i="1"/>
  <c r="G585" i="1"/>
  <c r="H585" i="1"/>
  <c r="I585" i="1"/>
  <c r="J585" i="1"/>
  <c r="K585" i="1"/>
  <c r="L585" i="1"/>
  <c r="M585" i="1"/>
  <c r="U585" i="1"/>
  <c r="V585" i="1"/>
  <c r="W585" i="1"/>
  <c r="X585" i="1"/>
  <c r="Z585" i="1"/>
  <c r="B586" i="1"/>
  <c r="C586" i="1"/>
  <c r="D586" i="1"/>
  <c r="E586" i="1"/>
  <c r="F586" i="1"/>
  <c r="G586" i="1"/>
  <c r="H586" i="1"/>
  <c r="I586" i="1"/>
  <c r="J586" i="1"/>
  <c r="K586" i="1"/>
  <c r="L586" i="1"/>
  <c r="M586" i="1"/>
  <c r="U586" i="1"/>
  <c r="V586" i="1"/>
  <c r="W586" i="1"/>
  <c r="X586" i="1"/>
  <c r="Z586" i="1"/>
  <c r="B587" i="1"/>
  <c r="C587" i="1"/>
  <c r="D587" i="1"/>
  <c r="E587" i="1"/>
  <c r="F587" i="1"/>
  <c r="G587" i="1"/>
  <c r="H587" i="1"/>
  <c r="I587" i="1"/>
  <c r="J587" i="1"/>
  <c r="K587" i="1"/>
  <c r="L587" i="1"/>
  <c r="M587" i="1"/>
  <c r="U587" i="1"/>
  <c r="V587" i="1"/>
  <c r="W587" i="1"/>
  <c r="X587" i="1"/>
  <c r="Z587" i="1"/>
  <c r="B588" i="1"/>
  <c r="C588" i="1"/>
  <c r="D588" i="1"/>
  <c r="E588" i="1"/>
  <c r="F588" i="1"/>
  <c r="G588" i="1"/>
  <c r="H588" i="1"/>
  <c r="I588" i="1"/>
  <c r="J588" i="1"/>
  <c r="K588" i="1"/>
  <c r="L588" i="1"/>
  <c r="M588" i="1"/>
  <c r="U588" i="1"/>
  <c r="V588" i="1"/>
  <c r="W588" i="1"/>
  <c r="X588" i="1"/>
  <c r="Z588" i="1"/>
  <c r="B589" i="1"/>
  <c r="C589" i="1"/>
  <c r="D589" i="1"/>
  <c r="E589" i="1"/>
  <c r="F589" i="1"/>
  <c r="G589" i="1"/>
  <c r="H589" i="1"/>
  <c r="I589" i="1"/>
  <c r="J589" i="1"/>
  <c r="K589" i="1"/>
  <c r="L589" i="1"/>
  <c r="M589" i="1"/>
  <c r="U589" i="1"/>
  <c r="V589" i="1"/>
  <c r="W589" i="1"/>
  <c r="X589" i="1"/>
  <c r="Z589" i="1"/>
  <c r="B590" i="1"/>
  <c r="C590" i="1"/>
  <c r="D590" i="1"/>
  <c r="E590" i="1"/>
  <c r="F590" i="1"/>
  <c r="G590" i="1"/>
  <c r="H590" i="1"/>
  <c r="I590" i="1"/>
  <c r="J590" i="1"/>
  <c r="K590" i="1"/>
  <c r="L590" i="1"/>
  <c r="M590" i="1"/>
  <c r="U590" i="1"/>
  <c r="V590" i="1"/>
  <c r="W590" i="1"/>
  <c r="X590" i="1"/>
  <c r="Z590" i="1"/>
  <c r="B591" i="1"/>
  <c r="C591" i="1"/>
  <c r="D591" i="1"/>
  <c r="E591" i="1"/>
  <c r="F591" i="1"/>
  <c r="G591" i="1"/>
  <c r="H591" i="1"/>
  <c r="I591" i="1"/>
  <c r="J591" i="1"/>
  <c r="K591" i="1"/>
  <c r="L591" i="1"/>
  <c r="M591" i="1"/>
  <c r="U591" i="1"/>
  <c r="V591" i="1"/>
  <c r="W591" i="1"/>
  <c r="X591" i="1"/>
  <c r="Z591" i="1"/>
  <c r="B592" i="1"/>
  <c r="C592" i="1"/>
  <c r="D592" i="1"/>
  <c r="E592" i="1"/>
  <c r="F592" i="1"/>
  <c r="G592" i="1"/>
  <c r="H592" i="1"/>
  <c r="I592" i="1"/>
  <c r="J592" i="1"/>
  <c r="K592" i="1"/>
  <c r="L592" i="1"/>
  <c r="M592" i="1"/>
  <c r="U592" i="1"/>
  <c r="V592" i="1"/>
  <c r="W592" i="1"/>
  <c r="X592" i="1"/>
  <c r="Z592" i="1"/>
  <c r="B593" i="1"/>
  <c r="C593" i="1"/>
  <c r="D593" i="1"/>
  <c r="E593" i="1"/>
  <c r="F593" i="1"/>
  <c r="G593" i="1"/>
  <c r="H593" i="1"/>
  <c r="I593" i="1"/>
  <c r="J593" i="1"/>
  <c r="K593" i="1"/>
  <c r="L593" i="1"/>
  <c r="M593" i="1"/>
  <c r="U593" i="1"/>
  <c r="V593" i="1"/>
  <c r="W593" i="1"/>
  <c r="X593" i="1"/>
  <c r="Z593" i="1"/>
  <c r="B594" i="1"/>
  <c r="C594" i="1"/>
  <c r="D594" i="1"/>
  <c r="E594" i="1"/>
  <c r="F594" i="1"/>
  <c r="G594" i="1"/>
  <c r="H594" i="1"/>
  <c r="I594" i="1"/>
  <c r="J594" i="1"/>
  <c r="K594" i="1"/>
  <c r="L594" i="1"/>
  <c r="M594" i="1"/>
  <c r="U594" i="1"/>
  <c r="V594" i="1"/>
  <c r="W594" i="1"/>
  <c r="X594" i="1"/>
  <c r="Z594" i="1"/>
  <c r="B595" i="1"/>
  <c r="C595" i="1"/>
  <c r="D595" i="1"/>
  <c r="E595" i="1"/>
  <c r="F595" i="1"/>
  <c r="G595" i="1"/>
  <c r="H595" i="1"/>
  <c r="I595" i="1"/>
  <c r="J595" i="1"/>
  <c r="K595" i="1"/>
  <c r="L595" i="1"/>
  <c r="M595" i="1"/>
  <c r="U595" i="1"/>
  <c r="V595" i="1"/>
  <c r="W595" i="1"/>
  <c r="X595" i="1"/>
  <c r="Z595" i="1"/>
  <c r="B596" i="1"/>
  <c r="C596" i="1"/>
  <c r="D596" i="1"/>
  <c r="E596" i="1"/>
  <c r="F596" i="1"/>
  <c r="G596" i="1"/>
  <c r="H596" i="1"/>
  <c r="I596" i="1"/>
  <c r="J596" i="1"/>
  <c r="K596" i="1"/>
  <c r="L596" i="1"/>
  <c r="M596" i="1"/>
  <c r="U596" i="1"/>
  <c r="V596" i="1"/>
  <c r="W596" i="1"/>
  <c r="X596" i="1"/>
  <c r="Z596" i="1"/>
  <c r="B597" i="1"/>
  <c r="C597" i="1"/>
  <c r="D597" i="1"/>
  <c r="E597" i="1"/>
  <c r="F597" i="1"/>
  <c r="G597" i="1"/>
  <c r="H597" i="1"/>
  <c r="I597" i="1"/>
  <c r="J597" i="1"/>
  <c r="K597" i="1"/>
  <c r="L597" i="1"/>
  <c r="M597" i="1"/>
  <c r="U597" i="1"/>
  <c r="V597" i="1"/>
  <c r="W597" i="1"/>
  <c r="X597" i="1"/>
  <c r="Z597" i="1"/>
  <c r="B598" i="1"/>
  <c r="C598" i="1"/>
  <c r="D598" i="1"/>
  <c r="E598" i="1"/>
  <c r="F598" i="1"/>
  <c r="G598" i="1"/>
  <c r="H598" i="1"/>
  <c r="I598" i="1"/>
  <c r="J598" i="1"/>
  <c r="K598" i="1"/>
  <c r="L598" i="1"/>
  <c r="M598" i="1"/>
  <c r="U598" i="1"/>
  <c r="V598" i="1"/>
  <c r="W598" i="1"/>
  <c r="X598" i="1"/>
  <c r="Z598" i="1"/>
  <c r="B599" i="1"/>
  <c r="C599" i="1"/>
  <c r="D599" i="1"/>
  <c r="E599" i="1"/>
  <c r="F599" i="1"/>
  <c r="G599" i="1"/>
  <c r="H599" i="1"/>
  <c r="I599" i="1"/>
  <c r="J599" i="1"/>
  <c r="K599" i="1"/>
  <c r="L599" i="1"/>
  <c r="M599" i="1"/>
  <c r="U599" i="1"/>
  <c r="V599" i="1"/>
  <c r="W599" i="1"/>
  <c r="X599" i="1"/>
  <c r="Z599" i="1"/>
  <c r="B600" i="1"/>
  <c r="C600" i="1"/>
  <c r="D600" i="1"/>
  <c r="E600" i="1"/>
  <c r="F600" i="1"/>
  <c r="G600" i="1"/>
  <c r="H600" i="1"/>
  <c r="I600" i="1"/>
  <c r="J600" i="1"/>
  <c r="K600" i="1"/>
  <c r="L600" i="1"/>
  <c r="M600" i="1"/>
  <c r="U600" i="1"/>
  <c r="V600" i="1"/>
  <c r="W600" i="1"/>
  <c r="X600" i="1"/>
  <c r="Z600" i="1"/>
  <c r="B601" i="1"/>
  <c r="C601" i="1"/>
  <c r="D601" i="1"/>
  <c r="E601" i="1"/>
  <c r="F601" i="1"/>
  <c r="G601" i="1"/>
  <c r="H601" i="1"/>
  <c r="I601" i="1"/>
  <c r="J601" i="1"/>
  <c r="K601" i="1"/>
  <c r="L601" i="1"/>
  <c r="M601" i="1"/>
  <c r="U601" i="1"/>
  <c r="V601" i="1"/>
  <c r="W601" i="1"/>
  <c r="X601" i="1"/>
  <c r="Z601" i="1"/>
  <c r="B602" i="1"/>
  <c r="C602" i="1"/>
  <c r="D602" i="1"/>
  <c r="E602" i="1"/>
  <c r="F602" i="1"/>
  <c r="G602" i="1"/>
  <c r="H602" i="1"/>
  <c r="I602" i="1"/>
  <c r="J602" i="1"/>
  <c r="K602" i="1"/>
  <c r="L602" i="1"/>
  <c r="M602" i="1"/>
  <c r="U602" i="1"/>
  <c r="V602" i="1"/>
  <c r="W602" i="1"/>
  <c r="X602" i="1"/>
  <c r="Z602" i="1"/>
  <c r="B603" i="1"/>
  <c r="C603" i="1"/>
  <c r="D603" i="1"/>
  <c r="E603" i="1"/>
  <c r="F603" i="1"/>
  <c r="G603" i="1"/>
  <c r="H603" i="1"/>
  <c r="I603" i="1"/>
  <c r="J603" i="1"/>
  <c r="K603" i="1"/>
  <c r="L603" i="1"/>
  <c r="M603" i="1"/>
  <c r="U603" i="1"/>
  <c r="V603" i="1"/>
  <c r="W603" i="1"/>
  <c r="X603" i="1"/>
  <c r="Z603" i="1"/>
  <c r="B604" i="1"/>
  <c r="C604" i="1"/>
  <c r="D604" i="1"/>
  <c r="E604" i="1"/>
  <c r="F604" i="1"/>
  <c r="G604" i="1"/>
  <c r="H604" i="1"/>
  <c r="I604" i="1"/>
  <c r="J604" i="1"/>
  <c r="K604" i="1"/>
  <c r="L604" i="1"/>
  <c r="M604" i="1"/>
  <c r="U604" i="1"/>
  <c r="V604" i="1"/>
  <c r="W604" i="1"/>
  <c r="X604" i="1"/>
  <c r="Z604" i="1"/>
  <c r="B605" i="1"/>
  <c r="C605" i="1"/>
  <c r="D605" i="1"/>
  <c r="E605" i="1"/>
  <c r="F605" i="1"/>
  <c r="G605" i="1"/>
  <c r="H605" i="1"/>
  <c r="I605" i="1"/>
  <c r="J605" i="1"/>
  <c r="K605" i="1"/>
  <c r="L605" i="1"/>
  <c r="M605" i="1"/>
  <c r="U605" i="1"/>
  <c r="V605" i="1"/>
  <c r="W605" i="1"/>
  <c r="X605" i="1"/>
  <c r="Z605" i="1"/>
  <c r="B606" i="1"/>
  <c r="C606" i="1"/>
  <c r="D606" i="1"/>
  <c r="E606" i="1"/>
  <c r="F606" i="1"/>
  <c r="G606" i="1"/>
  <c r="H606" i="1"/>
  <c r="I606" i="1"/>
  <c r="J606" i="1"/>
  <c r="K606" i="1"/>
  <c r="L606" i="1"/>
  <c r="M606" i="1"/>
  <c r="U606" i="1"/>
  <c r="V606" i="1"/>
  <c r="W606" i="1"/>
  <c r="X606" i="1"/>
  <c r="Z606" i="1"/>
  <c r="B607" i="1"/>
  <c r="C607" i="1"/>
  <c r="D607" i="1"/>
  <c r="E607" i="1"/>
  <c r="F607" i="1"/>
  <c r="G607" i="1"/>
  <c r="H607" i="1"/>
  <c r="I607" i="1"/>
  <c r="J607" i="1"/>
  <c r="K607" i="1"/>
  <c r="L607" i="1"/>
  <c r="M607" i="1"/>
  <c r="U607" i="1"/>
  <c r="V607" i="1"/>
  <c r="W607" i="1"/>
  <c r="X607" i="1"/>
  <c r="Z607" i="1"/>
  <c r="B608" i="1"/>
  <c r="C608" i="1"/>
  <c r="D608" i="1"/>
  <c r="E608" i="1"/>
  <c r="F608" i="1"/>
  <c r="G608" i="1"/>
  <c r="H608" i="1"/>
  <c r="I608" i="1"/>
  <c r="J608" i="1"/>
  <c r="K608" i="1"/>
  <c r="L608" i="1"/>
  <c r="M608" i="1"/>
  <c r="U608" i="1"/>
  <c r="V608" i="1"/>
  <c r="W608" i="1"/>
  <c r="X608" i="1"/>
  <c r="Z608" i="1"/>
  <c r="B609" i="1"/>
  <c r="C609" i="1"/>
  <c r="D609" i="1"/>
  <c r="E609" i="1"/>
  <c r="F609" i="1"/>
  <c r="G609" i="1"/>
  <c r="H609" i="1"/>
  <c r="I609" i="1"/>
  <c r="J609" i="1"/>
  <c r="K609" i="1"/>
  <c r="L609" i="1"/>
  <c r="M609" i="1"/>
  <c r="U609" i="1"/>
  <c r="V609" i="1"/>
  <c r="W609" i="1"/>
  <c r="X609" i="1"/>
  <c r="Z609" i="1"/>
  <c r="B610" i="1"/>
  <c r="C610" i="1"/>
  <c r="D610" i="1"/>
  <c r="E610" i="1"/>
  <c r="F610" i="1"/>
  <c r="G610" i="1"/>
  <c r="H610" i="1"/>
  <c r="I610" i="1"/>
  <c r="J610" i="1"/>
  <c r="K610" i="1"/>
  <c r="L610" i="1"/>
  <c r="M610" i="1"/>
  <c r="U610" i="1"/>
  <c r="V610" i="1"/>
  <c r="W610" i="1"/>
  <c r="X610" i="1"/>
  <c r="Z610" i="1"/>
  <c r="B611" i="1"/>
  <c r="C611" i="1"/>
  <c r="D611" i="1"/>
  <c r="E611" i="1"/>
  <c r="F611" i="1"/>
  <c r="G611" i="1"/>
  <c r="H611" i="1"/>
  <c r="I611" i="1"/>
  <c r="J611" i="1"/>
  <c r="K611" i="1"/>
  <c r="L611" i="1"/>
  <c r="M611" i="1"/>
  <c r="U611" i="1"/>
  <c r="V611" i="1"/>
  <c r="W611" i="1"/>
  <c r="X611" i="1"/>
  <c r="Z611" i="1"/>
  <c r="B612" i="1"/>
  <c r="C612" i="1"/>
  <c r="D612" i="1"/>
  <c r="E612" i="1"/>
  <c r="F612" i="1"/>
  <c r="G612" i="1"/>
  <c r="H612" i="1"/>
  <c r="I612" i="1"/>
  <c r="J612" i="1"/>
  <c r="K612" i="1"/>
  <c r="L612" i="1"/>
  <c r="M612" i="1"/>
  <c r="U612" i="1"/>
  <c r="V612" i="1"/>
  <c r="W612" i="1"/>
  <c r="X612" i="1"/>
  <c r="Z612" i="1"/>
  <c r="B613" i="1"/>
  <c r="C613" i="1"/>
  <c r="D613" i="1"/>
  <c r="E613" i="1"/>
  <c r="F613" i="1"/>
  <c r="G613" i="1"/>
  <c r="H613" i="1"/>
  <c r="I613" i="1"/>
  <c r="J613" i="1"/>
  <c r="K613" i="1"/>
  <c r="L613" i="1"/>
  <c r="M613" i="1"/>
  <c r="U613" i="1"/>
  <c r="V613" i="1"/>
  <c r="W613" i="1"/>
  <c r="X613" i="1"/>
  <c r="Z613" i="1"/>
  <c r="B614" i="1"/>
  <c r="C614" i="1"/>
  <c r="D614" i="1"/>
  <c r="E614" i="1"/>
  <c r="F614" i="1"/>
  <c r="G614" i="1"/>
  <c r="H614" i="1"/>
  <c r="I614" i="1"/>
  <c r="J614" i="1"/>
  <c r="K614" i="1"/>
  <c r="L614" i="1"/>
  <c r="M614" i="1"/>
  <c r="U614" i="1"/>
  <c r="V614" i="1"/>
  <c r="W614" i="1"/>
  <c r="X614" i="1"/>
  <c r="Z614" i="1"/>
  <c r="B615" i="1"/>
  <c r="C615" i="1"/>
  <c r="D615" i="1"/>
  <c r="E615" i="1"/>
  <c r="F615" i="1"/>
  <c r="G615" i="1"/>
  <c r="H615" i="1"/>
  <c r="I615" i="1"/>
  <c r="J615" i="1"/>
  <c r="K615" i="1"/>
  <c r="L615" i="1"/>
  <c r="M615" i="1"/>
  <c r="U615" i="1"/>
  <c r="V615" i="1"/>
  <c r="W615" i="1"/>
  <c r="X615" i="1"/>
  <c r="Z615" i="1"/>
  <c r="B616" i="1"/>
  <c r="C616" i="1"/>
  <c r="D616" i="1"/>
  <c r="E616" i="1"/>
  <c r="F616" i="1"/>
  <c r="G616" i="1"/>
  <c r="H616" i="1"/>
  <c r="I616" i="1"/>
  <c r="J616" i="1"/>
  <c r="K616" i="1"/>
  <c r="L616" i="1"/>
  <c r="M616" i="1"/>
  <c r="U616" i="1"/>
  <c r="V616" i="1"/>
  <c r="W616" i="1"/>
  <c r="X616" i="1"/>
  <c r="Z616" i="1"/>
  <c r="B617" i="1"/>
  <c r="C617" i="1"/>
  <c r="D617" i="1"/>
  <c r="E617" i="1"/>
  <c r="F617" i="1"/>
  <c r="G617" i="1"/>
  <c r="H617" i="1"/>
  <c r="I617" i="1"/>
  <c r="J617" i="1"/>
  <c r="K617" i="1"/>
  <c r="L617" i="1"/>
  <c r="M617" i="1"/>
  <c r="U617" i="1"/>
  <c r="V617" i="1"/>
  <c r="W617" i="1"/>
  <c r="X617" i="1"/>
  <c r="Z617" i="1"/>
  <c r="B618" i="1"/>
  <c r="C618" i="1"/>
  <c r="D618" i="1"/>
  <c r="E618" i="1"/>
  <c r="F618" i="1"/>
  <c r="G618" i="1"/>
  <c r="H618" i="1"/>
  <c r="I618" i="1"/>
  <c r="J618" i="1"/>
  <c r="K618" i="1"/>
  <c r="L618" i="1"/>
  <c r="M618" i="1"/>
  <c r="U618" i="1"/>
  <c r="V618" i="1"/>
  <c r="W618" i="1"/>
  <c r="X618" i="1"/>
  <c r="Z618" i="1"/>
  <c r="B619" i="1"/>
  <c r="C619" i="1"/>
  <c r="D619" i="1"/>
  <c r="E619" i="1"/>
  <c r="F619" i="1"/>
  <c r="G619" i="1"/>
  <c r="H619" i="1"/>
  <c r="I619" i="1"/>
  <c r="J619" i="1"/>
  <c r="K619" i="1"/>
  <c r="L619" i="1"/>
  <c r="M619" i="1"/>
  <c r="U619" i="1"/>
  <c r="V619" i="1"/>
  <c r="W619" i="1"/>
  <c r="X619" i="1"/>
  <c r="Z619" i="1"/>
  <c r="B620" i="1"/>
  <c r="C620" i="1"/>
  <c r="D620" i="1"/>
  <c r="E620" i="1"/>
  <c r="F620" i="1"/>
  <c r="G620" i="1"/>
  <c r="H620" i="1"/>
  <c r="I620" i="1"/>
  <c r="J620" i="1"/>
  <c r="K620" i="1"/>
  <c r="L620" i="1"/>
  <c r="M620" i="1"/>
  <c r="U620" i="1"/>
  <c r="V620" i="1"/>
  <c r="W620" i="1"/>
  <c r="X620" i="1"/>
  <c r="Z620" i="1"/>
  <c r="B621" i="1"/>
  <c r="C621" i="1"/>
  <c r="D621" i="1"/>
  <c r="E621" i="1"/>
  <c r="F621" i="1"/>
  <c r="G621" i="1"/>
  <c r="H621" i="1"/>
  <c r="I621" i="1"/>
  <c r="J621" i="1"/>
  <c r="K621" i="1"/>
  <c r="L621" i="1"/>
  <c r="M621" i="1"/>
  <c r="U621" i="1"/>
  <c r="V621" i="1"/>
  <c r="W621" i="1"/>
  <c r="X621" i="1"/>
  <c r="Z621" i="1"/>
  <c r="B622" i="1"/>
  <c r="C622" i="1"/>
  <c r="D622" i="1"/>
  <c r="E622" i="1"/>
  <c r="F622" i="1"/>
  <c r="G622" i="1"/>
  <c r="H622" i="1"/>
  <c r="I622" i="1"/>
  <c r="J622" i="1"/>
  <c r="K622" i="1"/>
  <c r="L622" i="1"/>
  <c r="M622" i="1"/>
  <c r="U622" i="1"/>
  <c r="V622" i="1"/>
  <c r="W622" i="1"/>
  <c r="X622" i="1"/>
  <c r="Z622" i="1"/>
  <c r="B623" i="1"/>
  <c r="C623" i="1"/>
  <c r="D623" i="1"/>
  <c r="E623" i="1"/>
  <c r="F623" i="1"/>
  <c r="G623" i="1"/>
  <c r="H623" i="1"/>
  <c r="I623" i="1"/>
  <c r="J623" i="1"/>
  <c r="K623" i="1"/>
  <c r="L623" i="1"/>
  <c r="M623" i="1"/>
  <c r="U623" i="1"/>
  <c r="V623" i="1"/>
  <c r="W623" i="1"/>
  <c r="X623" i="1"/>
  <c r="Z623" i="1"/>
  <c r="B624" i="1"/>
  <c r="C624" i="1"/>
  <c r="D624" i="1"/>
  <c r="E624" i="1"/>
  <c r="F624" i="1"/>
  <c r="G624" i="1"/>
  <c r="H624" i="1"/>
  <c r="I624" i="1"/>
  <c r="J624" i="1"/>
  <c r="K624" i="1"/>
  <c r="L624" i="1"/>
  <c r="M624" i="1"/>
  <c r="U624" i="1"/>
  <c r="V624" i="1"/>
  <c r="W624" i="1"/>
  <c r="X624" i="1"/>
  <c r="Z624" i="1"/>
  <c r="B625" i="1"/>
  <c r="C625" i="1"/>
  <c r="D625" i="1"/>
  <c r="E625" i="1"/>
  <c r="F625" i="1"/>
  <c r="G625" i="1"/>
  <c r="H625" i="1"/>
  <c r="I625" i="1"/>
  <c r="J625" i="1"/>
  <c r="K625" i="1"/>
  <c r="L625" i="1"/>
  <c r="M625" i="1"/>
  <c r="U625" i="1"/>
  <c r="V625" i="1"/>
  <c r="W625" i="1"/>
  <c r="X625" i="1"/>
  <c r="Z625" i="1"/>
  <c r="B626" i="1"/>
  <c r="C626" i="1"/>
  <c r="D626" i="1"/>
  <c r="E626" i="1"/>
  <c r="F626" i="1"/>
  <c r="G626" i="1"/>
  <c r="H626" i="1"/>
  <c r="I626" i="1"/>
  <c r="J626" i="1"/>
  <c r="K626" i="1"/>
  <c r="L626" i="1"/>
  <c r="M626" i="1"/>
  <c r="U626" i="1"/>
  <c r="V626" i="1"/>
  <c r="W626" i="1"/>
  <c r="X626" i="1"/>
  <c r="Z626" i="1"/>
  <c r="B627" i="1"/>
  <c r="C627" i="1"/>
  <c r="D627" i="1"/>
  <c r="E627" i="1"/>
  <c r="F627" i="1"/>
  <c r="G627" i="1"/>
  <c r="H627" i="1"/>
  <c r="I627" i="1"/>
  <c r="J627" i="1"/>
  <c r="K627" i="1"/>
  <c r="L627" i="1"/>
  <c r="M627" i="1"/>
  <c r="U627" i="1"/>
  <c r="V627" i="1"/>
  <c r="W627" i="1"/>
  <c r="X627" i="1"/>
  <c r="Z627" i="1"/>
  <c r="B628" i="1"/>
  <c r="C628" i="1"/>
  <c r="D628" i="1"/>
  <c r="E628" i="1"/>
  <c r="F628" i="1"/>
  <c r="G628" i="1"/>
  <c r="H628" i="1"/>
  <c r="I628" i="1"/>
  <c r="J628" i="1"/>
  <c r="K628" i="1"/>
  <c r="L628" i="1"/>
  <c r="M628" i="1"/>
  <c r="U628" i="1"/>
  <c r="V628" i="1"/>
  <c r="W628" i="1"/>
  <c r="X628" i="1"/>
  <c r="Z628" i="1"/>
  <c r="B629" i="1"/>
  <c r="C629" i="1"/>
  <c r="D629" i="1"/>
  <c r="E629" i="1"/>
  <c r="F629" i="1"/>
  <c r="G629" i="1"/>
  <c r="H629" i="1"/>
  <c r="I629" i="1"/>
  <c r="J629" i="1"/>
  <c r="K629" i="1"/>
  <c r="L629" i="1"/>
  <c r="M629" i="1"/>
  <c r="U629" i="1"/>
  <c r="V629" i="1"/>
  <c r="W629" i="1"/>
  <c r="X629" i="1"/>
  <c r="Z629" i="1"/>
  <c r="B630" i="1"/>
  <c r="C630" i="1"/>
  <c r="D630" i="1"/>
  <c r="E630" i="1"/>
  <c r="F630" i="1"/>
  <c r="G630" i="1"/>
  <c r="H630" i="1"/>
  <c r="I630" i="1"/>
  <c r="J630" i="1"/>
  <c r="K630" i="1"/>
  <c r="L630" i="1"/>
  <c r="M630" i="1"/>
  <c r="U630" i="1"/>
  <c r="V630" i="1"/>
  <c r="W630" i="1"/>
  <c r="X630" i="1"/>
  <c r="Z630" i="1"/>
  <c r="B631" i="1"/>
  <c r="C631" i="1"/>
  <c r="D631" i="1"/>
  <c r="E631" i="1"/>
  <c r="F631" i="1"/>
  <c r="G631" i="1"/>
  <c r="H631" i="1"/>
  <c r="I631" i="1"/>
  <c r="J631" i="1"/>
  <c r="K631" i="1"/>
  <c r="L631" i="1"/>
  <c r="M631" i="1"/>
  <c r="U631" i="1"/>
  <c r="V631" i="1"/>
  <c r="W631" i="1"/>
  <c r="X631" i="1"/>
  <c r="Z631" i="1"/>
  <c r="B632" i="1"/>
  <c r="C632" i="1"/>
  <c r="D632" i="1"/>
  <c r="E632" i="1"/>
  <c r="F632" i="1"/>
  <c r="G632" i="1"/>
  <c r="H632" i="1"/>
  <c r="I632" i="1"/>
  <c r="J632" i="1"/>
  <c r="K632" i="1"/>
  <c r="L632" i="1"/>
  <c r="M632" i="1"/>
  <c r="U632" i="1"/>
  <c r="V632" i="1"/>
  <c r="W632" i="1"/>
  <c r="X632" i="1"/>
  <c r="Z632" i="1"/>
  <c r="B633" i="1"/>
  <c r="C633" i="1"/>
  <c r="D633" i="1"/>
  <c r="E633" i="1"/>
  <c r="F633" i="1"/>
  <c r="G633" i="1"/>
  <c r="H633" i="1"/>
  <c r="I633" i="1"/>
  <c r="J633" i="1"/>
  <c r="K633" i="1"/>
  <c r="L633" i="1"/>
  <c r="M633" i="1"/>
  <c r="U633" i="1"/>
  <c r="V633" i="1"/>
  <c r="W633" i="1"/>
  <c r="X633" i="1"/>
  <c r="Z633" i="1"/>
  <c r="B634" i="1"/>
  <c r="C634" i="1"/>
  <c r="D634" i="1"/>
  <c r="E634" i="1"/>
  <c r="F634" i="1"/>
  <c r="G634" i="1"/>
  <c r="H634" i="1"/>
  <c r="I634" i="1"/>
  <c r="J634" i="1"/>
  <c r="K634" i="1"/>
  <c r="L634" i="1"/>
  <c r="M634" i="1"/>
  <c r="U634" i="1"/>
  <c r="V634" i="1"/>
  <c r="W634" i="1"/>
  <c r="X634" i="1"/>
  <c r="Z634" i="1"/>
  <c r="B635" i="1"/>
  <c r="C635" i="1"/>
  <c r="D635" i="1"/>
  <c r="E635" i="1"/>
  <c r="F635" i="1"/>
  <c r="G635" i="1"/>
  <c r="H635" i="1"/>
  <c r="I635" i="1"/>
  <c r="J635" i="1"/>
  <c r="K635" i="1"/>
  <c r="L635" i="1"/>
  <c r="M635" i="1"/>
  <c r="U635" i="1"/>
  <c r="V635" i="1"/>
  <c r="W635" i="1"/>
  <c r="X635" i="1"/>
  <c r="Z635" i="1"/>
  <c r="B636" i="1"/>
  <c r="C636" i="1"/>
  <c r="D636" i="1"/>
  <c r="E636" i="1"/>
  <c r="F636" i="1"/>
  <c r="G636" i="1"/>
  <c r="H636" i="1"/>
  <c r="I636" i="1"/>
  <c r="J636" i="1"/>
  <c r="K636" i="1"/>
  <c r="L636" i="1"/>
  <c r="M636" i="1"/>
  <c r="U636" i="1"/>
  <c r="V636" i="1"/>
  <c r="W636" i="1"/>
  <c r="X636" i="1"/>
  <c r="Z636" i="1"/>
  <c r="B637" i="1"/>
  <c r="C637" i="1"/>
  <c r="D637" i="1"/>
  <c r="E637" i="1"/>
  <c r="F637" i="1"/>
  <c r="G637" i="1"/>
  <c r="H637" i="1"/>
  <c r="I637" i="1"/>
  <c r="J637" i="1"/>
  <c r="K637" i="1"/>
  <c r="L637" i="1"/>
  <c r="M637" i="1"/>
  <c r="U637" i="1"/>
  <c r="V637" i="1"/>
  <c r="W637" i="1"/>
  <c r="X637" i="1"/>
  <c r="Z637" i="1"/>
  <c r="B638" i="1"/>
  <c r="C638" i="1"/>
  <c r="D638" i="1"/>
  <c r="E638" i="1"/>
  <c r="F638" i="1"/>
  <c r="G638" i="1"/>
  <c r="H638" i="1"/>
  <c r="I638" i="1"/>
  <c r="J638" i="1"/>
  <c r="K638" i="1"/>
  <c r="L638" i="1"/>
  <c r="M638" i="1"/>
  <c r="U638" i="1"/>
  <c r="V638" i="1"/>
  <c r="W638" i="1"/>
  <c r="X638" i="1"/>
  <c r="Z638" i="1"/>
  <c r="B639" i="1"/>
  <c r="C639" i="1"/>
  <c r="D639" i="1"/>
  <c r="E639" i="1"/>
  <c r="F639" i="1"/>
  <c r="G639" i="1"/>
  <c r="H639" i="1"/>
  <c r="I639" i="1"/>
  <c r="J639" i="1"/>
  <c r="K639" i="1"/>
  <c r="L639" i="1"/>
  <c r="M639" i="1"/>
  <c r="U639" i="1"/>
  <c r="V639" i="1"/>
  <c r="W639" i="1"/>
  <c r="X639" i="1"/>
  <c r="Z639" i="1"/>
  <c r="B640" i="1"/>
  <c r="C640" i="1"/>
  <c r="D640" i="1"/>
  <c r="E640" i="1"/>
  <c r="F640" i="1"/>
  <c r="G640" i="1"/>
  <c r="H640" i="1"/>
  <c r="I640" i="1"/>
  <c r="J640" i="1"/>
  <c r="K640" i="1"/>
  <c r="L640" i="1"/>
  <c r="M640" i="1"/>
  <c r="U640" i="1"/>
  <c r="V640" i="1"/>
  <c r="W640" i="1"/>
  <c r="X640" i="1"/>
  <c r="Z640" i="1"/>
  <c r="B641" i="1"/>
  <c r="C641" i="1"/>
  <c r="D641" i="1"/>
  <c r="E641" i="1"/>
  <c r="F641" i="1"/>
  <c r="G641" i="1"/>
  <c r="H641" i="1"/>
  <c r="I641" i="1"/>
  <c r="J641" i="1"/>
  <c r="K641" i="1"/>
  <c r="L641" i="1"/>
  <c r="M641" i="1"/>
  <c r="U641" i="1"/>
  <c r="V641" i="1"/>
  <c r="W641" i="1"/>
  <c r="X641" i="1"/>
  <c r="Z641" i="1"/>
  <c r="B642" i="1"/>
  <c r="C642" i="1"/>
  <c r="D642" i="1"/>
  <c r="E642" i="1"/>
  <c r="F642" i="1"/>
  <c r="G642" i="1"/>
  <c r="H642" i="1"/>
  <c r="I642" i="1"/>
  <c r="J642" i="1"/>
  <c r="K642" i="1"/>
  <c r="L642" i="1"/>
  <c r="M642" i="1"/>
  <c r="U642" i="1"/>
  <c r="V642" i="1"/>
  <c r="W642" i="1"/>
  <c r="X642" i="1"/>
  <c r="Z642" i="1"/>
  <c r="B643" i="1"/>
  <c r="C643" i="1"/>
  <c r="D643" i="1"/>
  <c r="E643" i="1"/>
  <c r="F643" i="1"/>
  <c r="G643" i="1"/>
  <c r="H643" i="1"/>
  <c r="I643" i="1"/>
  <c r="J643" i="1"/>
  <c r="K643" i="1"/>
  <c r="L643" i="1"/>
  <c r="M643" i="1"/>
  <c r="U643" i="1"/>
  <c r="V643" i="1"/>
  <c r="W643" i="1"/>
  <c r="X643" i="1"/>
  <c r="Z643" i="1"/>
  <c r="B644" i="1"/>
  <c r="C644" i="1"/>
  <c r="D644" i="1"/>
  <c r="E644" i="1"/>
  <c r="F644" i="1"/>
  <c r="G644" i="1"/>
  <c r="H644" i="1"/>
  <c r="I644" i="1"/>
  <c r="J644" i="1"/>
  <c r="K644" i="1"/>
  <c r="L644" i="1"/>
  <c r="M644" i="1"/>
  <c r="U644" i="1"/>
  <c r="V644" i="1"/>
  <c r="W644" i="1"/>
  <c r="X644" i="1"/>
  <c r="Z644" i="1"/>
  <c r="B645" i="1"/>
  <c r="C645" i="1"/>
  <c r="D645" i="1"/>
  <c r="E645" i="1"/>
  <c r="F645" i="1"/>
  <c r="G645" i="1"/>
  <c r="H645" i="1"/>
  <c r="I645" i="1"/>
  <c r="J645" i="1"/>
  <c r="K645" i="1"/>
  <c r="L645" i="1"/>
  <c r="M645" i="1"/>
  <c r="U645" i="1"/>
  <c r="V645" i="1"/>
  <c r="W645" i="1"/>
  <c r="X645" i="1"/>
  <c r="Z645" i="1"/>
  <c r="B646" i="1"/>
  <c r="C646" i="1"/>
  <c r="D646" i="1"/>
  <c r="E646" i="1"/>
  <c r="F646" i="1"/>
  <c r="G646" i="1"/>
  <c r="H646" i="1"/>
  <c r="I646" i="1"/>
  <c r="J646" i="1"/>
  <c r="K646" i="1"/>
  <c r="L646" i="1"/>
  <c r="M646" i="1"/>
  <c r="U646" i="1"/>
  <c r="V646" i="1"/>
  <c r="W646" i="1"/>
  <c r="X646" i="1"/>
  <c r="Z646" i="1"/>
  <c r="B647" i="1"/>
  <c r="C647" i="1"/>
  <c r="D647" i="1"/>
  <c r="E647" i="1"/>
  <c r="F647" i="1"/>
  <c r="G647" i="1"/>
  <c r="H647" i="1"/>
  <c r="I647" i="1"/>
  <c r="J647" i="1"/>
  <c r="K647" i="1"/>
  <c r="L647" i="1"/>
  <c r="M647" i="1"/>
  <c r="U647" i="1"/>
  <c r="V647" i="1"/>
  <c r="W647" i="1"/>
  <c r="X647" i="1"/>
  <c r="Z647" i="1"/>
  <c r="B648" i="1"/>
  <c r="C648" i="1"/>
  <c r="D648" i="1"/>
  <c r="E648" i="1"/>
  <c r="F648" i="1"/>
  <c r="G648" i="1"/>
  <c r="H648" i="1"/>
  <c r="I648" i="1"/>
  <c r="J648" i="1"/>
  <c r="K648" i="1"/>
  <c r="L648" i="1"/>
  <c r="M648" i="1"/>
  <c r="U648" i="1"/>
  <c r="V648" i="1"/>
  <c r="W648" i="1"/>
  <c r="X648" i="1"/>
  <c r="Z648" i="1"/>
  <c r="B649" i="1"/>
  <c r="C649" i="1"/>
  <c r="D649" i="1"/>
  <c r="E649" i="1"/>
  <c r="F649" i="1"/>
  <c r="G649" i="1"/>
  <c r="H649" i="1"/>
  <c r="I649" i="1"/>
  <c r="J649" i="1"/>
  <c r="K649" i="1"/>
  <c r="L649" i="1"/>
  <c r="M649" i="1"/>
  <c r="U649" i="1"/>
  <c r="V649" i="1"/>
  <c r="W649" i="1"/>
  <c r="X649" i="1"/>
  <c r="Z649" i="1"/>
  <c r="B650" i="1"/>
  <c r="C650" i="1"/>
  <c r="D650" i="1"/>
  <c r="E650" i="1"/>
  <c r="F650" i="1"/>
  <c r="G650" i="1"/>
  <c r="H650" i="1"/>
  <c r="I650" i="1"/>
  <c r="J650" i="1"/>
  <c r="K650" i="1"/>
  <c r="L650" i="1"/>
  <c r="M650" i="1"/>
  <c r="U650" i="1"/>
  <c r="V650" i="1"/>
  <c r="W650" i="1"/>
  <c r="X650" i="1"/>
  <c r="Z650" i="1"/>
  <c r="B651" i="1"/>
  <c r="C651" i="1"/>
  <c r="D651" i="1"/>
  <c r="E651" i="1"/>
  <c r="F651" i="1"/>
  <c r="G651" i="1"/>
  <c r="H651" i="1"/>
  <c r="I651" i="1"/>
  <c r="J651" i="1"/>
  <c r="K651" i="1"/>
  <c r="L651" i="1"/>
  <c r="M651" i="1"/>
  <c r="U651" i="1"/>
  <c r="V651" i="1"/>
  <c r="W651" i="1"/>
  <c r="X651" i="1"/>
  <c r="Z651" i="1"/>
  <c r="B652" i="1"/>
  <c r="C652" i="1"/>
  <c r="D652" i="1"/>
  <c r="E652" i="1"/>
  <c r="F652" i="1"/>
  <c r="G652" i="1"/>
  <c r="H652" i="1"/>
  <c r="I652" i="1"/>
  <c r="J652" i="1"/>
  <c r="K652" i="1"/>
  <c r="L652" i="1"/>
  <c r="M652" i="1"/>
  <c r="U652" i="1"/>
  <c r="V652" i="1"/>
  <c r="W652" i="1"/>
  <c r="X652" i="1"/>
  <c r="Z652" i="1"/>
  <c r="B653" i="1"/>
  <c r="C653" i="1"/>
  <c r="D653" i="1"/>
  <c r="E653" i="1"/>
  <c r="F653" i="1"/>
  <c r="G653" i="1"/>
  <c r="H653" i="1"/>
  <c r="I653" i="1"/>
  <c r="J653" i="1"/>
  <c r="K653" i="1"/>
  <c r="L653" i="1"/>
  <c r="M653" i="1"/>
  <c r="U653" i="1"/>
  <c r="V653" i="1"/>
  <c r="W653" i="1"/>
  <c r="X653" i="1"/>
  <c r="Z653" i="1"/>
  <c r="B654" i="1"/>
  <c r="C654" i="1"/>
  <c r="D654" i="1"/>
  <c r="E654" i="1"/>
  <c r="F654" i="1"/>
  <c r="G654" i="1"/>
  <c r="H654" i="1"/>
  <c r="I654" i="1"/>
  <c r="J654" i="1"/>
  <c r="K654" i="1"/>
  <c r="L654" i="1"/>
  <c r="M654" i="1"/>
  <c r="U654" i="1"/>
  <c r="V654" i="1"/>
  <c r="W654" i="1"/>
  <c r="X654" i="1"/>
  <c r="Z654" i="1"/>
  <c r="B655" i="1"/>
  <c r="C655" i="1"/>
  <c r="D655" i="1"/>
  <c r="E655" i="1"/>
  <c r="F655" i="1"/>
  <c r="G655" i="1"/>
  <c r="H655" i="1"/>
  <c r="I655" i="1"/>
  <c r="J655" i="1"/>
  <c r="K655" i="1"/>
  <c r="L655" i="1"/>
  <c r="M655" i="1"/>
  <c r="U655" i="1"/>
  <c r="V655" i="1"/>
  <c r="W655" i="1"/>
  <c r="X655" i="1"/>
  <c r="Z655" i="1"/>
  <c r="B656" i="1"/>
  <c r="C656" i="1"/>
  <c r="D656" i="1"/>
  <c r="E656" i="1"/>
  <c r="F656" i="1"/>
  <c r="G656" i="1"/>
  <c r="H656" i="1"/>
  <c r="I656" i="1"/>
  <c r="J656" i="1"/>
  <c r="K656" i="1"/>
  <c r="L656" i="1"/>
  <c r="M656" i="1"/>
  <c r="U656" i="1"/>
  <c r="V656" i="1"/>
  <c r="W656" i="1"/>
  <c r="X656" i="1"/>
  <c r="Z656" i="1"/>
  <c r="B657" i="1"/>
  <c r="C657" i="1"/>
  <c r="D657" i="1"/>
  <c r="E657" i="1"/>
  <c r="F657" i="1"/>
  <c r="G657" i="1"/>
  <c r="H657" i="1"/>
  <c r="I657" i="1"/>
  <c r="J657" i="1"/>
  <c r="K657" i="1"/>
  <c r="L657" i="1"/>
  <c r="M657" i="1"/>
  <c r="U657" i="1"/>
  <c r="V657" i="1"/>
  <c r="W657" i="1"/>
  <c r="X657" i="1"/>
  <c r="Z657" i="1"/>
  <c r="B658" i="1"/>
  <c r="C658" i="1"/>
  <c r="D658" i="1"/>
  <c r="E658" i="1"/>
  <c r="F658" i="1"/>
  <c r="G658" i="1"/>
  <c r="H658" i="1"/>
  <c r="I658" i="1"/>
  <c r="J658" i="1"/>
  <c r="K658" i="1"/>
  <c r="L658" i="1"/>
  <c r="M658" i="1"/>
  <c r="U658" i="1"/>
  <c r="V658" i="1"/>
  <c r="W658" i="1"/>
  <c r="X658" i="1"/>
  <c r="Z658" i="1"/>
  <c r="B659" i="1"/>
  <c r="C659" i="1"/>
  <c r="D659" i="1"/>
  <c r="E659" i="1"/>
  <c r="F659" i="1"/>
  <c r="G659" i="1"/>
  <c r="H659" i="1"/>
  <c r="I659" i="1"/>
  <c r="J659" i="1"/>
  <c r="K659" i="1"/>
  <c r="L659" i="1"/>
  <c r="M659" i="1"/>
  <c r="U659" i="1"/>
  <c r="V659" i="1"/>
  <c r="W659" i="1"/>
  <c r="X659" i="1"/>
  <c r="Z659" i="1"/>
  <c r="B660" i="1"/>
  <c r="C660" i="1"/>
  <c r="D660" i="1"/>
  <c r="E660" i="1"/>
  <c r="F660" i="1"/>
  <c r="G660" i="1"/>
  <c r="H660" i="1"/>
  <c r="I660" i="1"/>
  <c r="J660" i="1"/>
  <c r="K660" i="1"/>
  <c r="L660" i="1"/>
  <c r="M660" i="1"/>
  <c r="U660" i="1"/>
  <c r="V660" i="1"/>
  <c r="W660" i="1"/>
  <c r="X660" i="1"/>
  <c r="Z660" i="1"/>
  <c r="B661" i="1"/>
  <c r="C661" i="1"/>
  <c r="D661" i="1"/>
  <c r="E661" i="1"/>
  <c r="F661" i="1"/>
  <c r="G661" i="1"/>
  <c r="H661" i="1"/>
  <c r="I661" i="1"/>
  <c r="J661" i="1"/>
  <c r="K661" i="1"/>
  <c r="L661" i="1"/>
  <c r="M661" i="1"/>
  <c r="U661" i="1"/>
  <c r="V661" i="1"/>
  <c r="W661" i="1"/>
  <c r="X661" i="1"/>
  <c r="Z661" i="1"/>
  <c r="B662" i="1"/>
  <c r="C662" i="1"/>
  <c r="D662" i="1"/>
  <c r="E662" i="1"/>
  <c r="F662" i="1"/>
  <c r="G662" i="1"/>
  <c r="H662" i="1"/>
  <c r="I662" i="1"/>
  <c r="J662" i="1"/>
  <c r="K662" i="1"/>
  <c r="L662" i="1"/>
  <c r="M662" i="1"/>
  <c r="U662" i="1"/>
  <c r="V662" i="1"/>
  <c r="W662" i="1"/>
  <c r="X662" i="1"/>
  <c r="Z662" i="1"/>
  <c r="B663" i="1"/>
  <c r="C663" i="1"/>
  <c r="D663" i="1"/>
  <c r="E663" i="1"/>
  <c r="F663" i="1"/>
  <c r="G663" i="1"/>
  <c r="H663" i="1"/>
  <c r="I663" i="1"/>
  <c r="J663" i="1"/>
  <c r="K663" i="1"/>
  <c r="L663" i="1"/>
  <c r="M663" i="1"/>
  <c r="U663" i="1"/>
  <c r="V663" i="1"/>
  <c r="W663" i="1"/>
  <c r="X663" i="1"/>
  <c r="Z663" i="1"/>
  <c r="B664" i="1"/>
  <c r="C664" i="1"/>
  <c r="D664" i="1"/>
  <c r="E664" i="1"/>
  <c r="F664" i="1"/>
  <c r="G664" i="1"/>
  <c r="H664" i="1"/>
  <c r="I664" i="1"/>
  <c r="J664" i="1"/>
  <c r="K664" i="1"/>
  <c r="L664" i="1"/>
  <c r="M664" i="1"/>
  <c r="U664" i="1"/>
  <c r="V664" i="1"/>
  <c r="W664" i="1"/>
  <c r="X664" i="1"/>
  <c r="Z664" i="1"/>
  <c r="B665" i="1"/>
  <c r="C665" i="1"/>
  <c r="D665" i="1"/>
  <c r="E665" i="1"/>
  <c r="F665" i="1"/>
  <c r="G665" i="1"/>
  <c r="H665" i="1"/>
  <c r="I665" i="1"/>
  <c r="J665" i="1"/>
  <c r="K665" i="1"/>
  <c r="L665" i="1"/>
  <c r="M665" i="1"/>
  <c r="U665" i="1"/>
  <c r="V665" i="1"/>
  <c r="W665" i="1"/>
  <c r="X665" i="1"/>
  <c r="Z665" i="1"/>
  <c r="B666" i="1"/>
  <c r="C666" i="1"/>
  <c r="D666" i="1"/>
  <c r="E666" i="1"/>
  <c r="F666" i="1"/>
  <c r="G666" i="1"/>
  <c r="H666" i="1"/>
  <c r="I666" i="1"/>
  <c r="J666" i="1"/>
  <c r="K666" i="1"/>
  <c r="L666" i="1"/>
  <c r="M666" i="1"/>
  <c r="U666" i="1"/>
  <c r="V666" i="1"/>
  <c r="W666" i="1"/>
  <c r="X666" i="1"/>
  <c r="Z666" i="1"/>
  <c r="B667" i="1"/>
  <c r="C667" i="1"/>
  <c r="D667" i="1"/>
  <c r="E667" i="1"/>
  <c r="F667" i="1"/>
  <c r="G667" i="1"/>
  <c r="H667" i="1"/>
  <c r="I667" i="1"/>
  <c r="J667" i="1"/>
  <c r="K667" i="1"/>
  <c r="L667" i="1"/>
  <c r="M667" i="1"/>
  <c r="U667" i="1"/>
  <c r="V667" i="1"/>
  <c r="W667" i="1"/>
  <c r="X667" i="1"/>
  <c r="Z667" i="1"/>
  <c r="B668" i="1"/>
  <c r="C668" i="1"/>
  <c r="D668" i="1"/>
  <c r="E668" i="1"/>
  <c r="F668" i="1"/>
  <c r="G668" i="1"/>
  <c r="H668" i="1"/>
  <c r="I668" i="1"/>
  <c r="J668" i="1"/>
  <c r="K668" i="1"/>
  <c r="L668" i="1"/>
  <c r="M668" i="1"/>
  <c r="U668" i="1"/>
  <c r="V668" i="1"/>
  <c r="W668" i="1"/>
  <c r="X668" i="1"/>
  <c r="Z668" i="1"/>
  <c r="B669" i="1"/>
  <c r="C669" i="1"/>
  <c r="D669" i="1"/>
  <c r="E669" i="1"/>
  <c r="F669" i="1"/>
  <c r="G669" i="1"/>
  <c r="H669" i="1"/>
  <c r="I669" i="1"/>
  <c r="J669" i="1"/>
  <c r="K669" i="1"/>
  <c r="L669" i="1"/>
  <c r="M669" i="1"/>
  <c r="U669" i="1"/>
  <c r="V669" i="1"/>
  <c r="W669" i="1"/>
  <c r="X669" i="1"/>
  <c r="Z669" i="1"/>
  <c r="B670" i="1"/>
  <c r="C670" i="1"/>
  <c r="D670" i="1"/>
  <c r="E670" i="1"/>
  <c r="F670" i="1"/>
  <c r="G670" i="1"/>
  <c r="H670" i="1"/>
  <c r="I670" i="1"/>
  <c r="J670" i="1"/>
  <c r="K670" i="1"/>
  <c r="L670" i="1"/>
  <c r="M670" i="1"/>
  <c r="U670" i="1"/>
  <c r="V670" i="1"/>
  <c r="W670" i="1"/>
  <c r="X670" i="1"/>
  <c r="Z670" i="1"/>
  <c r="B671" i="1"/>
  <c r="C671" i="1"/>
  <c r="D671" i="1"/>
  <c r="E671" i="1"/>
  <c r="F671" i="1"/>
  <c r="G671" i="1"/>
  <c r="H671" i="1"/>
  <c r="I671" i="1"/>
  <c r="J671" i="1"/>
  <c r="K671" i="1"/>
  <c r="L671" i="1"/>
  <c r="M671" i="1"/>
  <c r="U671" i="1"/>
  <c r="V671" i="1"/>
  <c r="W671" i="1"/>
  <c r="X671" i="1"/>
  <c r="Z671" i="1"/>
  <c r="B672" i="1"/>
  <c r="C672" i="1"/>
  <c r="D672" i="1"/>
  <c r="E672" i="1"/>
  <c r="F672" i="1"/>
  <c r="G672" i="1"/>
  <c r="H672" i="1"/>
  <c r="I672" i="1"/>
  <c r="J672" i="1"/>
  <c r="K672" i="1"/>
  <c r="L672" i="1"/>
  <c r="M672" i="1"/>
  <c r="U672" i="1"/>
  <c r="V672" i="1"/>
  <c r="W672" i="1"/>
  <c r="X672" i="1"/>
  <c r="Z672" i="1"/>
  <c r="B673" i="1"/>
  <c r="C673" i="1"/>
  <c r="D673" i="1"/>
  <c r="E673" i="1"/>
  <c r="F673" i="1"/>
  <c r="G673" i="1"/>
  <c r="H673" i="1"/>
  <c r="I673" i="1"/>
  <c r="J673" i="1"/>
  <c r="K673" i="1"/>
  <c r="L673" i="1"/>
  <c r="M673" i="1"/>
  <c r="U673" i="1"/>
  <c r="V673" i="1"/>
  <c r="W673" i="1"/>
  <c r="X673" i="1"/>
  <c r="Z673" i="1"/>
  <c r="B674" i="1"/>
  <c r="C674" i="1"/>
  <c r="D674" i="1"/>
  <c r="E674" i="1"/>
  <c r="F674" i="1"/>
  <c r="G674" i="1"/>
  <c r="H674" i="1"/>
  <c r="I674" i="1"/>
  <c r="J674" i="1"/>
  <c r="K674" i="1"/>
  <c r="L674" i="1"/>
  <c r="M674" i="1"/>
  <c r="U674" i="1"/>
  <c r="V674" i="1"/>
  <c r="W674" i="1"/>
  <c r="X674" i="1"/>
  <c r="Z674" i="1"/>
  <c r="B675" i="1"/>
  <c r="C675" i="1"/>
  <c r="D675" i="1"/>
  <c r="E675" i="1"/>
  <c r="F675" i="1"/>
  <c r="G675" i="1"/>
  <c r="H675" i="1"/>
  <c r="I675" i="1"/>
  <c r="J675" i="1"/>
  <c r="K675" i="1"/>
  <c r="L675" i="1"/>
  <c r="M675" i="1"/>
  <c r="U675" i="1"/>
  <c r="V675" i="1"/>
  <c r="W675" i="1"/>
  <c r="X675" i="1"/>
  <c r="Z675" i="1"/>
  <c r="B676" i="1"/>
  <c r="C676" i="1"/>
  <c r="D676" i="1"/>
  <c r="E676" i="1"/>
  <c r="F676" i="1"/>
  <c r="G676" i="1"/>
  <c r="H676" i="1"/>
  <c r="I676" i="1"/>
  <c r="J676" i="1"/>
  <c r="K676" i="1"/>
  <c r="L676" i="1"/>
  <c r="M676" i="1"/>
  <c r="U676" i="1"/>
  <c r="V676" i="1"/>
  <c r="W676" i="1"/>
  <c r="X676" i="1"/>
  <c r="Z676" i="1"/>
  <c r="B677" i="1"/>
  <c r="C677" i="1"/>
  <c r="D677" i="1"/>
  <c r="E677" i="1"/>
  <c r="F677" i="1"/>
  <c r="G677" i="1"/>
  <c r="H677" i="1"/>
  <c r="I677" i="1"/>
  <c r="J677" i="1"/>
  <c r="K677" i="1"/>
  <c r="L677" i="1"/>
  <c r="M677" i="1"/>
  <c r="U677" i="1"/>
  <c r="V677" i="1"/>
  <c r="W677" i="1"/>
  <c r="X677" i="1"/>
  <c r="Z677" i="1"/>
  <c r="B678" i="1"/>
  <c r="C678" i="1"/>
  <c r="D678" i="1"/>
  <c r="E678" i="1"/>
  <c r="F678" i="1"/>
  <c r="G678" i="1"/>
  <c r="H678" i="1"/>
  <c r="I678" i="1"/>
  <c r="J678" i="1"/>
  <c r="K678" i="1"/>
  <c r="L678" i="1"/>
  <c r="M678" i="1"/>
  <c r="U678" i="1"/>
  <c r="V678" i="1"/>
  <c r="W678" i="1"/>
  <c r="X678" i="1"/>
  <c r="Z678" i="1"/>
  <c r="B679" i="1"/>
  <c r="C679" i="1"/>
  <c r="D679" i="1"/>
  <c r="E679" i="1"/>
  <c r="F679" i="1"/>
  <c r="G679" i="1"/>
  <c r="H679" i="1"/>
  <c r="I679" i="1"/>
  <c r="J679" i="1"/>
  <c r="K679" i="1"/>
  <c r="L679" i="1"/>
  <c r="M679" i="1"/>
  <c r="U679" i="1"/>
  <c r="V679" i="1"/>
  <c r="W679" i="1"/>
  <c r="X679" i="1"/>
  <c r="Z679" i="1"/>
  <c r="B680" i="1"/>
  <c r="C680" i="1"/>
  <c r="D680" i="1"/>
  <c r="E680" i="1"/>
  <c r="F680" i="1"/>
  <c r="G680" i="1"/>
  <c r="H680" i="1"/>
  <c r="I680" i="1"/>
  <c r="J680" i="1"/>
  <c r="K680" i="1"/>
  <c r="L680" i="1"/>
  <c r="M680" i="1"/>
  <c r="U680" i="1"/>
  <c r="V680" i="1"/>
  <c r="W680" i="1"/>
  <c r="X680" i="1"/>
  <c r="Z680" i="1"/>
  <c r="B681" i="1"/>
  <c r="C681" i="1"/>
  <c r="D681" i="1"/>
  <c r="E681" i="1"/>
  <c r="F681" i="1"/>
  <c r="G681" i="1"/>
  <c r="H681" i="1"/>
  <c r="I681" i="1"/>
  <c r="J681" i="1"/>
  <c r="K681" i="1"/>
  <c r="L681" i="1"/>
  <c r="M681" i="1"/>
  <c r="U681" i="1"/>
  <c r="V681" i="1"/>
  <c r="W681" i="1"/>
  <c r="X681" i="1"/>
  <c r="Z681" i="1"/>
  <c r="B682" i="1"/>
  <c r="C682" i="1"/>
  <c r="D682" i="1"/>
  <c r="E682" i="1"/>
  <c r="F682" i="1"/>
  <c r="G682" i="1"/>
  <c r="H682" i="1"/>
  <c r="I682" i="1"/>
  <c r="J682" i="1"/>
  <c r="K682" i="1"/>
  <c r="L682" i="1"/>
  <c r="M682" i="1"/>
  <c r="U682" i="1"/>
  <c r="V682" i="1"/>
  <c r="W682" i="1"/>
  <c r="X682" i="1"/>
  <c r="Z682" i="1"/>
  <c r="B683" i="1"/>
  <c r="C683" i="1"/>
  <c r="D683" i="1"/>
  <c r="E683" i="1"/>
  <c r="F683" i="1"/>
  <c r="G683" i="1"/>
  <c r="H683" i="1"/>
  <c r="I683" i="1"/>
  <c r="J683" i="1"/>
  <c r="K683" i="1"/>
  <c r="L683" i="1"/>
  <c r="M683" i="1"/>
  <c r="U683" i="1"/>
  <c r="V683" i="1"/>
  <c r="W683" i="1"/>
  <c r="X683" i="1"/>
  <c r="Z683" i="1"/>
  <c r="B684" i="1"/>
  <c r="C684" i="1"/>
  <c r="D684" i="1"/>
  <c r="E684" i="1"/>
  <c r="F684" i="1"/>
  <c r="G684" i="1"/>
  <c r="H684" i="1"/>
  <c r="I684" i="1"/>
  <c r="J684" i="1"/>
  <c r="K684" i="1"/>
  <c r="L684" i="1"/>
  <c r="M684" i="1"/>
  <c r="U684" i="1"/>
  <c r="V684" i="1"/>
  <c r="W684" i="1"/>
  <c r="X684" i="1"/>
  <c r="Z684" i="1"/>
  <c r="B685" i="1"/>
  <c r="C685" i="1"/>
  <c r="D685" i="1"/>
  <c r="E685" i="1"/>
  <c r="F685" i="1"/>
  <c r="G685" i="1"/>
  <c r="H685" i="1"/>
  <c r="I685" i="1"/>
  <c r="J685" i="1"/>
  <c r="K685" i="1"/>
  <c r="L685" i="1"/>
  <c r="M685" i="1"/>
  <c r="U685" i="1"/>
  <c r="V685" i="1"/>
  <c r="W685" i="1"/>
  <c r="X685" i="1"/>
  <c r="Z685" i="1"/>
  <c r="B686" i="1"/>
  <c r="C686" i="1"/>
  <c r="D686" i="1"/>
  <c r="E686" i="1"/>
  <c r="F686" i="1"/>
  <c r="G686" i="1"/>
  <c r="H686" i="1"/>
  <c r="I686" i="1"/>
  <c r="J686" i="1"/>
  <c r="K686" i="1"/>
  <c r="L686" i="1"/>
  <c r="M686" i="1"/>
  <c r="U686" i="1"/>
  <c r="V686" i="1"/>
  <c r="W686" i="1"/>
  <c r="X686" i="1"/>
  <c r="Z686" i="1"/>
  <c r="B687" i="1"/>
  <c r="C687" i="1"/>
  <c r="D687" i="1"/>
  <c r="E687" i="1"/>
  <c r="F687" i="1"/>
  <c r="G687" i="1"/>
  <c r="H687" i="1"/>
  <c r="I687" i="1"/>
  <c r="J687" i="1"/>
  <c r="K687" i="1"/>
  <c r="L687" i="1"/>
  <c r="M687" i="1"/>
  <c r="U687" i="1"/>
  <c r="V687" i="1"/>
  <c r="W687" i="1"/>
  <c r="X687" i="1"/>
  <c r="Z687" i="1"/>
  <c r="B688" i="1"/>
  <c r="C688" i="1"/>
  <c r="D688" i="1"/>
  <c r="E688" i="1"/>
  <c r="F688" i="1"/>
  <c r="G688" i="1"/>
  <c r="H688" i="1"/>
  <c r="I688" i="1"/>
  <c r="J688" i="1"/>
  <c r="K688" i="1"/>
  <c r="L688" i="1"/>
  <c r="M688" i="1"/>
  <c r="U688" i="1"/>
  <c r="V688" i="1"/>
  <c r="W688" i="1"/>
  <c r="X688" i="1"/>
  <c r="Z688" i="1"/>
  <c r="B689" i="1"/>
  <c r="C689" i="1"/>
  <c r="D689" i="1"/>
  <c r="E689" i="1"/>
  <c r="F689" i="1"/>
  <c r="G689" i="1"/>
  <c r="H689" i="1"/>
  <c r="I689" i="1"/>
  <c r="J689" i="1"/>
  <c r="K689" i="1"/>
  <c r="L689" i="1"/>
  <c r="M689" i="1"/>
  <c r="U689" i="1"/>
  <c r="V689" i="1"/>
  <c r="W689" i="1"/>
  <c r="X689" i="1"/>
  <c r="Z689" i="1"/>
  <c r="B690" i="1"/>
  <c r="C690" i="1"/>
  <c r="D690" i="1"/>
  <c r="E690" i="1"/>
  <c r="F690" i="1"/>
  <c r="G690" i="1"/>
  <c r="H690" i="1"/>
  <c r="I690" i="1"/>
  <c r="J690" i="1"/>
  <c r="K690" i="1"/>
  <c r="L690" i="1"/>
  <c r="M690" i="1"/>
  <c r="U690" i="1"/>
  <c r="V690" i="1"/>
  <c r="W690" i="1"/>
  <c r="X690" i="1"/>
  <c r="Z690" i="1"/>
  <c r="B691" i="1"/>
  <c r="C691" i="1"/>
  <c r="D691" i="1"/>
  <c r="E691" i="1"/>
  <c r="F691" i="1"/>
  <c r="G691" i="1"/>
  <c r="H691" i="1"/>
  <c r="I691" i="1"/>
  <c r="J691" i="1"/>
  <c r="K691" i="1"/>
  <c r="L691" i="1"/>
  <c r="M691" i="1"/>
  <c r="U691" i="1"/>
  <c r="V691" i="1"/>
  <c r="W691" i="1"/>
  <c r="X691" i="1"/>
  <c r="Z691" i="1"/>
  <c r="B692" i="1"/>
  <c r="C692" i="1"/>
  <c r="D692" i="1"/>
  <c r="E692" i="1"/>
  <c r="F692" i="1"/>
  <c r="G692" i="1"/>
  <c r="H692" i="1"/>
  <c r="I692" i="1"/>
  <c r="J692" i="1"/>
  <c r="K692" i="1"/>
  <c r="L692" i="1"/>
  <c r="M692" i="1"/>
  <c r="U692" i="1"/>
  <c r="V692" i="1"/>
  <c r="W692" i="1"/>
  <c r="X692" i="1"/>
  <c r="Z692" i="1"/>
  <c r="B693" i="1"/>
  <c r="C693" i="1"/>
  <c r="D693" i="1"/>
  <c r="E693" i="1"/>
  <c r="F693" i="1"/>
  <c r="G693" i="1"/>
  <c r="H693" i="1"/>
  <c r="I693" i="1"/>
  <c r="J693" i="1"/>
  <c r="K693" i="1"/>
  <c r="L693" i="1"/>
  <c r="M693" i="1"/>
  <c r="U693" i="1"/>
  <c r="V693" i="1"/>
  <c r="W693" i="1"/>
  <c r="X693" i="1"/>
  <c r="Z693" i="1"/>
  <c r="B694" i="1"/>
  <c r="C694" i="1"/>
  <c r="D694" i="1"/>
  <c r="E694" i="1"/>
  <c r="F694" i="1"/>
  <c r="G694" i="1"/>
  <c r="H694" i="1"/>
  <c r="I694" i="1"/>
  <c r="J694" i="1"/>
  <c r="K694" i="1"/>
  <c r="L694" i="1"/>
  <c r="M694" i="1"/>
  <c r="U694" i="1"/>
  <c r="V694" i="1"/>
  <c r="W694" i="1"/>
  <c r="X694" i="1"/>
  <c r="Z694" i="1"/>
  <c r="B695" i="1"/>
  <c r="C695" i="1"/>
  <c r="D695" i="1"/>
  <c r="E695" i="1"/>
  <c r="F695" i="1"/>
  <c r="G695" i="1"/>
  <c r="H695" i="1"/>
  <c r="I695" i="1"/>
  <c r="J695" i="1"/>
  <c r="K695" i="1"/>
  <c r="L695" i="1"/>
  <c r="M695" i="1"/>
  <c r="U695" i="1"/>
  <c r="V695" i="1"/>
  <c r="W695" i="1"/>
  <c r="X695" i="1"/>
  <c r="Z695" i="1"/>
  <c r="B696" i="1"/>
  <c r="C696" i="1"/>
  <c r="D696" i="1"/>
  <c r="E696" i="1"/>
  <c r="F696" i="1"/>
  <c r="G696" i="1"/>
  <c r="H696" i="1"/>
  <c r="I696" i="1"/>
  <c r="J696" i="1"/>
  <c r="K696" i="1"/>
  <c r="L696" i="1"/>
  <c r="M696" i="1"/>
  <c r="U696" i="1"/>
  <c r="V696" i="1"/>
  <c r="W696" i="1"/>
  <c r="X696" i="1"/>
  <c r="Z696" i="1"/>
  <c r="B697" i="1"/>
  <c r="C697" i="1"/>
  <c r="D697" i="1"/>
  <c r="E697" i="1"/>
  <c r="F697" i="1"/>
  <c r="G697" i="1"/>
  <c r="H697" i="1"/>
  <c r="I697" i="1"/>
  <c r="J697" i="1"/>
  <c r="K697" i="1"/>
  <c r="L697" i="1"/>
  <c r="M697" i="1"/>
  <c r="U697" i="1"/>
  <c r="V697" i="1"/>
  <c r="W697" i="1"/>
  <c r="X697" i="1"/>
  <c r="Z697" i="1"/>
  <c r="B698" i="1"/>
  <c r="C698" i="1"/>
  <c r="D698" i="1"/>
  <c r="E698" i="1"/>
  <c r="F698" i="1"/>
  <c r="G698" i="1"/>
  <c r="H698" i="1"/>
  <c r="I698" i="1"/>
  <c r="J698" i="1"/>
  <c r="K698" i="1"/>
  <c r="L698" i="1"/>
  <c r="M698" i="1"/>
  <c r="U698" i="1"/>
  <c r="V698" i="1"/>
  <c r="W698" i="1"/>
  <c r="X698" i="1"/>
  <c r="Z698" i="1"/>
  <c r="B699" i="1"/>
  <c r="C699" i="1"/>
  <c r="D699" i="1"/>
  <c r="E699" i="1"/>
  <c r="F699" i="1"/>
  <c r="G699" i="1"/>
  <c r="H699" i="1"/>
  <c r="I699" i="1"/>
  <c r="J699" i="1"/>
  <c r="K699" i="1"/>
  <c r="L699" i="1"/>
  <c r="M699" i="1"/>
  <c r="U699" i="1"/>
  <c r="V699" i="1"/>
  <c r="W699" i="1"/>
  <c r="X699" i="1"/>
  <c r="Z699" i="1"/>
  <c r="B700" i="1"/>
  <c r="C700" i="1"/>
  <c r="D700" i="1"/>
  <c r="E700" i="1"/>
  <c r="F700" i="1"/>
  <c r="G700" i="1"/>
  <c r="H700" i="1"/>
  <c r="I700" i="1"/>
  <c r="J700" i="1"/>
  <c r="K700" i="1"/>
  <c r="L700" i="1"/>
  <c r="M700" i="1"/>
  <c r="U700" i="1"/>
  <c r="V700" i="1"/>
  <c r="W700" i="1"/>
  <c r="X700" i="1"/>
  <c r="Z700" i="1"/>
  <c r="B701" i="1"/>
  <c r="C701" i="1"/>
  <c r="D701" i="1"/>
  <c r="E701" i="1"/>
  <c r="F701" i="1"/>
  <c r="G701" i="1"/>
  <c r="H701" i="1"/>
  <c r="I701" i="1"/>
  <c r="J701" i="1"/>
  <c r="K701" i="1"/>
  <c r="L701" i="1"/>
  <c r="M701" i="1"/>
  <c r="U701" i="1"/>
  <c r="V701" i="1"/>
  <c r="W701" i="1"/>
  <c r="X701" i="1"/>
  <c r="Z701" i="1"/>
  <c r="B702" i="1"/>
  <c r="C702" i="1"/>
  <c r="D702" i="1"/>
  <c r="E702" i="1"/>
  <c r="F702" i="1"/>
  <c r="G702" i="1"/>
  <c r="H702" i="1"/>
  <c r="I702" i="1"/>
  <c r="J702" i="1"/>
  <c r="K702" i="1"/>
  <c r="L702" i="1"/>
  <c r="M702" i="1"/>
  <c r="U702" i="1"/>
  <c r="V702" i="1"/>
  <c r="W702" i="1"/>
  <c r="X702" i="1"/>
  <c r="Z702" i="1"/>
  <c r="B703" i="1"/>
  <c r="C703" i="1"/>
  <c r="D703" i="1"/>
  <c r="E703" i="1"/>
  <c r="F703" i="1"/>
  <c r="G703" i="1"/>
  <c r="H703" i="1"/>
  <c r="I703" i="1"/>
  <c r="J703" i="1"/>
  <c r="K703" i="1"/>
  <c r="L703" i="1"/>
  <c r="M703" i="1"/>
  <c r="U703" i="1"/>
  <c r="V703" i="1"/>
  <c r="W703" i="1"/>
  <c r="X703" i="1"/>
  <c r="Z703" i="1"/>
  <c r="B704" i="1"/>
  <c r="C704" i="1"/>
  <c r="D704" i="1"/>
  <c r="E704" i="1"/>
  <c r="F704" i="1"/>
  <c r="G704" i="1"/>
  <c r="H704" i="1"/>
  <c r="I704" i="1"/>
  <c r="J704" i="1"/>
  <c r="K704" i="1"/>
  <c r="L704" i="1"/>
  <c r="M704" i="1"/>
  <c r="U704" i="1"/>
  <c r="V704" i="1"/>
  <c r="W704" i="1"/>
  <c r="X704" i="1"/>
  <c r="Z704" i="1"/>
  <c r="B705" i="1"/>
  <c r="C705" i="1"/>
  <c r="D705" i="1"/>
  <c r="E705" i="1"/>
  <c r="F705" i="1"/>
  <c r="G705" i="1"/>
  <c r="H705" i="1"/>
  <c r="I705" i="1"/>
  <c r="J705" i="1"/>
  <c r="K705" i="1"/>
  <c r="L705" i="1"/>
  <c r="M705" i="1"/>
  <c r="U705" i="1"/>
  <c r="V705" i="1"/>
  <c r="W705" i="1"/>
  <c r="X705" i="1"/>
  <c r="Z705" i="1"/>
  <c r="B706" i="1"/>
  <c r="C706" i="1"/>
  <c r="D706" i="1"/>
  <c r="E706" i="1"/>
  <c r="F706" i="1"/>
  <c r="G706" i="1"/>
  <c r="H706" i="1"/>
  <c r="I706" i="1"/>
  <c r="J706" i="1"/>
  <c r="K706" i="1"/>
  <c r="L706" i="1"/>
  <c r="M706" i="1"/>
  <c r="U706" i="1"/>
  <c r="V706" i="1"/>
  <c r="W706" i="1"/>
  <c r="X706" i="1"/>
  <c r="Z706" i="1"/>
  <c r="B707" i="1"/>
  <c r="C707" i="1"/>
  <c r="D707" i="1"/>
  <c r="E707" i="1"/>
  <c r="F707" i="1"/>
  <c r="G707" i="1"/>
  <c r="H707" i="1"/>
  <c r="I707" i="1"/>
  <c r="J707" i="1"/>
  <c r="K707" i="1"/>
  <c r="L707" i="1"/>
  <c r="M707" i="1"/>
  <c r="U707" i="1"/>
  <c r="V707" i="1"/>
  <c r="W707" i="1"/>
  <c r="X707" i="1"/>
  <c r="Z707" i="1"/>
  <c r="B708" i="1"/>
  <c r="C708" i="1"/>
  <c r="D708" i="1"/>
  <c r="E708" i="1"/>
  <c r="F708" i="1"/>
  <c r="G708" i="1"/>
  <c r="H708" i="1"/>
  <c r="I708" i="1"/>
  <c r="J708" i="1"/>
  <c r="K708" i="1"/>
  <c r="L708" i="1"/>
  <c r="M708" i="1"/>
  <c r="U708" i="1"/>
  <c r="V708" i="1"/>
  <c r="W708" i="1"/>
  <c r="X708" i="1"/>
  <c r="Z708" i="1"/>
  <c r="B709" i="1"/>
  <c r="C709" i="1"/>
  <c r="D709" i="1"/>
  <c r="E709" i="1"/>
  <c r="F709" i="1"/>
  <c r="G709" i="1"/>
  <c r="H709" i="1"/>
  <c r="I709" i="1"/>
  <c r="J709" i="1"/>
  <c r="K709" i="1"/>
  <c r="L709" i="1"/>
  <c r="M709" i="1"/>
  <c r="U709" i="1"/>
  <c r="V709" i="1"/>
  <c r="W709" i="1"/>
  <c r="X709" i="1"/>
  <c r="Z709" i="1"/>
  <c r="B710" i="1"/>
  <c r="C710" i="1"/>
  <c r="D710" i="1"/>
  <c r="E710" i="1"/>
  <c r="F710" i="1"/>
  <c r="G710" i="1"/>
  <c r="H710" i="1"/>
  <c r="I710" i="1"/>
  <c r="J710" i="1"/>
  <c r="K710" i="1"/>
  <c r="L710" i="1"/>
  <c r="M710" i="1"/>
  <c r="U710" i="1"/>
  <c r="V710" i="1"/>
  <c r="W710" i="1"/>
  <c r="X710" i="1"/>
  <c r="Z710" i="1"/>
  <c r="B711" i="1"/>
  <c r="C711" i="1"/>
  <c r="D711" i="1"/>
  <c r="E711" i="1"/>
  <c r="F711" i="1"/>
  <c r="G711" i="1"/>
  <c r="H711" i="1"/>
  <c r="I711" i="1"/>
  <c r="J711" i="1"/>
  <c r="K711" i="1"/>
  <c r="L711" i="1"/>
  <c r="M711" i="1"/>
  <c r="U711" i="1"/>
  <c r="V711" i="1"/>
  <c r="W711" i="1"/>
  <c r="X711" i="1"/>
  <c r="Z711" i="1"/>
  <c r="B712" i="1"/>
  <c r="C712" i="1"/>
  <c r="D712" i="1"/>
  <c r="E712" i="1"/>
  <c r="F712" i="1"/>
  <c r="G712" i="1"/>
  <c r="H712" i="1"/>
  <c r="I712" i="1"/>
  <c r="J712" i="1"/>
  <c r="K712" i="1"/>
  <c r="L712" i="1"/>
  <c r="M712" i="1"/>
  <c r="U712" i="1"/>
  <c r="V712" i="1"/>
  <c r="W712" i="1"/>
  <c r="X712" i="1"/>
  <c r="Z712" i="1"/>
  <c r="B713" i="1"/>
  <c r="C713" i="1"/>
  <c r="D713" i="1"/>
  <c r="E713" i="1"/>
  <c r="F713" i="1"/>
  <c r="G713" i="1"/>
  <c r="H713" i="1"/>
  <c r="I713" i="1"/>
  <c r="J713" i="1"/>
  <c r="K713" i="1"/>
  <c r="L713" i="1"/>
  <c r="M713" i="1"/>
  <c r="U713" i="1"/>
  <c r="V713" i="1"/>
  <c r="W713" i="1"/>
  <c r="X713" i="1"/>
  <c r="Z713" i="1"/>
  <c r="B714" i="1"/>
  <c r="C714" i="1"/>
  <c r="D714" i="1"/>
  <c r="E714" i="1"/>
  <c r="F714" i="1"/>
  <c r="G714" i="1"/>
  <c r="H714" i="1"/>
  <c r="I714" i="1"/>
  <c r="J714" i="1"/>
  <c r="K714" i="1"/>
  <c r="L714" i="1"/>
  <c r="M714" i="1"/>
  <c r="U714" i="1"/>
  <c r="V714" i="1"/>
  <c r="W714" i="1"/>
  <c r="X714" i="1"/>
  <c r="Z714" i="1"/>
  <c r="B715" i="1"/>
  <c r="C715" i="1"/>
  <c r="D715" i="1"/>
  <c r="E715" i="1"/>
  <c r="F715" i="1"/>
  <c r="G715" i="1"/>
  <c r="H715" i="1"/>
  <c r="I715" i="1"/>
  <c r="J715" i="1"/>
  <c r="K715" i="1"/>
  <c r="L715" i="1"/>
  <c r="M715" i="1"/>
  <c r="U715" i="1"/>
  <c r="V715" i="1"/>
  <c r="W715" i="1"/>
  <c r="X715" i="1"/>
  <c r="Z715" i="1"/>
  <c r="B716" i="1"/>
  <c r="C716" i="1"/>
  <c r="D716" i="1"/>
  <c r="E716" i="1"/>
  <c r="F716" i="1"/>
  <c r="G716" i="1"/>
  <c r="H716" i="1"/>
  <c r="I716" i="1"/>
  <c r="J716" i="1"/>
  <c r="K716" i="1"/>
  <c r="L716" i="1"/>
  <c r="M716" i="1"/>
  <c r="U716" i="1"/>
  <c r="V716" i="1"/>
  <c r="W716" i="1"/>
  <c r="X716" i="1"/>
  <c r="Z716" i="1"/>
  <c r="B717" i="1"/>
  <c r="C717" i="1"/>
  <c r="D717" i="1"/>
  <c r="E717" i="1"/>
  <c r="F717" i="1"/>
  <c r="G717" i="1"/>
  <c r="H717" i="1"/>
  <c r="I717" i="1"/>
  <c r="J717" i="1"/>
  <c r="K717" i="1"/>
  <c r="L717" i="1"/>
  <c r="M717" i="1"/>
  <c r="U717" i="1"/>
  <c r="V717" i="1"/>
  <c r="W717" i="1"/>
  <c r="X717" i="1"/>
  <c r="Z717" i="1"/>
  <c r="B718" i="1"/>
  <c r="C718" i="1"/>
  <c r="D718" i="1"/>
  <c r="E718" i="1"/>
  <c r="F718" i="1"/>
  <c r="G718" i="1"/>
  <c r="H718" i="1"/>
  <c r="I718" i="1"/>
  <c r="J718" i="1"/>
  <c r="K718" i="1"/>
  <c r="L718" i="1"/>
  <c r="M718" i="1"/>
  <c r="U718" i="1"/>
  <c r="V718" i="1"/>
  <c r="W718" i="1"/>
  <c r="X718" i="1"/>
  <c r="Z718" i="1"/>
  <c r="B719" i="1"/>
  <c r="C719" i="1"/>
  <c r="D719" i="1"/>
  <c r="E719" i="1"/>
  <c r="F719" i="1"/>
  <c r="G719" i="1"/>
  <c r="H719" i="1"/>
  <c r="I719" i="1"/>
  <c r="J719" i="1"/>
  <c r="K719" i="1"/>
  <c r="L719" i="1"/>
  <c r="M719" i="1"/>
  <c r="U719" i="1"/>
  <c r="V719" i="1"/>
  <c r="W719" i="1"/>
  <c r="X719" i="1"/>
  <c r="Z719" i="1"/>
  <c r="B720" i="1"/>
  <c r="C720" i="1"/>
  <c r="D720" i="1"/>
  <c r="E720" i="1"/>
  <c r="F720" i="1"/>
  <c r="G720" i="1"/>
  <c r="H720" i="1"/>
  <c r="I720" i="1"/>
  <c r="J720" i="1"/>
  <c r="K720" i="1"/>
  <c r="L720" i="1"/>
  <c r="M720" i="1"/>
  <c r="U720" i="1"/>
  <c r="V720" i="1"/>
  <c r="W720" i="1"/>
  <c r="X720" i="1"/>
  <c r="Z720" i="1"/>
  <c r="B721" i="1"/>
  <c r="C721" i="1"/>
  <c r="D721" i="1"/>
  <c r="E721" i="1"/>
  <c r="F721" i="1"/>
  <c r="G721" i="1"/>
  <c r="H721" i="1"/>
  <c r="I721" i="1"/>
  <c r="J721" i="1"/>
  <c r="K721" i="1"/>
  <c r="L721" i="1"/>
  <c r="M721" i="1"/>
  <c r="U721" i="1"/>
  <c r="V721" i="1"/>
  <c r="W721" i="1"/>
  <c r="X721" i="1"/>
  <c r="Z721" i="1"/>
  <c r="B722" i="1"/>
  <c r="C722" i="1"/>
  <c r="D722" i="1"/>
  <c r="E722" i="1"/>
  <c r="F722" i="1"/>
  <c r="G722" i="1"/>
  <c r="H722" i="1"/>
  <c r="I722" i="1"/>
  <c r="J722" i="1"/>
  <c r="K722" i="1"/>
  <c r="L722" i="1"/>
  <c r="M722" i="1"/>
  <c r="U722" i="1"/>
  <c r="V722" i="1"/>
  <c r="W722" i="1"/>
  <c r="X722" i="1"/>
  <c r="Z722" i="1"/>
  <c r="B723" i="1"/>
  <c r="C723" i="1"/>
  <c r="D723" i="1"/>
  <c r="E723" i="1"/>
  <c r="F723" i="1"/>
  <c r="G723" i="1"/>
  <c r="H723" i="1"/>
  <c r="I723" i="1"/>
  <c r="J723" i="1"/>
  <c r="K723" i="1"/>
  <c r="L723" i="1"/>
  <c r="M723" i="1"/>
  <c r="U723" i="1"/>
  <c r="V723" i="1"/>
  <c r="W723" i="1"/>
  <c r="X723" i="1"/>
  <c r="Z723" i="1"/>
  <c r="B724" i="1"/>
  <c r="C724" i="1"/>
  <c r="D724" i="1"/>
  <c r="E724" i="1"/>
  <c r="F724" i="1"/>
  <c r="G724" i="1"/>
  <c r="H724" i="1"/>
  <c r="I724" i="1"/>
  <c r="J724" i="1"/>
  <c r="K724" i="1"/>
  <c r="L724" i="1"/>
  <c r="M724" i="1"/>
  <c r="U724" i="1"/>
  <c r="V724" i="1"/>
  <c r="W724" i="1"/>
  <c r="X724" i="1"/>
  <c r="Z724" i="1"/>
  <c r="B725" i="1"/>
  <c r="C725" i="1"/>
  <c r="D725" i="1"/>
  <c r="E725" i="1"/>
  <c r="F725" i="1"/>
  <c r="G725" i="1"/>
  <c r="H725" i="1"/>
  <c r="I725" i="1"/>
  <c r="J725" i="1"/>
  <c r="K725" i="1"/>
  <c r="L725" i="1"/>
  <c r="M725" i="1"/>
  <c r="U725" i="1"/>
  <c r="V725" i="1"/>
  <c r="W725" i="1"/>
  <c r="X725" i="1"/>
  <c r="Z725" i="1"/>
  <c r="B726" i="1"/>
  <c r="C726" i="1"/>
  <c r="D726" i="1"/>
  <c r="E726" i="1"/>
  <c r="F726" i="1"/>
  <c r="G726" i="1"/>
  <c r="H726" i="1"/>
  <c r="I726" i="1"/>
  <c r="J726" i="1"/>
  <c r="K726" i="1"/>
  <c r="L726" i="1"/>
  <c r="M726" i="1"/>
  <c r="U726" i="1"/>
  <c r="V726" i="1"/>
  <c r="W726" i="1"/>
  <c r="X726" i="1"/>
  <c r="Z726" i="1"/>
  <c r="B727" i="1"/>
  <c r="C727" i="1"/>
  <c r="D727" i="1"/>
  <c r="E727" i="1"/>
  <c r="F727" i="1"/>
  <c r="G727" i="1"/>
  <c r="H727" i="1"/>
  <c r="I727" i="1"/>
  <c r="J727" i="1"/>
  <c r="K727" i="1"/>
  <c r="L727" i="1"/>
  <c r="M727" i="1"/>
  <c r="U727" i="1"/>
  <c r="V727" i="1"/>
  <c r="W727" i="1"/>
  <c r="X727" i="1"/>
  <c r="Z727" i="1"/>
  <c r="B728" i="1"/>
  <c r="C728" i="1"/>
  <c r="D728" i="1"/>
  <c r="E728" i="1"/>
  <c r="F728" i="1"/>
  <c r="G728" i="1"/>
  <c r="H728" i="1"/>
  <c r="I728" i="1"/>
  <c r="J728" i="1"/>
  <c r="K728" i="1"/>
  <c r="L728" i="1"/>
  <c r="M728" i="1"/>
  <c r="U728" i="1"/>
  <c r="V728" i="1"/>
  <c r="W728" i="1"/>
  <c r="X728" i="1"/>
  <c r="Z728" i="1"/>
  <c r="B729" i="1"/>
  <c r="C729" i="1"/>
  <c r="D729" i="1"/>
  <c r="E729" i="1"/>
  <c r="F729" i="1"/>
  <c r="G729" i="1"/>
  <c r="H729" i="1"/>
  <c r="I729" i="1"/>
  <c r="J729" i="1"/>
  <c r="K729" i="1"/>
  <c r="L729" i="1"/>
  <c r="M729" i="1"/>
  <c r="U729" i="1"/>
  <c r="V729" i="1"/>
  <c r="W729" i="1"/>
  <c r="X729" i="1"/>
  <c r="Z729" i="1"/>
  <c r="B730" i="1"/>
  <c r="C730" i="1"/>
  <c r="D730" i="1"/>
  <c r="E730" i="1"/>
  <c r="F730" i="1"/>
  <c r="G730" i="1"/>
  <c r="H730" i="1"/>
  <c r="I730" i="1"/>
  <c r="J730" i="1"/>
  <c r="K730" i="1"/>
  <c r="L730" i="1"/>
  <c r="M730" i="1"/>
  <c r="U730" i="1"/>
  <c r="V730" i="1"/>
  <c r="W730" i="1"/>
  <c r="X730" i="1"/>
  <c r="Z730" i="1"/>
  <c r="B731" i="1"/>
  <c r="C731" i="1"/>
  <c r="D731" i="1"/>
  <c r="E731" i="1"/>
  <c r="F731" i="1"/>
  <c r="G731" i="1"/>
  <c r="H731" i="1"/>
  <c r="I731" i="1"/>
  <c r="J731" i="1"/>
  <c r="K731" i="1"/>
  <c r="L731" i="1"/>
  <c r="M731" i="1"/>
  <c r="U731" i="1"/>
  <c r="V731" i="1"/>
  <c r="W731" i="1"/>
  <c r="X731" i="1"/>
  <c r="Z731" i="1"/>
  <c r="B732" i="1"/>
  <c r="C732" i="1"/>
  <c r="D732" i="1"/>
  <c r="E732" i="1"/>
  <c r="F732" i="1"/>
  <c r="G732" i="1"/>
  <c r="H732" i="1"/>
  <c r="I732" i="1"/>
  <c r="J732" i="1"/>
  <c r="K732" i="1"/>
  <c r="L732" i="1"/>
  <c r="M732" i="1"/>
  <c r="U732" i="1"/>
  <c r="V732" i="1"/>
  <c r="W732" i="1"/>
  <c r="X732" i="1"/>
  <c r="Z732" i="1"/>
  <c r="B733" i="1"/>
  <c r="C733" i="1"/>
  <c r="D733" i="1"/>
  <c r="E733" i="1"/>
  <c r="F733" i="1"/>
  <c r="G733" i="1"/>
  <c r="H733" i="1"/>
  <c r="I733" i="1"/>
  <c r="J733" i="1"/>
  <c r="K733" i="1"/>
  <c r="L733" i="1"/>
  <c r="M733" i="1"/>
  <c r="U733" i="1"/>
  <c r="V733" i="1"/>
  <c r="W733" i="1"/>
  <c r="X733" i="1"/>
  <c r="Z733" i="1"/>
  <c r="B734" i="1"/>
  <c r="C734" i="1"/>
  <c r="D734" i="1"/>
  <c r="E734" i="1"/>
  <c r="F734" i="1"/>
  <c r="G734" i="1"/>
  <c r="H734" i="1"/>
  <c r="I734" i="1"/>
  <c r="J734" i="1"/>
  <c r="K734" i="1"/>
  <c r="L734" i="1"/>
  <c r="M734" i="1"/>
  <c r="U734" i="1"/>
  <c r="V734" i="1"/>
  <c r="W734" i="1"/>
  <c r="X734" i="1"/>
  <c r="Z734" i="1"/>
  <c r="B735" i="1"/>
  <c r="C735" i="1"/>
  <c r="D735" i="1"/>
  <c r="E735" i="1"/>
  <c r="F735" i="1"/>
  <c r="G735" i="1"/>
  <c r="H735" i="1"/>
  <c r="I735" i="1"/>
  <c r="J735" i="1"/>
  <c r="K735" i="1"/>
  <c r="L735" i="1"/>
  <c r="M735" i="1"/>
  <c r="U735" i="1"/>
  <c r="V735" i="1"/>
  <c r="W735" i="1"/>
  <c r="X735" i="1"/>
  <c r="Z735" i="1"/>
  <c r="B736" i="1"/>
  <c r="C736" i="1"/>
  <c r="D736" i="1"/>
  <c r="E736" i="1"/>
  <c r="F736" i="1"/>
  <c r="G736" i="1"/>
  <c r="H736" i="1"/>
  <c r="I736" i="1"/>
  <c r="J736" i="1"/>
  <c r="K736" i="1"/>
  <c r="L736" i="1"/>
  <c r="M736" i="1"/>
  <c r="U736" i="1"/>
  <c r="V736" i="1"/>
  <c r="W736" i="1"/>
  <c r="X736" i="1"/>
  <c r="Z736" i="1"/>
  <c r="B737" i="1"/>
  <c r="C737" i="1"/>
  <c r="D737" i="1"/>
  <c r="E737" i="1"/>
  <c r="F737" i="1"/>
  <c r="G737" i="1"/>
  <c r="H737" i="1"/>
  <c r="I737" i="1"/>
  <c r="J737" i="1"/>
  <c r="K737" i="1"/>
  <c r="L737" i="1"/>
  <c r="M737" i="1"/>
  <c r="U737" i="1"/>
  <c r="V737" i="1"/>
  <c r="W737" i="1"/>
  <c r="X737" i="1"/>
  <c r="Z737" i="1"/>
  <c r="B738" i="1"/>
  <c r="C738" i="1"/>
  <c r="D738" i="1"/>
  <c r="E738" i="1"/>
  <c r="F738" i="1"/>
  <c r="G738" i="1"/>
  <c r="H738" i="1"/>
  <c r="I738" i="1"/>
  <c r="J738" i="1"/>
  <c r="K738" i="1"/>
  <c r="L738" i="1"/>
  <c r="M738" i="1"/>
  <c r="U738" i="1"/>
  <c r="V738" i="1"/>
  <c r="W738" i="1"/>
  <c r="X738" i="1"/>
  <c r="Z738" i="1"/>
  <c r="B739" i="1"/>
  <c r="C739" i="1"/>
  <c r="D739" i="1"/>
  <c r="E739" i="1"/>
  <c r="F739" i="1"/>
  <c r="G739" i="1"/>
  <c r="H739" i="1"/>
  <c r="I739" i="1"/>
  <c r="J739" i="1"/>
  <c r="K739" i="1"/>
  <c r="L739" i="1"/>
  <c r="M739" i="1"/>
  <c r="U739" i="1"/>
  <c r="V739" i="1"/>
  <c r="W739" i="1"/>
  <c r="X739" i="1"/>
  <c r="Z739" i="1"/>
  <c r="B740" i="1"/>
  <c r="C740" i="1"/>
  <c r="D740" i="1"/>
  <c r="E740" i="1"/>
  <c r="F740" i="1"/>
  <c r="G740" i="1"/>
  <c r="H740" i="1"/>
  <c r="I740" i="1"/>
  <c r="J740" i="1"/>
  <c r="K740" i="1"/>
  <c r="L740" i="1"/>
  <c r="M740" i="1"/>
  <c r="U740" i="1"/>
  <c r="V740" i="1"/>
  <c r="W740" i="1"/>
  <c r="X740" i="1"/>
  <c r="Z740" i="1"/>
  <c r="B741" i="1"/>
  <c r="C741" i="1"/>
  <c r="D741" i="1"/>
  <c r="E741" i="1"/>
  <c r="F741" i="1"/>
  <c r="G741" i="1"/>
  <c r="H741" i="1"/>
  <c r="I741" i="1"/>
  <c r="J741" i="1"/>
  <c r="K741" i="1"/>
  <c r="L741" i="1"/>
  <c r="M741" i="1"/>
  <c r="U741" i="1"/>
  <c r="V741" i="1"/>
  <c r="W741" i="1"/>
  <c r="X741" i="1"/>
  <c r="Z741" i="1"/>
  <c r="B742" i="1"/>
  <c r="C742" i="1"/>
  <c r="D742" i="1"/>
  <c r="E742" i="1"/>
  <c r="F742" i="1"/>
  <c r="G742" i="1"/>
  <c r="H742" i="1"/>
  <c r="I742" i="1"/>
  <c r="J742" i="1"/>
  <c r="K742" i="1"/>
  <c r="L742" i="1"/>
  <c r="M742" i="1"/>
  <c r="U742" i="1"/>
  <c r="V742" i="1"/>
  <c r="W742" i="1"/>
  <c r="X742" i="1"/>
  <c r="Z742" i="1"/>
  <c r="B743" i="1"/>
  <c r="C743" i="1"/>
  <c r="D743" i="1"/>
  <c r="E743" i="1"/>
  <c r="F743" i="1"/>
  <c r="G743" i="1"/>
  <c r="H743" i="1"/>
  <c r="I743" i="1"/>
  <c r="J743" i="1"/>
  <c r="K743" i="1"/>
  <c r="L743" i="1"/>
  <c r="M743" i="1"/>
  <c r="U743" i="1"/>
  <c r="V743" i="1"/>
  <c r="W743" i="1"/>
  <c r="X743" i="1"/>
  <c r="Z743" i="1"/>
  <c r="B744" i="1"/>
  <c r="C744" i="1"/>
  <c r="D744" i="1"/>
  <c r="E744" i="1"/>
  <c r="F744" i="1"/>
  <c r="G744" i="1"/>
  <c r="H744" i="1"/>
  <c r="I744" i="1"/>
  <c r="J744" i="1"/>
  <c r="K744" i="1"/>
  <c r="L744" i="1"/>
  <c r="M744" i="1"/>
  <c r="U744" i="1"/>
  <c r="V744" i="1"/>
  <c r="W744" i="1"/>
  <c r="X744" i="1"/>
  <c r="Z744" i="1"/>
  <c r="B745" i="1"/>
  <c r="C745" i="1"/>
  <c r="D745" i="1"/>
  <c r="E745" i="1"/>
  <c r="F745" i="1"/>
  <c r="G745" i="1"/>
  <c r="H745" i="1"/>
  <c r="I745" i="1"/>
  <c r="J745" i="1"/>
  <c r="K745" i="1"/>
  <c r="L745" i="1"/>
  <c r="M745" i="1"/>
  <c r="U745" i="1"/>
  <c r="V745" i="1"/>
  <c r="W745" i="1"/>
  <c r="X745" i="1"/>
  <c r="Z745" i="1"/>
  <c r="B746" i="1"/>
  <c r="C746" i="1"/>
  <c r="D746" i="1"/>
  <c r="E746" i="1"/>
  <c r="F746" i="1"/>
  <c r="G746" i="1"/>
  <c r="H746" i="1"/>
  <c r="I746" i="1"/>
  <c r="J746" i="1"/>
  <c r="K746" i="1"/>
  <c r="L746" i="1"/>
  <c r="M746" i="1"/>
  <c r="U746" i="1"/>
  <c r="V746" i="1"/>
  <c r="W746" i="1"/>
  <c r="X746" i="1"/>
  <c r="Z746" i="1"/>
  <c r="B747" i="1"/>
  <c r="C747" i="1"/>
  <c r="D747" i="1"/>
  <c r="E747" i="1"/>
  <c r="F747" i="1"/>
  <c r="G747" i="1"/>
  <c r="H747" i="1"/>
  <c r="I747" i="1"/>
  <c r="J747" i="1"/>
  <c r="K747" i="1"/>
  <c r="L747" i="1"/>
  <c r="M747" i="1"/>
  <c r="U747" i="1"/>
  <c r="V747" i="1"/>
  <c r="W747" i="1"/>
  <c r="X747" i="1"/>
  <c r="Z747" i="1"/>
  <c r="B748" i="1"/>
  <c r="C748" i="1"/>
  <c r="D748" i="1"/>
  <c r="E748" i="1"/>
  <c r="F748" i="1"/>
  <c r="G748" i="1"/>
  <c r="H748" i="1"/>
  <c r="I748" i="1"/>
  <c r="J748" i="1"/>
  <c r="K748" i="1"/>
  <c r="L748" i="1"/>
  <c r="M748" i="1"/>
  <c r="U748" i="1"/>
  <c r="V748" i="1"/>
  <c r="W748" i="1"/>
  <c r="X748" i="1"/>
  <c r="Z748" i="1"/>
  <c r="B749" i="1"/>
  <c r="C749" i="1"/>
  <c r="D749" i="1"/>
  <c r="E749" i="1"/>
  <c r="F749" i="1"/>
  <c r="G749" i="1"/>
  <c r="H749" i="1"/>
  <c r="I749" i="1"/>
  <c r="J749" i="1"/>
  <c r="K749" i="1"/>
  <c r="L749" i="1"/>
  <c r="M749" i="1"/>
  <c r="U749" i="1"/>
  <c r="V749" i="1"/>
  <c r="W749" i="1"/>
  <c r="X749" i="1"/>
  <c r="Z749" i="1"/>
  <c r="B750" i="1"/>
  <c r="C750" i="1"/>
  <c r="D750" i="1"/>
  <c r="E750" i="1"/>
  <c r="F750" i="1"/>
  <c r="G750" i="1"/>
  <c r="H750" i="1"/>
  <c r="I750" i="1"/>
  <c r="J750" i="1"/>
  <c r="K750" i="1"/>
  <c r="L750" i="1"/>
  <c r="M750" i="1"/>
  <c r="U750" i="1"/>
  <c r="V750" i="1"/>
  <c r="W750" i="1"/>
  <c r="X750" i="1"/>
  <c r="Z750" i="1"/>
  <c r="B751" i="1"/>
  <c r="C751" i="1"/>
  <c r="D751" i="1"/>
  <c r="E751" i="1"/>
  <c r="F751" i="1"/>
  <c r="G751" i="1"/>
  <c r="H751" i="1"/>
  <c r="I751" i="1"/>
  <c r="J751" i="1"/>
  <c r="K751" i="1"/>
  <c r="L751" i="1"/>
  <c r="M751" i="1"/>
  <c r="U751" i="1"/>
  <c r="V751" i="1"/>
  <c r="W751" i="1"/>
  <c r="X751" i="1"/>
  <c r="Z751" i="1"/>
  <c r="B752" i="1"/>
  <c r="C752" i="1"/>
  <c r="D752" i="1"/>
  <c r="E752" i="1"/>
  <c r="F752" i="1"/>
  <c r="G752" i="1"/>
  <c r="H752" i="1"/>
  <c r="I752" i="1"/>
  <c r="J752" i="1"/>
  <c r="K752" i="1"/>
  <c r="L752" i="1"/>
  <c r="M752" i="1"/>
  <c r="U752" i="1"/>
  <c r="V752" i="1"/>
  <c r="W752" i="1"/>
  <c r="X752" i="1"/>
  <c r="Z752" i="1"/>
  <c r="B753" i="1"/>
  <c r="C753" i="1"/>
  <c r="D753" i="1"/>
  <c r="E753" i="1"/>
  <c r="F753" i="1"/>
  <c r="G753" i="1"/>
  <c r="H753" i="1"/>
  <c r="I753" i="1"/>
  <c r="J753" i="1"/>
  <c r="K753" i="1"/>
  <c r="L753" i="1"/>
  <c r="M753" i="1"/>
  <c r="U753" i="1"/>
  <c r="V753" i="1"/>
  <c r="W753" i="1"/>
  <c r="X753" i="1"/>
  <c r="Z753" i="1"/>
  <c r="B754" i="1"/>
  <c r="C754" i="1"/>
  <c r="D754" i="1"/>
  <c r="E754" i="1"/>
  <c r="F754" i="1"/>
  <c r="G754" i="1"/>
  <c r="H754" i="1"/>
  <c r="I754" i="1"/>
  <c r="J754" i="1"/>
  <c r="K754" i="1"/>
  <c r="L754" i="1"/>
  <c r="M754" i="1"/>
  <c r="U754" i="1"/>
  <c r="V754" i="1"/>
  <c r="W754" i="1"/>
  <c r="X754" i="1"/>
  <c r="Z754" i="1"/>
  <c r="B755" i="1"/>
  <c r="C755" i="1"/>
  <c r="D755" i="1"/>
  <c r="E755" i="1"/>
  <c r="F755" i="1"/>
  <c r="G755" i="1"/>
  <c r="H755" i="1"/>
  <c r="I755" i="1"/>
  <c r="J755" i="1"/>
  <c r="K755" i="1"/>
  <c r="L755" i="1"/>
  <c r="M755" i="1"/>
  <c r="U755" i="1"/>
  <c r="V755" i="1"/>
  <c r="W755" i="1"/>
  <c r="X755" i="1"/>
  <c r="Z755" i="1"/>
  <c r="B756" i="1"/>
  <c r="C756" i="1"/>
  <c r="D756" i="1"/>
  <c r="E756" i="1"/>
  <c r="F756" i="1"/>
  <c r="G756" i="1"/>
  <c r="H756" i="1"/>
  <c r="I756" i="1"/>
  <c r="J756" i="1"/>
  <c r="K756" i="1"/>
  <c r="L756" i="1"/>
  <c r="M756" i="1"/>
  <c r="U756" i="1"/>
  <c r="V756" i="1"/>
  <c r="W756" i="1"/>
  <c r="X756" i="1"/>
  <c r="Z756" i="1"/>
  <c r="B757" i="1"/>
  <c r="C757" i="1"/>
  <c r="D757" i="1"/>
  <c r="E757" i="1"/>
  <c r="F757" i="1"/>
  <c r="G757" i="1"/>
  <c r="H757" i="1"/>
  <c r="I757" i="1"/>
  <c r="J757" i="1"/>
  <c r="K757" i="1"/>
  <c r="L757" i="1"/>
  <c r="M757" i="1"/>
  <c r="U757" i="1"/>
  <c r="V757" i="1"/>
  <c r="W757" i="1"/>
  <c r="X757" i="1"/>
  <c r="Z757" i="1"/>
  <c r="B758" i="1"/>
  <c r="C758" i="1"/>
  <c r="D758" i="1"/>
  <c r="E758" i="1"/>
  <c r="F758" i="1"/>
  <c r="G758" i="1"/>
  <c r="H758" i="1"/>
  <c r="I758" i="1"/>
  <c r="J758" i="1"/>
  <c r="K758" i="1"/>
  <c r="L758" i="1"/>
  <c r="M758" i="1"/>
  <c r="U758" i="1"/>
  <c r="V758" i="1"/>
  <c r="W758" i="1"/>
  <c r="X758" i="1"/>
  <c r="Z758" i="1"/>
  <c r="B759" i="1"/>
  <c r="C759" i="1"/>
  <c r="D759" i="1"/>
  <c r="E759" i="1"/>
  <c r="F759" i="1"/>
  <c r="G759" i="1"/>
  <c r="H759" i="1"/>
  <c r="I759" i="1"/>
  <c r="J759" i="1"/>
  <c r="K759" i="1"/>
  <c r="L759" i="1"/>
  <c r="M759" i="1"/>
  <c r="U759" i="1"/>
  <c r="V759" i="1"/>
  <c r="W759" i="1"/>
  <c r="X759" i="1"/>
  <c r="Z759" i="1"/>
  <c r="B760" i="1"/>
  <c r="C760" i="1"/>
  <c r="D760" i="1"/>
  <c r="E760" i="1"/>
  <c r="F760" i="1"/>
  <c r="G760" i="1"/>
  <c r="H760" i="1"/>
  <c r="I760" i="1"/>
  <c r="J760" i="1"/>
  <c r="K760" i="1"/>
  <c r="L760" i="1"/>
  <c r="M760" i="1"/>
  <c r="U760" i="1"/>
  <c r="V760" i="1"/>
  <c r="W760" i="1"/>
  <c r="X760" i="1"/>
  <c r="Z760" i="1"/>
  <c r="B761" i="1"/>
  <c r="C761" i="1"/>
  <c r="D761" i="1"/>
  <c r="E761" i="1"/>
  <c r="F761" i="1"/>
  <c r="G761" i="1"/>
  <c r="H761" i="1"/>
  <c r="I761" i="1"/>
  <c r="J761" i="1"/>
  <c r="K761" i="1"/>
  <c r="L761" i="1"/>
  <c r="M761" i="1"/>
  <c r="U761" i="1"/>
  <c r="V761" i="1"/>
  <c r="W761" i="1"/>
  <c r="X761" i="1"/>
  <c r="Z761" i="1"/>
  <c r="B762" i="1"/>
  <c r="C762" i="1"/>
  <c r="D762" i="1"/>
  <c r="E762" i="1"/>
  <c r="F762" i="1"/>
  <c r="G762" i="1"/>
  <c r="H762" i="1"/>
  <c r="I762" i="1"/>
  <c r="J762" i="1"/>
  <c r="K762" i="1"/>
  <c r="L762" i="1"/>
  <c r="M762" i="1"/>
  <c r="U762" i="1"/>
  <c r="V762" i="1"/>
  <c r="W762" i="1"/>
  <c r="X762" i="1"/>
  <c r="Z762" i="1"/>
  <c r="B763" i="1"/>
  <c r="C763" i="1"/>
  <c r="D763" i="1"/>
  <c r="E763" i="1"/>
  <c r="F763" i="1"/>
  <c r="G763" i="1"/>
  <c r="H763" i="1"/>
  <c r="I763" i="1"/>
  <c r="J763" i="1"/>
  <c r="K763" i="1"/>
  <c r="L763" i="1"/>
  <c r="M763" i="1"/>
  <c r="U763" i="1"/>
  <c r="V763" i="1"/>
  <c r="W763" i="1"/>
  <c r="X763" i="1"/>
  <c r="Z763" i="1"/>
  <c r="B764" i="1"/>
  <c r="C764" i="1"/>
  <c r="D764" i="1"/>
  <c r="E764" i="1"/>
  <c r="F764" i="1"/>
  <c r="G764" i="1"/>
  <c r="H764" i="1"/>
  <c r="I764" i="1"/>
  <c r="J764" i="1"/>
  <c r="K764" i="1"/>
  <c r="L764" i="1"/>
  <c r="M764" i="1"/>
  <c r="U764" i="1"/>
  <c r="V764" i="1"/>
  <c r="W764" i="1"/>
  <c r="X764" i="1"/>
  <c r="Z764" i="1"/>
  <c r="B765" i="1"/>
  <c r="C765" i="1"/>
  <c r="D765" i="1"/>
  <c r="E765" i="1"/>
  <c r="F765" i="1"/>
  <c r="G765" i="1"/>
  <c r="H765" i="1"/>
  <c r="I765" i="1"/>
  <c r="J765" i="1"/>
  <c r="K765" i="1"/>
  <c r="L765" i="1"/>
  <c r="M765" i="1"/>
  <c r="U765" i="1"/>
  <c r="V765" i="1"/>
  <c r="W765" i="1"/>
  <c r="X765" i="1"/>
  <c r="Z765" i="1"/>
  <c r="B766" i="1"/>
  <c r="C766" i="1"/>
  <c r="D766" i="1"/>
  <c r="E766" i="1"/>
  <c r="F766" i="1"/>
  <c r="G766" i="1"/>
  <c r="H766" i="1"/>
  <c r="I766" i="1"/>
  <c r="J766" i="1"/>
  <c r="K766" i="1"/>
  <c r="L766" i="1"/>
  <c r="M766" i="1"/>
  <c r="U766" i="1"/>
  <c r="V766" i="1"/>
  <c r="W766" i="1"/>
  <c r="X766" i="1"/>
  <c r="Z766" i="1"/>
  <c r="B767" i="1"/>
  <c r="C767" i="1"/>
  <c r="D767" i="1"/>
  <c r="E767" i="1"/>
  <c r="F767" i="1"/>
  <c r="G767" i="1"/>
  <c r="H767" i="1"/>
  <c r="I767" i="1"/>
  <c r="J767" i="1"/>
  <c r="K767" i="1"/>
  <c r="L767" i="1"/>
  <c r="M767" i="1"/>
  <c r="U767" i="1"/>
  <c r="V767" i="1"/>
  <c r="W767" i="1"/>
  <c r="X767" i="1"/>
  <c r="Z767" i="1"/>
  <c r="B768" i="1"/>
  <c r="C768" i="1"/>
  <c r="D768" i="1"/>
  <c r="E768" i="1"/>
  <c r="F768" i="1"/>
  <c r="G768" i="1"/>
  <c r="H768" i="1"/>
  <c r="I768" i="1"/>
  <c r="J768" i="1"/>
  <c r="K768" i="1"/>
  <c r="L768" i="1"/>
  <c r="M768" i="1"/>
  <c r="U768" i="1"/>
  <c r="V768" i="1"/>
  <c r="W768" i="1"/>
  <c r="X768" i="1"/>
  <c r="Z768" i="1"/>
  <c r="B769" i="1"/>
  <c r="C769" i="1"/>
  <c r="D769" i="1"/>
  <c r="E769" i="1"/>
  <c r="F769" i="1"/>
  <c r="G769" i="1"/>
  <c r="H769" i="1"/>
  <c r="I769" i="1"/>
  <c r="J769" i="1"/>
  <c r="K769" i="1"/>
  <c r="L769" i="1"/>
  <c r="M769" i="1"/>
  <c r="U769" i="1"/>
  <c r="V769" i="1"/>
  <c r="W769" i="1"/>
  <c r="X769" i="1"/>
  <c r="Z769" i="1"/>
  <c r="B770" i="1"/>
  <c r="C770" i="1"/>
  <c r="D770" i="1"/>
  <c r="E770" i="1"/>
  <c r="F770" i="1"/>
  <c r="G770" i="1"/>
  <c r="H770" i="1"/>
  <c r="I770" i="1"/>
  <c r="J770" i="1"/>
  <c r="K770" i="1"/>
  <c r="L770" i="1"/>
  <c r="M770" i="1"/>
  <c r="U770" i="1"/>
  <c r="V770" i="1"/>
  <c r="W770" i="1"/>
  <c r="X770" i="1"/>
  <c r="Z770" i="1"/>
  <c r="B771" i="1"/>
  <c r="C771" i="1"/>
  <c r="D771" i="1"/>
  <c r="E771" i="1"/>
  <c r="F771" i="1"/>
  <c r="G771" i="1"/>
  <c r="H771" i="1"/>
  <c r="I771" i="1"/>
  <c r="J771" i="1"/>
  <c r="K771" i="1"/>
  <c r="L771" i="1"/>
  <c r="M771" i="1"/>
  <c r="U771" i="1"/>
  <c r="V771" i="1"/>
  <c r="W771" i="1"/>
  <c r="X771" i="1"/>
  <c r="Z771" i="1"/>
  <c r="B772" i="1"/>
  <c r="C772" i="1"/>
  <c r="D772" i="1"/>
  <c r="E772" i="1"/>
  <c r="F772" i="1"/>
  <c r="G772" i="1"/>
  <c r="H772" i="1"/>
  <c r="I772" i="1"/>
  <c r="J772" i="1"/>
  <c r="K772" i="1"/>
  <c r="L772" i="1"/>
  <c r="M772" i="1"/>
  <c r="U772" i="1"/>
  <c r="V772" i="1"/>
  <c r="W772" i="1"/>
  <c r="X772" i="1"/>
  <c r="Z772" i="1"/>
  <c r="B773" i="1"/>
  <c r="C773" i="1"/>
  <c r="D773" i="1"/>
  <c r="E773" i="1"/>
  <c r="F773" i="1"/>
  <c r="G773" i="1"/>
  <c r="H773" i="1"/>
  <c r="I773" i="1"/>
  <c r="J773" i="1"/>
  <c r="K773" i="1"/>
  <c r="L773" i="1"/>
  <c r="M773" i="1"/>
  <c r="U773" i="1"/>
  <c r="V773" i="1"/>
  <c r="W773" i="1"/>
  <c r="X773" i="1"/>
  <c r="Z773" i="1"/>
  <c r="B774" i="1"/>
  <c r="C774" i="1"/>
  <c r="D774" i="1"/>
  <c r="E774" i="1"/>
  <c r="F774" i="1"/>
  <c r="G774" i="1"/>
  <c r="H774" i="1"/>
  <c r="I774" i="1"/>
  <c r="J774" i="1"/>
  <c r="K774" i="1"/>
  <c r="L774" i="1"/>
  <c r="M774" i="1"/>
  <c r="U774" i="1"/>
  <c r="V774" i="1"/>
  <c r="W774" i="1"/>
  <c r="X774" i="1"/>
  <c r="Z774" i="1"/>
  <c r="B775" i="1"/>
  <c r="C775" i="1"/>
  <c r="D775" i="1"/>
  <c r="E775" i="1"/>
  <c r="F775" i="1"/>
  <c r="G775" i="1"/>
  <c r="H775" i="1"/>
  <c r="I775" i="1"/>
  <c r="J775" i="1"/>
  <c r="K775" i="1"/>
  <c r="L775" i="1"/>
  <c r="M775" i="1"/>
  <c r="U775" i="1"/>
  <c r="V775" i="1"/>
  <c r="W775" i="1"/>
  <c r="X775" i="1"/>
  <c r="Z775" i="1"/>
  <c r="B776" i="1"/>
  <c r="C776" i="1"/>
  <c r="D776" i="1"/>
  <c r="E776" i="1"/>
  <c r="F776" i="1"/>
  <c r="G776" i="1"/>
  <c r="H776" i="1"/>
  <c r="I776" i="1"/>
  <c r="J776" i="1"/>
  <c r="K776" i="1"/>
  <c r="L776" i="1"/>
  <c r="M776" i="1"/>
  <c r="U776" i="1"/>
  <c r="V776" i="1"/>
  <c r="W776" i="1"/>
  <c r="X776" i="1"/>
  <c r="Z776" i="1"/>
  <c r="B777" i="1"/>
  <c r="C777" i="1"/>
  <c r="D777" i="1"/>
  <c r="E777" i="1"/>
  <c r="F777" i="1"/>
  <c r="G777" i="1"/>
  <c r="H777" i="1"/>
  <c r="I777" i="1"/>
  <c r="J777" i="1"/>
  <c r="K777" i="1"/>
  <c r="L777" i="1"/>
  <c r="M777" i="1"/>
  <c r="U777" i="1"/>
  <c r="V777" i="1"/>
  <c r="W777" i="1"/>
  <c r="X777" i="1"/>
  <c r="Z777" i="1"/>
  <c r="B778" i="1"/>
  <c r="C778" i="1"/>
  <c r="D778" i="1"/>
  <c r="E778" i="1"/>
  <c r="F778" i="1"/>
  <c r="G778" i="1"/>
  <c r="H778" i="1"/>
  <c r="I778" i="1"/>
  <c r="J778" i="1"/>
  <c r="K778" i="1"/>
  <c r="L778" i="1"/>
  <c r="M778" i="1"/>
  <c r="U778" i="1"/>
  <c r="V778" i="1"/>
  <c r="W778" i="1"/>
  <c r="X778" i="1"/>
  <c r="Z778" i="1"/>
  <c r="B779" i="1"/>
  <c r="C779" i="1"/>
  <c r="D779" i="1"/>
  <c r="E779" i="1"/>
  <c r="F779" i="1"/>
  <c r="G779" i="1"/>
  <c r="H779" i="1"/>
  <c r="I779" i="1"/>
  <c r="J779" i="1"/>
  <c r="K779" i="1"/>
  <c r="L779" i="1"/>
  <c r="M779" i="1"/>
  <c r="U779" i="1"/>
  <c r="V779" i="1"/>
  <c r="W779" i="1"/>
  <c r="X779" i="1"/>
  <c r="Z779" i="1"/>
  <c r="B780" i="1"/>
  <c r="C780" i="1"/>
  <c r="D780" i="1"/>
  <c r="E780" i="1"/>
  <c r="F780" i="1"/>
  <c r="G780" i="1"/>
  <c r="H780" i="1"/>
  <c r="I780" i="1"/>
  <c r="J780" i="1"/>
  <c r="K780" i="1"/>
  <c r="L780" i="1"/>
  <c r="M780" i="1"/>
  <c r="U780" i="1"/>
  <c r="V780" i="1"/>
  <c r="W780" i="1"/>
  <c r="X780" i="1"/>
  <c r="Z780" i="1"/>
  <c r="B781" i="1"/>
  <c r="C781" i="1"/>
  <c r="D781" i="1"/>
  <c r="E781" i="1"/>
  <c r="F781" i="1"/>
  <c r="G781" i="1"/>
  <c r="H781" i="1"/>
  <c r="I781" i="1"/>
  <c r="J781" i="1"/>
  <c r="K781" i="1"/>
  <c r="L781" i="1"/>
  <c r="M781" i="1"/>
  <c r="U781" i="1"/>
  <c r="V781" i="1"/>
  <c r="W781" i="1"/>
  <c r="X781" i="1"/>
  <c r="Z781" i="1"/>
  <c r="B782" i="1"/>
  <c r="C782" i="1"/>
  <c r="D782" i="1"/>
  <c r="E782" i="1"/>
  <c r="F782" i="1"/>
  <c r="G782" i="1"/>
  <c r="H782" i="1"/>
  <c r="I782" i="1"/>
  <c r="J782" i="1"/>
  <c r="K782" i="1"/>
  <c r="L782" i="1"/>
  <c r="M782" i="1"/>
  <c r="U782" i="1"/>
  <c r="V782" i="1"/>
  <c r="W782" i="1"/>
  <c r="X782" i="1"/>
  <c r="Z782" i="1"/>
  <c r="B783" i="1"/>
  <c r="C783" i="1"/>
  <c r="D783" i="1"/>
  <c r="E783" i="1"/>
  <c r="F783" i="1"/>
  <c r="G783" i="1"/>
  <c r="H783" i="1"/>
  <c r="I783" i="1"/>
  <c r="J783" i="1"/>
  <c r="K783" i="1"/>
  <c r="L783" i="1"/>
  <c r="M783" i="1"/>
  <c r="U783" i="1"/>
  <c r="V783" i="1"/>
  <c r="W783" i="1"/>
  <c r="X783" i="1"/>
  <c r="Z783" i="1"/>
  <c r="B784" i="1"/>
  <c r="C784" i="1"/>
  <c r="D784" i="1"/>
  <c r="E784" i="1"/>
  <c r="F784" i="1"/>
  <c r="G784" i="1"/>
  <c r="H784" i="1"/>
  <c r="I784" i="1"/>
  <c r="J784" i="1"/>
  <c r="K784" i="1"/>
  <c r="L784" i="1"/>
  <c r="M784" i="1"/>
  <c r="U784" i="1"/>
  <c r="V784" i="1"/>
  <c r="W784" i="1"/>
  <c r="X784" i="1"/>
  <c r="Z784" i="1"/>
  <c r="B785" i="1"/>
  <c r="C785" i="1"/>
  <c r="D785" i="1"/>
  <c r="E785" i="1"/>
  <c r="F785" i="1"/>
  <c r="G785" i="1"/>
  <c r="H785" i="1"/>
  <c r="I785" i="1"/>
  <c r="J785" i="1"/>
  <c r="K785" i="1"/>
  <c r="L785" i="1"/>
  <c r="M785" i="1"/>
  <c r="U785" i="1"/>
  <c r="V785" i="1"/>
  <c r="W785" i="1"/>
  <c r="X785" i="1"/>
  <c r="Z785" i="1"/>
  <c r="B786" i="1"/>
  <c r="C786" i="1"/>
  <c r="D786" i="1"/>
  <c r="E786" i="1"/>
  <c r="F786" i="1"/>
  <c r="G786" i="1"/>
  <c r="H786" i="1"/>
  <c r="I786" i="1"/>
  <c r="J786" i="1"/>
  <c r="K786" i="1"/>
  <c r="L786" i="1"/>
  <c r="M786" i="1"/>
  <c r="U786" i="1"/>
  <c r="V786" i="1"/>
  <c r="W786" i="1"/>
  <c r="X786" i="1"/>
  <c r="Z786" i="1"/>
  <c r="B787" i="1"/>
  <c r="C787" i="1"/>
  <c r="D787" i="1"/>
  <c r="E787" i="1"/>
  <c r="F787" i="1"/>
  <c r="G787" i="1"/>
  <c r="H787" i="1"/>
  <c r="I787" i="1"/>
  <c r="J787" i="1"/>
  <c r="K787" i="1"/>
  <c r="L787" i="1"/>
  <c r="M787" i="1"/>
  <c r="U787" i="1"/>
  <c r="V787" i="1"/>
  <c r="W787" i="1"/>
  <c r="X787" i="1"/>
  <c r="Z787" i="1"/>
  <c r="B788" i="1"/>
  <c r="C788" i="1"/>
  <c r="D788" i="1"/>
  <c r="E788" i="1"/>
  <c r="F788" i="1"/>
  <c r="G788" i="1"/>
  <c r="H788" i="1"/>
  <c r="I788" i="1"/>
  <c r="J788" i="1"/>
  <c r="K788" i="1"/>
  <c r="L788" i="1"/>
  <c r="M788" i="1"/>
  <c r="U788" i="1"/>
  <c r="V788" i="1"/>
  <c r="W788" i="1"/>
  <c r="X788" i="1"/>
  <c r="Z788" i="1"/>
  <c r="B789" i="1"/>
  <c r="C789" i="1"/>
  <c r="D789" i="1"/>
  <c r="E789" i="1"/>
  <c r="F789" i="1"/>
  <c r="G789" i="1"/>
  <c r="H789" i="1"/>
  <c r="I789" i="1"/>
  <c r="J789" i="1"/>
  <c r="K789" i="1"/>
  <c r="L789" i="1"/>
  <c r="M789" i="1"/>
  <c r="U789" i="1"/>
  <c r="V789" i="1"/>
  <c r="W789" i="1"/>
  <c r="X789" i="1"/>
  <c r="Z789" i="1"/>
  <c r="B790" i="1"/>
  <c r="C790" i="1"/>
  <c r="D790" i="1"/>
  <c r="E790" i="1"/>
  <c r="F790" i="1"/>
  <c r="G790" i="1"/>
  <c r="H790" i="1"/>
  <c r="I790" i="1"/>
  <c r="J790" i="1"/>
  <c r="K790" i="1"/>
  <c r="L790" i="1"/>
  <c r="M790" i="1"/>
  <c r="U790" i="1"/>
  <c r="V790" i="1"/>
  <c r="W790" i="1"/>
  <c r="X790" i="1"/>
  <c r="Z790" i="1"/>
  <c r="B791" i="1"/>
  <c r="C791" i="1"/>
  <c r="D791" i="1"/>
  <c r="E791" i="1"/>
  <c r="F791" i="1"/>
  <c r="G791" i="1"/>
  <c r="H791" i="1"/>
  <c r="I791" i="1"/>
  <c r="J791" i="1"/>
  <c r="K791" i="1"/>
  <c r="L791" i="1"/>
  <c r="M791" i="1"/>
  <c r="U791" i="1"/>
  <c r="V791" i="1"/>
  <c r="W791" i="1"/>
  <c r="X791" i="1"/>
  <c r="Z791" i="1"/>
  <c r="B792" i="1"/>
  <c r="C792" i="1"/>
  <c r="D792" i="1"/>
  <c r="E792" i="1"/>
  <c r="F792" i="1"/>
  <c r="G792" i="1"/>
  <c r="H792" i="1"/>
  <c r="I792" i="1"/>
  <c r="J792" i="1"/>
  <c r="K792" i="1"/>
  <c r="L792" i="1"/>
  <c r="M792" i="1"/>
  <c r="U792" i="1"/>
  <c r="V792" i="1"/>
  <c r="W792" i="1"/>
  <c r="X792" i="1"/>
  <c r="Z792" i="1"/>
  <c r="B793" i="1"/>
  <c r="C793" i="1"/>
  <c r="D793" i="1"/>
  <c r="E793" i="1"/>
  <c r="F793" i="1"/>
  <c r="G793" i="1"/>
  <c r="H793" i="1"/>
  <c r="I793" i="1"/>
  <c r="J793" i="1"/>
  <c r="K793" i="1"/>
  <c r="L793" i="1"/>
  <c r="M793" i="1"/>
  <c r="U793" i="1"/>
  <c r="V793" i="1"/>
  <c r="W793" i="1"/>
  <c r="X793" i="1"/>
  <c r="Z793" i="1"/>
  <c r="B794" i="1"/>
  <c r="C794" i="1"/>
  <c r="D794" i="1"/>
  <c r="E794" i="1"/>
  <c r="F794" i="1"/>
  <c r="G794" i="1"/>
  <c r="H794" i="1"/>
  <c r="I794" i="1"/>
  <c r="J794" i="1"/>
  <c r="K794" i="1"/>
  <c r="L794" i="1"/>
  <c r="M794" i="1"/>
  <c r="U794" i="1"/>
  <c r="V794" i="1"/>
  <c r="W794" i="1"/>
  <c r="X794" i="1"/>
  <c r="Z794" i="1"/>
  <c r="B795" i="1"/>
  <c r="C795" i="1"/>
  <c r="D795" i="1"/>
  <c r="E795" i="1"/>
  <c r="F795" i="1"/>
  <c r="G795" i="1"/>
  <c r="H795" i="1"/>
  <c r="I795" i="1"/>
  <c r="J795" i="1"/>
  <c r="K795" i="1"/>
  <c r="L795" i="1"/>
  <c r="M795" i="1"/>
  <c r="U795" i="1"/>
  <c r="V795" i="1"/>
  <c r="W795" i="1"/>
  <c r="X795" i="1"/>
  <c r="Z795" i="1"/>
  <c r="B796" i="1"/>
  <c r="C796" i="1"/>
  <c r="D796" i="1"/>
  <c r="E796" i="1"/>
  <c r="F796" i="1"/>
  <c r="G796" i="1"/>
  <c r="H796" i="1"/>
  <c r="I796" i="1"/>
  <c r="J796" i="1"/>
  <c r="K796" i="1"/>
  <c r="L796" i="1"/>
  <c r="M796" i="1"/>
  <c r="U796" i="1"/>
  <c r="V796" i="1"/>
  <c r="W796" i="1"/>
  <c r="X796" i="1"/>
  <c r="Z796" i="1"/>
  <c r="B797" i="1"/>
  <c r="C797" i="1"/>
  <c r="D797" i="1"/>
  <c r="E797" i="1"/>
  <c r="F797" i="1"/>
  <c r="G797" i="1"/>
  <c r="H797" i="1"/>
  <c r="I797" i="1"/>
  <c r="J797" i="1"/>
  <c r="K797" i="1"/>
  <c r="L797" i="1"/>
  <c r="M797" i="1"/>
  <c r="U797" i="1"/>
  <c r="V797" i="1"/>
  <c r="W797" i="1"/>
  <c r="X797" i="1"/>
  <c r="Z797" i="1"/>
  <c r="B798" i="1"/>
  <c r="C798" i="1"/>
  <c r="D798" i="1"/>
  <c r="E798" i="1"/>
  <c r="F798" i="1"/>
  <c r="G798" i="1"/>
  <c r="H798" i="1"/>
  <c r="I798" i="1"/>
  <c r="J798" i="1"/>
  <c r="K798" i="1"/>
  <c r="L798" i="1"/>
  <c r="M798" i="1"/>
  <c r="U798" i="1"/>
  <c r="V798" i="1"/>
  <c r="W798" i="1"/>
  <c r="X798" i="1"/>
  <c r="Z798" i="1"/>
  <c r="B799" i="1"/>
  <c r="C799" i="1"/>
  <c r="D799" i="1"/>
  <c r="E799" i="1"/>
  <c r="F799" i="1"/>
  <c r="G799" i="1"/>
  <c r="H799" i="1"/>
  <c r="I799" i="1"/>
  <c r="J799" i="1"/>
  <c r="K799" i="1"/>
  <c r="L799" i="1"/>
  <c r="M799" i="1"/>
  <c r="U799" i="1"/>
  <c r="V799" i="1"/>
  <c r="W799" i="1"/>
  <c r="X799" i="1"/>
  <c r="Z799" i="1"/>
  <c r="B800" i="1"/>
  <c r="C800" i="1"/>
  <c r="D800" i="1"/>
  <c r="E800" i="1"/>
  <c r="F800" i="1"/>
  <c r="G800" i="1"/>
  <c r="H800" i="1"/>
  <c r="I800" i="1"/>
  <c r="J800" i="1"/>
  <c r="K800" i="1"/>
  <c r="L800" i="1"/>
  <c r="M800" i="1"/>
  <c r="U800" i="1"/>
  <c r="V800" i="1"/>
  <c r="W800" i="1"/>
  <c r="X800" i="1"/>
  <c r="Z800" i="1"/>
  <c r="B801" i="1"/>
  <c r="C801" i="1"/>
  <c r="D801" i="1"/>
  <c r="E801" i="1"/>
  <c r="F801" i="1"/>
  <c r="G801" i="1"/>
  <c r="H801" i="1"/>
  <c r="I801" i="1"/>
  <c r="J801" i="1"/>
  <c r="K801" i="1"/>
  <c r="L801" i="1"/>
  <c r="M801" i="1"/>
  <c r="U801" i="1"/>
  <c r="V801" i="1"/>
  <c r="W801" i="1"/>
  <c r="X801" i="1"/>
  <c r="Z801" i="1"/>
  <c r="B802" i="1"/>
  <c r="C802" i="1"/>
  <c r="D802" i="1"/>
  <c r="E802" i="1"/>
  <c r="F802" i="1"/>
  <c r="G802" i="1"/>
  <c r="H802" i="1"/>
  <c r="I802" i="1"/>
  <c r="J802" i="1"/>
  <c r="K802" i="1"/>
  <c r="L802" i="1"/>
  <c r="M802" i="1"/>
  <c r="U802" i="1"/>
  <c r="V802" i="1"/>
  <c r="W802" i="1"/>
  <c r="X802" i="1"/>
  <c r="Z802" i="1"/>
  <c r="B803" i="1"/>
  <c r="C803" i="1"/>
  <c r="D803" i="1"/>
  <c r="E803" i="1"/>
  <c r="F803" i="1"/>
  <c r="G803" i="1"/>
  <c r="H803" i="1"/>
  <c r="I803" i="1"/>
  <c r="J803" i="1"/>
  <c r="K803" i="1"/>
  <c r="L803" i="1"/>
  <c r="M803" i="1"/>
  <c r="U803" i="1"/>
  <c r="V803" i="1"/>
  <c r="W803" i="1"/>
  <c r="X803" i="1"/>
  <c r="Z803" i="1"/>
  <c r="B804" i="1"/>
  <c r="C804" i="1"/>
  <c r="D804" i="1"/>
  <c r="E804" i="1"/>
  <c r="F804" i="1"/>
  <c r="G804" i="1"/>
  <c r="H804" i="1"/>
  <c r="I804" i="1"/>
  <c r="J804" i="1"/>
  <c r="K804" i="1"/>
  <c r="L804" i="1"/>
  <c r="M804" i="1"/>
  <c r="U804" i="1"/>
  <c r="V804" i="1"/>
  <c r="W804" i="1"/>
  <c r="X804" i="1"/>
  <c r="Z804" i="1"/>
  <c r="B805" i="1"/>
  <c r="C805" i="1"/>
  <c r="D805" i="1"/>
  <c r="E805" i="1"/>
  <c r="F805" i="1"/>
  <c r="G805" i="1"/>
  <c r="H805" i="1"/>
  <c r="I805" i="1"/>
  <c r="J805" i="1"/>
  <c r="K805" i="1"/>
  <c r="L805" i="1"/>
  <c r="M805" i="1"/>
  <c r="U805" i="1"/>
  <c r="V805" i="1"/>
  <c r="W805" i="1"/>
  <c r="X805" i="1"/>
  <c r="Z805" i="1"/>
  <c r="B806" i="1"/>
  <c r="C806" i="1"/>
  <c r="D806" i="1"/>
  <c r="E806" i="1"/>
  <c r="F806" i="1"/>
  <c r="G806" i="1"/>
  <c r="H806" i="1"/>
  <c r="I806" i="1"/>
  <c r="J806" i="1"/>
  <c r="K806" i="1"/>
  <c r="L806" i="1"/>
  <c r="M806" i="1"/>
  <c r="U806" i="1"/>
  <c r="V806" i="1"/>
  <c r="W806" i="1"/>
  <c r="X806" i="1"/>
  <c r="Z806" i="1"/>
  <c r="B807" i="1"/>
  <c r="C807" i="1"/>
  <c r="D807" i="1"/>
  <c r="E807" i="1"/>
  <c r="F807" i="1"/>
  <c r="G807" i="1"/>
  <c r="H807" i="1"/>
  <c r="I807" i="1"/>
  <c r="J807" i="1"/>
  <c r="K807" i="1"/>
  <c r="L807" i="1"/>
  <c r="M807" i="1"/>
  <c r="U807" i="1"/>
  <c r="V807" i="1"/>
  <c r="W807" i="1"/>
  <c r="X807" i="1"/>
  <c r="Z807" i="1"/>
  <c r="B808" i="1"/>
  <c r="C808" i="1"/>
  <c r="D808" i="1"/>
  <c r="E808" i="1"/>
  <c r="F808" i="1"/>
  <c r="G808" i="1"/>
  <c r="H808" i="1"/>
  <c r="I808" i="1"/>
  <c r="J808" i="1"/>
  <c r="K808" i="1"/>
  <c r="L808" i="1"/>
  <c r="M808" i="1"/>
  <c r="U808" i="1"/>
  <c r="V808" i="1"/>
  <c r="W808" i="1"/>
  <c r="X808" i="1"/>
  <c r="Z808" i="1"/>
  <c r="B809" i="1"/>
  <c r="C809" i="1"/>
  <c r="D809" i="1"/>
  <c r="E809" i="1"/>
  <c r="F809" i="1"/>
  <c r="G809" i="1"/>
  <c r="H809" i="1"/>
  <c r="I809" i="1"/>
  <c r="J809" i="1"/>
  <c r="K809" i="1"/>
  <c r="L809" i="1"/>
  <c r="M809" i="1"/>
  <c r="U809" i="1"/>
  <c r="V809" i="1"/>
  <c r="W809" i="1"/>
  <c r="X809" i="1"/>
  <c r="Z809" i="1"/>
  <c r="B810" i="1"/>
  <c r="C810" i="1"/>
  <c r="D810" i="1"/>
  <c r="E810" i="1"/>
  <c r="F810" i="1"/>
  <c r="G810" i="1"/>
  <c r="H810" i="1"/>
  <c r="I810" i="1"/>
  <c r="J810" i="1"/>
  <c r="K810" i="1"/>
  <c r="L810" i="1"/>
  <c r="M810" i="1"/>
  <c r="U810" i="1"/>
  <c r="V810" i="1"/>
  <c r="W810" i="1"/>
  <c r="X810" i="1"/>
  <c r="Z810" i="1"/>
  <c r="B811" i="1"/>
  <c r="C811" i="1"/>
  <c r="D811" i="1"/>
  <c r="E811" i="1"/>
  <c r="F811" i="1"/>
  <c r="G811" i="1"/>
  <c r="H811" i="1"/>
  <c r="I811" i="1"/>
  <c r="J811" i="1"/>
  <c r="K811" i="1"/>
  <c r="L811" i="1"/>
  <c r="M811" i="1"/>
  <c r="U811" i="1"/>
  <c r="V811" i="1"/>
  <c r="W811" i="1"/>
  <c r="X811" i="1"/>
  <c r="Z811" i="1"/>
  <c r="B812" i="1"/>
  <c r="C812" i="1"/>
  <c r="D812" i="1"/>
  <c r="E812" i="1"/>
  <c r="F812" i="1"/>
  <c r="G812" i="1"/>
  <c r="H812" i="1"/>
  <c r="I812" i="1"/>
  <c r="J812" i="1"/>
  <c r="K812" i="1"/>
  <c r="L812" i="1"/>
  <c r="M812" i="1"/>
  <c r="U812" i="1"/>
  <c r="V812" i="1"/>
  <c r="W812" i="1"/>
  <c r="X812" i="1"/>
  <c r="Z812" i="1"/>
  <c r="B813" i="1"/>
  <c r="C813" i="1"/>
  <c r="D813" i="1"/>
  <c r="E813" i="1"/>
  <c r="F813" i="1"/>
  <c r="G813" i="1"/>
  <c r="H813" i="1"/>
  <c r="I813" i="1"/>
  <c r="J813" i="1"/>
  <c r="K813" i="1"/>
  <c r="L813" i="1"/>
  <c r="M813" i="1"/>
  <c r="U813" i="1"/>
  <c r="V813" i="1"/>
  <c r="W813" i="1"/>
  <c r="X813" i="1"/>
  <c r="Z813" i="1"/>
  <c r="B814" i="1"/>
  <c r="C814" i="1"/>
  <c r="D814" i="1"/>
  <c r="E814" i="1"/>
  <c r="F814" i="1"/>
  <c r="G814" i="1"/>
  <c r="H814" i="1"/>
  <c r="I814" i="1"/>
  <c r="J814" i="1"/>
  <c r="K814" i="1"/>
  <c r="L814" i="1"/>
  <c r="M814" i="1"/>
  <c r="U814" i="1"/>
  <c r="V814" i="1"/>
  <c r="W814" i="1"/>
  <c r="X814" i="1"/>
  <c r="Z814" i="1"/>
  <c r="B815" i="1"/>
  <c r="C815" i="1"/>
  <c r="D815" i="1"/>
  <c r="E815" i="1"/>
  <c r="F815" i="1"/>
  <c r="G815" i="1"/>
  <c r="H815" i="1"/>
  <c r="I815" i="1"/>
  <c r="J815" i="1"/>
  <c r="K815" i="1"/>
  <c r="L815" i="1"/>
  <c r="M815" i="1"/>
  <c r="U815" i="1"/>
  <c r="V815" i="1"/>
  <c r="W815" i="1"/>
  <c r="X815" i="1"/>
  <c r="Z815" i="1"/>
  <c r="B816" i="1"/>
  <c r="C816" i="1"/>
  <c r="D816" i="1"/>
  <c r="E816" i="1"/>
  <c r="F816" i="1"/>
  <c r="G816" i="1"/>
  <c r="H816" i="1"/>
  <c r="I816" i="1"/>
  <c r="J816" i="1"/>
  <c r="K816" i="1"/>
  <c r="L816" i="1"/>
  <c r="M816" i="1"/>
  <c r="U816" i="1"/>
  <c r="V816" i="1"/>
  <c r="W816" i="1"/>
  <c r="X816" i="1"/>
  <c r="Z816" i="1"/>
  <c r="B817" i="1"/>
  <c r="C817" i="1"/>
  <c r="D817" i="1"/>
  <c r="E817" i="1"/>
  <c r="F817" i="1"/>
  <c r="G817" i="1"/>
  <c r="H817" i="1"/>
  <c r="I817" i="1"/>
  <c r="J817" i="1"/>
  <c r="K817" i="1"/>
  <c r="L817" i="1"/>
  <c r="M817" i="1"/>
  <c r="U817" i="1"/>
  <c r="V817" i="1"/>
  <c r="W817" i="1"/>
  <c r="X817" i="1"/>
  <c r="Z817" i="1"/>
  <c r="B818" i="1"/>
  <c r="C818" i="1"/>
  <c r="D818" i="1"/>
  <c r="E818" i="1"/>
  <c r="F818" i="1"/>
  <c r="G818" i="1"/>
  <c r="H818" i="1"/>
  <c r="I818" i="1"/>
  <c r="J818" i="1"/>
  <c r="K818" i="1"/>
  <c r="L818" i="1"/>
  <c r="M818" i="1"/>
  <c r="U818" i="1"/>
  <c r="V818" i="1"/>
  <c r="W818" i="1"/>
  <c r="X818" i="1"/>
  <c r="Z818" i="1"/>
  <c r="B819" i="1"/>
  <c r="C819" i="1"/>
  <c r="D819" i="1"/>
  <c r="E819" i="1"/>
  <c r="F819" i="1"/>
  <c r="G819" i="1"/>
  <c r="H819" i="1"/>
  <c r="I819" i="1"/>
  <c r="J819" i="1"/>
  <c r="K819" i="1"/>
  <c r="L819" i="1"/>
  <c r="M819" i="1"/>
  <c r="U819" i="1"/>
  <c r="V819" i="1"/>
  <c r="W819" i="1"/>
  <c r="X819" i="1"/>
  <c r="Z819" i="1"/>
  <c r="B820" i="1"/>
  <c r="C820" i="1"/>
  <c r="D820" i="1"/>
  <c r="E820" i="1"/>
  <c r="F820" i="1"/>
  <c r="G820" i="1"/>
  <c r="H820" i="1"/>
  <c r="I820" i="1"/>
  <c r="J820" i="1"/>
  <c r="K820" i="1"/>
  <c r="L820" i="1"/>
  <c r="M820" i="1"/>
  <c r="U820" i="1"/>
  <c r="V820" i="1"/>
  <c r="W820" i="1"/>
  <c r="X820" i="1"/>
  <c r="Z820" i="1"/>
  <c r="B821" i="1"/>
  <c r="C821" i="1"/>
  <c r="D821" i="1"/>
  <c r="E821" i="1"/>
  <c r="F821" i="1"/>
  <c r="G821" i="1"/>
  <c r="H821" i="1"/>
  <c r="I821" i="1"/>
  <c r="J821" i="1"/>
  <c r="K821" i="1"/>
  <c r="L821" i="1"/>
  <c r="M821" i="1"/>
  <c r="U821" i="1"/>
  <c r="V821" i="1"/>
  <c r="W821" i="1"/>
  <c r="X821" i="1"/>
  <c r="Z821" i="1"/>
  <c r="B822" i="1"/>
  <c r="C822" i="1"/>
  <c r="D822" i="1"/>
  <c r="E822" i="1"/>
  <c r="F822" i="1"/>
  <c r="G822" i="1"/>
  <c r="H822" i="1"/>
  <c r="I822" i="1"/>
  <c r="J822" i="1"/>
  <c r="K822" i="1"/>
  <c r="L822" i="1"/>
  <c r="M822" i="1"/>
  <c r="U822" i="1"/>
  <c r="V822" i="1"/>
  <c r="W822" i="1"/>
  <c r="X822" i="1"/>
  <c r="Z822" i="1"/>
  <c r="B823" i="1"/>
  <c r="C823" i="1"/>
  <c r="D823" i="1"/>
  <c r="E823" i="1"/>
  <c r="F823" i="1"/>
  <c r="G823" i="1"/>
  <c r="H823" i="1"/>
  <c r="I823" i="1"/>
  <c r="J823" i="1"/>
  <c r="K823" i="1"/>
  <c r="L823" i="1"/>
  <c r="M823" i="1"/>
  <c r="U823" i="1"/>
  <c r="V823" i="1"/>
  <c r="W823" i="1"/>
  <c r="X823" i="1"/>
  <c r="Z823" i="1"/>
  <c r="B824" i="1"/>
  <c r="C824" i="1"/>
  <c r="D824" i="1"/>
  <c r="E824" i="1"/>
  <c r="F824" i="1"/>
  <c r="G824" i="1"/>
  <c r="H824" i="1"/>
  <c r="I824" i="1"/>
  <c r="J824" i="1"/>
  <c r="K824" i="1"/>
  <c r="L824" i="1"/>
  <c r="M824" i="1"/>
  <c r="U824" i="1"/>
  <c r="V824" i="1"/>
  <c r="W824" i="1"/>
  <c r="X824" i="1"/>
  <c r="Z824" i="1"/>
  <c r="B825" i="1"/>
  <c r="C825" i="1"/>
  <c r="D825" i="1"/>
  <c r="E825" i="1"/>
  <c r="F825" i="1"/>
  <c r="G825" i="1"/>
  <c r="H825" i="1"/>
  <c r="I825" i="1"/>
  <c r="J825" i="1"/>
  <c r="K825" i="1"/>
  <c r="L825" i="1"/>
  <c r="M825" i="1"/>
  <c r="U825" i="1"/>
  <c r="V825" i="1"/>
  <c r="W825" i="1"/>
  <c r="X825" i="1"/>
  <c r="Z825" i="1"/>
  <c r="B826" i="1"/>
  <c r="C826" i="1"/>
  <c r="D826" i="1"/>
  <c r="E826" i="1"/>
  <c r="F826" i="1"/>
  <c r="G826" i="1"/>
  <c r="H826" i="1"/>
  <c r="I826" i="1"/>
  <c r="J826" i="1"/>
  <c r="K826" i="1"/>
  <c r="L826" i="1"/>
  <c r="M826" i="1"/>
  <c r="U826" i="1"/>
  <c r="V826" i="1"/>
  <c r="W826" i="1"/>
  <c r="X826" i="1"/>
  <c r="Z826" i="1"/>
  <c r="B827" i="1"/>
  <c r="C827" i="1"/>
  <c r="D827" i="1"/>
  <c r="E827" i="1"/>
  <c r="F827" i="1"/>
  <c r="G827" i="1"/>
  <c r="H827" i="1"/>
  <c r="I827" i="1"/>
  <c r="J827" i="1"/>
  <c r="K827" i="1"/>
  <c r="L827" i="1"/>
  <c r="M827" i="1"/>
  <c r="U827" i="1"/>
  <c r="V827" i="1"/>
  <c r="W827" i="1"/>
  <c r="X827" i="1"/>
  <c r="Z827" i="1"/>
  <c r="B828" i="1"/>
  <c r="C828" i="1"/>
  <c r="D828" i="1"/>
  <c r="E828" i="1"/>
  <c r="F828" i="1"/>
  <c r="G828" i="1"/>
  <c r="H828" i="1"/>
  <c r="I828" i="1"/>
  <c r="J828" i="1"/>
  <c r="K828" i="1"/>
  <c r="L828" i="1"/>
  <c r="M828" i="1"/>
  <c r="U828" i="1"/>
  <c r="V828" i="1"/>
  <c r="W828" i="1"/>
  <c r="X828" i="1"/>
  <c r="Z828" i="1"/>
  <c r="B829" i="1"/>
  <c r="C829" i="1"/>
  <c r="D829" i="1"/>
  <c r="E829" i="1"/>
  <c r="F829" i="1"/>
  <c r="G829" i="1"/>
  <c r="H829" i="1"/>
  <c r="I829" i="1"/>
  <c r="J829" i="1"/>
  <c r="K829" i="1"/>
  <c r="L829" i="1"/>
  <c r="M829" i="1"/>
  <c r="U829" i="1"/>
  <c r="V829" i="1"/>
  <c r="W829" i="1"/>
  <c r="X829" i="1"/>
  <c r="Z829" i="1"/>
</calcChain>
</file>

<file path=xl/sharedStrings.xml><?xml version="1.0" encoding="utf-8"?>
<sst xmlns="http://schemas.openxmlformats.org/spreadsheetml/2006/main" count="26" uniqueCount="26">
  <si>
    <t>tipo_rep_id</t>
  </si>
  <si>
    <t>provincia_id</t>
  </si>
  <si>
    <t>trabajadores</t>
  </si>
  <si>
    <t>id_municipio</t>
  </si>
  <si>
    <t>localizacion</t>
  </si>
  <si>
    <t>finalizada</t>
  </si>
  <si>
    <t>id_estado</t>
  </si>
  <si>
    <t>descripcion_corta</t>
  </si>
  <si>
    <t>descripcion_larga</t>
  </si>
  <si>
    <t>actualizado_en</t>
  </si>
  <si>
    <t>creado_en</t>
  </si>
  <si>
    <t>observaciones</t>
  </si>
  <si>
    <t>estado</t>
  </si>
  <si>
    <t>longitud</t>
  </si>
  <si>
    <t>latitud</t>
  </si>
  <si>
    <t>fecha_fin</t>
  </si>
  <si>
    <t>fecha_inicio</t>
  </si>
  <si>
    <t>descripion</t>
  </si>
  <si>
    <t>titulo</t>
  </si>
  <si>
    <t>municipio_id</t>
  </si>
  <si>
    <t>comarca_id</t>
  </si>
  <si>
    <t>cod_trabajo_id</t>
  </si>
  <si>
    <t>tipo_trabajo_id</t>
  </si>
  <si>
    <t>red_id</t>
  </si>
  <si>
    <t>codigo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</si>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</sst>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Z:\00.%20EPICENTRUM\24.ingenieria\PR-ING-25-029.%20ADAPTACION%20SOFTWARE\03.%20AUXILIAR\LISTADO%20OTS.csv" TargetMode="External"/><Relationship Id="rId1" Type="http://schemas.openxmlformats.org/officeDocument/2006/relationships/externalLinkPath" Target="LISTADO%20OTS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STADO_OTS"/>
      <sheetName val="Comarcas"/>
      <sheetName val="Municipios"/>
      <sheetName val="Redes"/>
    </sheetNames>
    <sheetDataSet>
      <sheetData sheetId="0">
        <row r="2">
          <cell r="B2" t="str">
            <v>Saneamiento</v>
          </cell>
          <cell r="C2">
            <v>2</v>
          </cell>
          <cell r="D2">
            <v>1</v>
          </cell>
          <cell r="E2" t="str">
            <v>TP/0001</v>
          </cell>
          <cell r="F2">
            <v>45870</v>
          </cell>
          <cell r="G2">
            <v>45870</v>
          </cell>
          <cell r="H2" t="str">
            <v>Limpieza tamices en Lejarzo</v>
          </cell>
          <cell r="I2" t="str">
            <v>Limpieza de las tamices de 7:00 a 12:00 en Lejarzo</v>
          </cell>
          <cell r="J2" t="str">
            <v>Lejarzo</v>
          </cell>
          <cell r="M2">
            <v>43.060111111111105</v>
          </cell>
          <cell r="N2">
            <v>-3.1232500000000001</v>
          </cell>
          <cell r="O2" t="b">
            <v>1</v>
          </cell>
          <cell r="Q2">
            <v>1</v>
          </cell>
          <cell r="R2">
            <v>3</v>
          </cell>
        </row>
        <row r="3">
          <cell r="B3" t="str">
            <v>Distribución</v>
          </cell>
          <cell r="C3">
            <v>1</v>
          </cell>
          <cell r="E3" t="str">
            <v>OT/0092</v>
          </cell>
          <cell r="F3">
            <v>45870</v>
          </cell>
          <cell r="G3">
            <v>45870</v>
          </cell>
          <cell r="H3" t="str">
            <v>Abrir válvula en Erbi</v>
          </cell>
          <cell r="I3" t="str">
            <v>Se ha abierto una válvula en Erbi de 14:50 - 15:25</v>
          </cell>
          <cell r="J3" t="str">
            <v>Erbi</v>
          </cell>
          <cell r="M3">
            <v>43.074916666666667</v>
          </cell>
          <cell r="N3">
            <v>-3.1068611111111113</v>
          </cell>
          <cell r="O3" t="b">
            <v>1</v>
          </cell>
          <cell r="Q3">
            <v>1</v>
          </cell>
          <cell r="R3">
            <v>1</v>
          </cell>
          <cell r="S3">
            <v>3</v>
          </cell>
        </row>
        <row r="4">
          <cell r="B4" t="str">
            <v>Distribución</v>
          </cell>
          <cell r="C4">
            <v>1</v>
          </cell>
          <cell r="E4" t="str">
            <v>OT/0093</v>
          </cell>
          <cell r="F4">
            <v>45870</v>
          </cell>
          <cell r="G4">
            <v>45870</v>
          </cell>
          <cell r="H4" t="str">
            <v>Revisión falta de presión en Amurrio</v>
          </cell>
          <cell r="I4" t="str">
            <v>Se ha revisado la falta de presión, debido a un contador sucio</v>
          </cell>
          <cell r="J4" t="str">
            <v>Amurrio</v>
          </cell>
          <cell r="M4">
            <v>43.054333333333332</v>
          </cell>
          <cell r="N4">
            <v>-3.007138888888889</v>
          </cell>
          <cell r="O4" t="b">
            <v>1</v>
          </cell>
          <cell r="Q4">
            <v>1</v>
          </cell>
          <cell r="R4">
            <v>1</v>
          </cell>
          <cell r="S4">
            <v>2</v>
          </cell>
        </row>
        <row r="5">
          <cell r="B5" t="str">
            <v>Distribución</v>
          </cell>
          <cell r="C5">
            <v>1</v>
          </cell>
          <cell r="E5" t="str">
            <v>OT/0096</v>
          </cell>
          <cell r="F5">
            <v>45870</v>
          </cell>
          <cell r="G5">
            <v>45870</v>
          </cell>
          <cell r="H5" t="str">
            <v>Aviso por contador fugando en Amurrio</v>
          </cell>
          <cell r="I5" t="str">
            <v>Aviso por contador fugando</v>
          </cell>
          <cell r="J5" t="str">
            <v>Amurrio</v>
          </cell>
          <cell r="M5">
            <v>43.054333333333332</v>
          </cell>
          <cell r="N5">
            <v>-3.0074166666666668</v>
          </cell>
          <cell r="O5" t="b">
            <v>1</v>
          </cell>
          <cell r="Q5">
            <v>1</v>
          </cell>
          <cell r="R5">
            <v>1</v>
          </cell>
          <cell r="S5">
            <v>1</v>
          </cell>
        </row>
        <row r="6">
          <cell r="B6" t="str">
            <v>Depuración</v>
          </cell>
          <cell r="C6">
            <v>2</v>
          </cell>
          <cell r="D6">
            <v>3</v>
          </cell>
          <cell r="E6" t="str">
            <v>TP/0003</v>
          </cell>
          <cell r="F6">
            <v>45870</v>
          </cell>
          <cell r="G6">
            <v>45870</v>
          </cell>
          <cell r="H6" t="str">
            <v>Limpieza fosa en Respaldiza</v>
          </cell>
          <cell r="I6" t="str">
            <v>Limpieza fosa séptica en Respaldiza</v>
          </cell>
          <cell r="J6" t="str">
            <v>Respaldiza</v>
          </cell>
          <cell r="M6">
            <v>43.077777777777783</v>
          </cell>
          <cell r="N6">
            <v>-3.0410277777777774</v>
          </cell>
          <cell r="O6" t="b">
            <v>1</v>
          </cell>
          <cell r="Q6">
            <v>1</v>
          </cell>
          <cell r="R6">
            <v>1</v>
          </cell>
        </row>
        <row r="7">
          <cell r="B7" t="str">
            <v>Depuración</v>
          </cell>
          <cell r="C7">
            <v>2</v>
          </cell>
          <cell r="D7">
            <v>3</v>
          </cell>
          <cell r="E7" t="str">
            <v>TP/0004</v>
          </cell>
          <cell r="F7">
            <v>45870</v>
          </cell>
          <cell r="G7">
            <v>45870</v>
          </cell>
          <cell r="H7" t="str">
            <v>Limpieza fosa séptica en Menoio</v>
          </cell>
          <cell r="I7" t="str">
            <v>Limpieza fosa séptica en Menoio</v>
          </cell>
          <cell r="J7" t="str">
            <v>Menoio</v>
          </cell>
          <cell r="M7">
            <v>43.070138888888891</v>
          </cell>
          <cell r="N7">
            <v>-3.0746388888888889</v>
          </cell>
          <cell r="O7" t="b">
            <v>1</v>
          </cell>
          <cell r="Q7">
            <v>1</v>
          </cell>
          <cell r="R7">
            <v>1</v>
          </cell>
        </row>
        <row r="8">
          <cell r="B8" t="str">
            <v>Aducción</v>
          </cell>
          <cell r="C8">
            <v>2</v>
          </cell>
          <cell r="D8">
            <v>2</v>
          </cell>
          <cell r="E8" t="str">
            <v>TP/0005</v>
          </cell>
          <cell r="F8">
            <v>45870</v>
          </cell>
          <cell r="G8">
            <v>45870</v>
          </cell>
          <cell r="H8" t="str">
            <v>Limpieza captaciones</v>
          </cell>
          <cell r="I8" t="str">
            <v>Limpieza captaciones</v>
          </cell>
          <cell r="J8" t="str">
            <v>Agurain</v>
          </cell>
          <cell r="O8" t="b">
            <v>1</v>
          </cell>
          <cell r="Q8">
            <v>3</v>
          </cell>
          <cell r="R8">
            <v>3</v>
          </cell>
        </row>
        <row r="9">
          <cell r="B9" t="str">
            <v>Distribución</v>
          </cell>
          <cell r="C9">
            <v>1</v>
          </cell>
          <cell r="E9" t="str">
            <v>OT/0094</v>
          </cell>
          <cell r="F9">
            <v>45870</v>
          </cell>
          <cell r="G9">
            <v>45870</v>
          </cell>
          <cell r="H9" t="str">
            <v>Fuga en Cacerías Artziniega</v>
          </cell>
          <cell r="I9" t="str">
            <v>Fuga en Artziniega - Cacerías</v>
          </cell>
          <cell r="J9" t="str">
            <v>Artziniega</v>
          </cell>
          <cell r="M9">
            <v>43.122694444444448</v>
          </cell>
          <cell r="N9">
            <v>-3.1251944444444444</v>
          </cell>
          <cell r="O9" t="b">
            <v>1</v>
          </cell>
          <cell r="Q9">
            <v>1</v>
          </cell>
          <cell r="R9">
            <v>1</v>
          </cell>
          <cell r="S9">
            <v>1</v>
          </cell>
        </row>
        <row r="10">
          <cell r="B10" t="str">
            <v>Saneamiento</v>
          </cell>
          <cell r="C10">
            <v>2</v>
          </cell>
          <cell r="D10">
            <v>1</v>
          </cell>
          <cell r="E10" t="str">
            <v>TP/0006</v>
          </cell>
          <cell r="F10">
            <v>45870</v>
          </cell>
          <cell r="G10">
            <v>45870</v>
          </cell>
          <cell r="H10" t="str">
            <v>Limpieza fosa en Tamices Onsoño (Amurrio)</v>
          </cell>
          <cell r="I10" t="str">
            <v>Limpieza de fosa séptica Tamices Onsoño</v>
          </cell>
          <cell r="J10" t="str">
            <v>Onsoño-Amurrio</v>
          </cell>
          <cell r="M10">
            <v>43.060499999999998</v>
          </cell>
          <cell r="N10">
            <v>-2.9421388888888891</v>
          </cell>
          <cell r="O10" t="b">
            <v>1</v>
          </cell>
          <cell r="Q10">
            <v>1</v>
          </cell>
          <cell r="R10">
            <v>1</v>
          </cell>
        </row>
        <row r="11">
          <cell r="B11" t="str">
            <v>Saneamiento</v>
          </cell>
          <cell r="C11">
            <v>1</v>
          </cell>
          <cell r="E11" t="str">
            <v>OT/0095</v>
          </cell>
          <cell r="F11">
            <v>45870</v>
          </cell>
          <cell r="G11">
            <v>45870</v>
          </cell>
          <cell r="H11" t="str">
            <v>Desatasco colector saneamiento en Espejo</v>
          </cell>
          <cell r="I11" t="str">
            <v>Desatascar en Espejo</v>
          </cell>
          <cell r="J11" t="str">
            <v>Espejo</v>
          </cell>
          <cell r="M11">
            <v>42.808916666666661</v>
          </cell>
          <cell r="N11">
            <v>-3.0424166666666665</v>
          </cell>
          <cell r="O11" t="b">
            <v>1</v>
          </cell>
          <cell r="Q11">
            <v>5</v>
          </cell>
          <cell r="R11">
            <v>44</v>
          </cell>
          <cell r="S11">
            <v>2</v>
          </cell>
        </row>
        <row r="12">
          <cell r="B12" t="str">
            <v>Distribución</v>
          </cell>
          <cell r="C12">
            <v>2</v>
          </cell>
          <cell r="D12">
            <v>8</v>
          </cell>
          <cell r="E12" t="str">
            <v>TP/0002</v>
          </cell>
          <cell r="F12">
            <v>45870</v>
          </cell>
          <cell r="G12">
            <v>45870</v>
          </cell>
          <cell r="H12" t="str">
            <v>Contadores Polígonos los Fueros en Agurain</v>
          </cell>
          <cell r="I12" t="str">
            <v>Alta de contadores en Polígono los fueros en Agurain</v>
          </cell>
          <cell r="J12" t="str">
            <v>Agurain</v>
          </cell>
          <cell r="M12">
            <v>42.849944444444446</v>
          </cell>
          <cell r="N12">
            <v>-2.3926944444444445</v>
          </cell>
          <cell r="O12" t="b">
            <v>1</v>
          </cell>
          <cell r="Q12">
            <v>3</v>
          </cell>
          <cell r="R12">
            <v>3</v>
          </cell>
        </row>
        <row r="13">
          <cell r="B13" t="str">
            <v>Distribución</v>
          </cell>
          <cell r="C13">
            <v>2</v>
          </cell>
          <cell r="D13">
            <v>8</v>
          </cell>
          <cell r="E13" t="str">
            <v>TP/0007</v>
          </cell>
          <cell r="F13">
            <v>45870</v>
          </cell>
          <cell r="G13">
            <v>45870</v>
          </cell>
          <cell r="H13" t="str">
            <v>Alta contador en Agurain</v>
          </cell>
          <cell r="I13" t="str">
            <v>Instalación del contador - Alta contador en Agurain</v>
          </cell>
          <cell r="J13" t="str">
            <v>Agurain</v>
          </cell>
          <cell r="M13">
            <v>42.849944444444446</v>
          </cell>
          <cell r="N13">
            <v>-2.3929722222222223</v>
          </cell>
          <cell r="O13" t="b">
            <v>1</v>
          </cell>
          <cell r="Q13">
            <v>3</v>
          </cell>
          <cell r="R13">
            <v>3</v>
          </cell>
        </row>
        <row r="14">
          <cell r="B14" t="str">
            <v>Distribución</v>
          </cell>
          <cell r="C14">
            <v>1</v>
          </cell>
          <cell r="E14" t="str">
            <v>OT/0097</v>
          </cell>
          <cell r="F14">
            <v>45870</v>
          </cell>
          <cell r="G14">
            <v>45870</v>
          </cell>
          <cell r="H14" t="str">
            <v>Fuga en Ribabellosa</v>
          </cell>
          <cell r="I14" t="str">
            <v>Fuga en ribabellosa, visita montaña alavesa</v>
          </cell>
          <cell r="J14" t="str">
            <v>Ribabellosa</v>
          </cell>
          <cell r="M14">
            <v>42.710277777777783</v>
          </cell>
          <cell r="N14">
            <v>-2.9265833333333333</v>
          </cell>
          <cell r="O14" t="b">
            <v>1</v>
          </cell>
          <cell r="Q14">
            <v>5</v>
          </cell>
          <cell r="R14">
            <v>5</v>
          </cell>
          <cell r="S14">
            <v>1</v>
          </cell>
        </row>
        <row r="15">
          <cell r="B15" t="str">
            <v>Distribución</v>
          </cell>
          <cell r="C15">
            <v>1</v>
          </cell>
          <cell r="E15" t="str">
            <v>OT/0098</v>
          </cell>
          <cell r="F15">
            <v>45871</v>
          </cell>
          <cell r="G15">
            <v>45871</v>
          </cell>
          <cell r="H15" t="str">
            <v>Fuga en Larrinbe</v>
          </cell>
          <cell r="I15" t="str">
            <v>Reparación de una fuga en Larrinbe</v>
          </cell>
          <cell r="J15" t="str">
            <v>Larrinbe-Amurrio</v>
          </cell>
          <cell r="M15">
            <v>43.045583333333333</v>
          </cell>
          <cell r="N15">
            <v>-2.9768611111111114</v>
          </cell>
          <cell r="O15" t="b">
            <v>1</v>
          </cell>
          <cell r="Q15">
            <v>1</v>
          </cell>
          <cell r="R15">
            <v>1</v>
          </cell>
          <cell r="S15">
            <v>1</v>
          </cell>
        </row>
        <row r="16">
          <cell r="B16" t="str">
            <v>Distribución</v>
          </cell>
          <cell r="C16">
            <v>1</v>
          </cell>
          <cell r="E16" t="str">
            <v>OT/0099</v>
          </cell>
          <cell r="F16">
            <v>45871</v>
          </cell>
          <cell r="G16">
            <v>45871</v>
          </cell>
          <cell r="H16" t="str">
            <v>Fuga en Larrinbe</v>
          </cell>
          <cell r="I16" t="str">
            <v>Falso aviso de posible fuga en Larrinbe</v>
          </cell>
          <cell r="J16" t="str">
            <v>Larrinbe-Amurrio</v>
          </cell>
          <cell r="M16">
            <v>43.044083333333333</v>
          </cell>
          <cell r="N16">
            <v>-2.9771388888888892</v>
          </cell>
          <cell r="O16" t="b">
            <v>1</v>
          </cell>
          <cell r="Q16">
            <v>1</v>
          </cell>
          <cell r="R16">
            <v>1</v>
          </cell>
          <cell r="S16">
            <v>1</v>
          </cell>
        </row>
        <row r="17">
          <cell r="B17" t="str">
            <v>Distribución</v>
          </cell>
          <cell r="C17">
            <v>1</v>
          </cell>
          <cell r="E17" t="str">
            <v>OT/0100</v>
          </cell>
          <cell r="F17">
            <v>45872</v>
          </cell>
          <cell r="G17">
            <v>45872</v>
          </cell>
          <cell r="H17" t="str">
            <v>Aviso de fuga de acometida en Llodio</v>
          </cell>
          <cell r="I17" t="str">
            <v>Aviso de fuga en acometida en edificios en construcción</v>
          </cell>
          <cell r="J17" t="str">
            <v>Llodio</v>
          </cell>
          <cell r="M17">
            <v>43.140250000000002</v>
          </cell>
          <cell r="N17">
            <v>-2.96075</v>
          </cell>
          <cell r="O17" t="b">
            <v>1</v>
          </cell>
          <cell r="Q17">
            <v>1</v>
          </cell>
          <cell r="R17">
            <v>1</v>
          </cell>
          <cell r="S17">
            <v>1</v>
          </cell>
        </row>
        <row r="18">
          <cell r="B18" t="str">
            <v>Saneamiento</v>
          </cell>
          <cell r="C18">
            <v>1</v>
          </cell>
          <cell r="E18" t="str">
            <v>OT/0101</v>
          </cell>
          <cell r="F18">
            <v>45872</v>
          </cell>
          <cell r="G18">
            <v>45872</v>
          </cell>
          <cell r="H18" t="str">
            <v>Atasco en Anucita</v>
          </cell>
          <cell r="I18" t="str">
            <v>Atasco en Anucita en dos días 03/08-04/08</v>
          </cell>
          <cell r="J18" t="str">
            <v>Anucita</v>
          </cell>
          <cell r="M18">
            <v>42.801444444444442</v>
          </cell>
          <cell r="N18">
            <v>-2.8943611111111109</v>
          </cell>
          <cell r="O18" t="b">
            <v>1</v>
          </cell>
          <cell r="Q18">
            <v>5</v>
          </cell>
          <cell r="R18">
            <v>41</v>
          </cell>
          <cell r="S18">
            <v>2</v>
          </cell>
        </row>
        <row r="19">
          <cell r="B19" t="str">
            <v>Distribución</v>
          </cell>
          <cell r="C19">
            <v>1</v>
          </cell>
          <cell r="E19" t="str">
            <v>OT/0102</v>
          </cell>
          <cell r="F19">
            <v>45873</v>
          </cell>
          <cell r="G19">
            <v>45873</v>
          </cell>
          <cell r="H19" t="str">
            <v>Búsqueda de fuga en Agurain</v>
          </cell>
          <cell r="I19" t="str">
            <v>Búsqueda de fuga en Agurain</v>
          </cell>
          <cell r="J19" t="str">
            <v>Agurain</v>
          </cell>
          <cell r="M19">
            <v>42.851638888888893</v>
          </cell>
          <cell r="N19">
            <v>-2.3946388888888888</v>
          </cell>
          <cell r="O19" t="b">
            <v>1</v>
          </cell>
          <cell r="Q19">
            <v>3</v>
          </cell>
          <cell r="R19">
            <v>3</v>
          </cell>
          <cell r="S19">
            <v>1</v>
          </cell>
        </row>
        <row r="20">
          <cell r="B20" t="str">
            <v>Aducción</v>
          </cell>
          <cell r="C20">
            <v>1</v>
          </cell>
          <cell r="E20" t="str">
            <v>OT/0103</v>
          </cell>
          <cell r="F20">
            <v>45873</v>
          </cell>
          <cell r="G20">
            <v>45873</v>
          </cell>
          <cell r="H20" t="str">
            <v>Reparación fuga en Sojoguti</v>
          </cell>
          <cell r="I20" t="str">
            <v>Reparación fuga en Sojoguti</v>
          </cell>
          <cell r="J20" t="str">
            <v>Sojoguti/Artzeniaga</v>
          </cell>
          <cell r="M20">
            <v>43.111861111111111</v>
          </cell>
          <cell r="N20">
            <v>-3.12825</v>
          </cell>
          <cell r="O20" t="b">
            <v>1</v>
          </cell>
          <cell r="Q20">
            <v>1</v>
          </cell>
          <cell r="R20">
            <v>1</v>
          </cell>
          <cell r="S20">
            <v>1</v>
          </cell>
        </row>
        <row r="21">
          <cell r="B21" t="str">
            <v>Saneamiento</v>
          </cell>
          <cell r="C21">
            <v>1</v>
          </cell>
          <cell r="E21" t="str">
            <v>OT/0104</v>
          </cell>
          <cell r="F21">
            <v>45873</v>
          </cell>
          <cell r="G21">
            <v>45873</v>
          </cell>
          <cell r="H21" t="str">
            <v>Desatasco en Anuncita</v>
          </cell>
          <cell r="I21" t="str">
            <v>Desatasco</v>
          </cell>
          <cell r="J21" t="str">
            <v>Anucita</v>
          </cell>
          <cell r="M21">
            <v>42.801305555555551</v>
          </cell>
          <cell r="N21">
            <v>-2.8951944444444444</v>
          </cell>
          <cell r="O21" t="b">
            <v>1</v>
          </cell>
          <cell r="Q21">
            <v>5</v>
          </cell>
          <cell r="R21">
            <v>41</v>
          </cell>
          <cell r="S21">
            <v>2</v>
          </cell>
        </row>
        <row r="22">
          <cell r="B22" t="str">
            <v>Distribución</v>
          </cell>
          <cell r="C22">
            <v>1</v>
          </cell>
          <cell r="E22" t="str">
            <v>OT/0105</v>
          </cell>
          <cell r="F22">
            <v>45873</v>
          </cell>
          <cell r="G22">
            <v>45873</v>
          </cell>
          <cell r="H22" t="str">
            <v>Reparación de fuga en Respaldiza</v>
          </cell>
          <cell r="I22" t="str">
            <v>Reparación de una fuga en Respaldiza,esquina abajo desde el 04/08/2025 hasta el 13/08/2025</v>
          </cell>
          <cell r="J22" t="str">
            <v>Esquina Abajo/Respaldiza</v>
          </cell>
          <cell r="M22">
            <v>43.087583333333335</v>
          </cell>
          <cell r="N22">
            <v>-3.0454722222222221</v>
          </cell>
          <cell r="O22" t="b">
            <v>1</v>
          </cell>
          <cell r="Q22">
            <v>1</v>
          </cell>
          <cell r="R22">
            <v>1</v>
          </cell>
          <cell r="S22">
            <v>1</v>
          </cell>
        </row>
        <row r="23">
          <cell r="B23" t="str">
            <v>Saneamiento</v>
          </cell>
          <cell r="C23">
            <v>2</v>
          </cell>
          <cell r="D23">
            <v>1</v>
          </cell>
          <cell r="E23" t="str">
            <v>TP/0008</v>
          </cell>
          <cell r="F23">
            <v>45870</v>
          </cell>
          <cell r="G23">
            <v>45870</v>
          </cell>
          <cell r="H23" t="str">
            <v>Ejecución de arqueta en Amurrio</v>
          </cell>
          <cell r="I23" t="str">
            <v>Ejecución de arqueta en Amurrio, en el barrio San Roque</v>
          </cell>
          <cell r="J23" t="str">
            <v>Barrio San Roque</v>
          </cell>
          <cell r="M23">
            <v>43.068944444444448</v>
          </cell>
          <cell r="N23">
            <v>-2.9957500000000001</v>
          </cell>
          <cell r="O23" t="b">
            <v>1</v>
          </cell>
          <cell r="Q23">
            <v>1</v>
          </cell>
          <cell r="R23">
            <v>1</v>
          </cell>
        </row>
        <row r="24">
          <cell r="B24" t="str">
            <v>Distribución</v>
          </cell>
          <cell r="C24">
            <v>1</v>
          </cell>
          <cell r="E24" t="str">
            <v>OT/0106</v>
          </cell>
          <cell r="F24">
            <v>45873</v>
          </cell>
          <cell r="G24">
            <v>45873</v>
          </cell>
          <cell r="H24" t="str">
            <v>Reparación de fuga en Larrinbe</v>
          </cell>
          <cell r="I24" t="str">
            <v>Reparación de fuga en Larrinbe</v>
          </cell>
          <cell r="J24" t="str">
            <v>Larrinbe-Amurrio</v>
          </cell>
          <cell r="M24">
            <v>43.037833333333332</v>
          </cell>
          <cell r="N24">
            <v>-2.9793611111111113</v>
          </cell>
          <cell r="O24" t="b">
            <v>1</v>
          </cell>
          <cell r="Q24">
            <v>1</v>
          </cell>
          <cell r="R24">
            <v>1</v>
          </cell>
          <cell r="S24">
            <v>1</v>
          </cell>
        </row>
        <row r="25">
          <cell r="B25" t="str">
            <v>Distribución</v>
          </cell>
          <cell r="C25">
            <v>2</v>
          </cell>
          <cell r="D25">
            <v>8</v>
          </cell>
          <cell r="E25" t="str">
            <v>TP/0009</v>
          </cell>
          <cell r="F25">
            <v>45873</v>
          </cell>
          <cell r="G25">
            <v>45873</v>
          </cell>
          <cell r="H25" t="str">
            <v>Instalación de contador - Alta contador en Argomaniz</v>
          </cell>
          <cell r="I25" t="str">
            <v>Instalación de contador - Alta contador en Argomaniz</v>
          </cell>
          <cell r="J25" t="str">
            <v>Argomaniz</v>
          </cell>
          <cell r="M25">
            <v>42.867583333333336</v>
          </cell>
          <cell r="N25">
            <v>-2.5463055555555556</v>
          </cell>
          <cell r="O25" t="b">
            <v>1</v>
          </cell>
          <cell r="Q25">
            <v>3</v>
          </cell>
          <cell r="R25">
            <v>3</v>
          </cell>
        </row>
        <row r="26">
          <cell r="B26" t="str">
            <v>Distribución</v>
          </cell>
          <cell r="C26">
            <v>2</v>
          </cell>
          <cell r="D26">
            <v>10</v>
          </cell>
          <cell r="E26" t="str">
            <v>TP/0010</v>
          </cell>
          <cell r="F26">
            <v>45873</v>
          </cell>
          <cell r="G26">
            <v>45873</v>
          </cell>
          <cell r="H26" t="str">
            <v>Cambio de contador en Sabanto</v>
          </cell>
          <cell r="I26" t="str">
            <v>Instalacion de contador, cambio de contador</v>
          </cell>
          <cell r="J26" t="str">
            <v>Sabando</v>
          </cell>
          <cell r="M26">
            <v>42.749138888888886</v>
          </cell>
          <cell r="N26">
            <v>-2.4132500000000001</v>
          </cell>
          <cell r="O26" t="b">
            <v>1</v>
          </cell>
          <cell r="Q26">
            <v>6</v>
          </cell>
          <cell r="R26">
            <v>6</v>
          </cell>
        </row>
        <row r="27">
          <cell r="B27" t="str">
            <v>Distribución</v>
          </cell>
          <cell r="C27">
            <v>2</v>
          </cell>
          <cell r="D27">
            <v>8</v>
          </cell>
          <cell r="E27" t="str">
            <v>TP/0011</v>
          </cell>
          <cell r="F27">
            <v>45873</v>
          </cell>
          <cell r="G27">
            <v>45873</v>
          </cell>
          <cell r="H27" t="str">
            <v>Alta contador en Amurrio</v>
          </cell>
          <cell r="I27" t="str">
            <v>Alta del contador, instalación de contadores</v>
          </cell>
          <cell r="J27" t="str">
            <v>Amurrio</v>
          </cell>
          <cell r="M27">
            <v>43.053305555555553</v>
          </cell>
          <cell r="N27">
            <v>-3.0135277777777776</v>
          </cell>
          <cell r="O27" t="b">
            <v>1</v>
          </cell>
          <cell r="Q27">
            <v>1</v>
          </cell>
          <cell r="R27">
            <v>1</v>
          </cell>
        </row>
        <row r="28">
          <cell r="B28" t="str">
            <v>Distribución</v>
          </cell>
          <cell r="C28">
            <v>2</v>
          </cell>
          <cell r="D28">
            <v>8</v>
          </cell>
          <cell r="E28" t="str">
            <v>TP/0012</v>
          </cell>
          <cell r="F28">
            <v>45873</v>
          </cell>
          <cell r="G28">
            <v>45873</v>
          </cell>
          <cell r="H28" t="str">
            <v>Instalación de contadores en Amurrio</v>
          </cell>
          <cell r="I28" t="str">
            <v>Colocar contador en Caravanas - Barracas (Amurrio)</v>
          </cell>
          <cell r="J28" t="str">
            <v>Amurrio</v>
          </cell>
          <cell r="M28">
            <v>43.049527777777776</v>
          </cell>
          <cell r="N28">
            <v>-3.0138055555555554</v>
          </cell>
          <cell r="O28" t="b">
            <v>1</v>
          </cell>
          <cell r="Q28">
            <v>1</v>
          </cell>
          <cell r="R28">
            <v>1</v>
          </cell>
        </row>
        <row r="29">
          <cell r="B29" t="str">
            <v>Distribución</v>
          </cell>
          <cell r="C29">
            <v>1</v>
          </cell>
          <cell r="E29" t="str">
            <v>OT/0107</v>
          </cell>
          <cell r="F29">
            <v>45873</v>
          </cell>
          <cell r="G29">
            <v>45873</v>
          </cell>
          <cell r="H29" t="str">
            <v>Reparación de fuga Calle Iturbide en Ribabellosa</v>
          </cell>
          <cell r="I29" t="str">
            <v>Localización, reparación de fuga. Creación de avisos. Asfaltado.</v>
          </cell>
          <cell r="J29" t="str">
            <v>Ribabellosa</v>
          </cell>
          <cell r="M29">
            <v>42.711000000000006</v>
          </cell>
          <cell r="N29">
            <v>-2.9307499999999997</v>
          </cell>
          <cell r="O29" t="b">
            <v>1</v>
          </cell>
          <cell r="Q29">
            <v>5</v>
          </cell>
          <cell r="R29">
            <v>5</v>
          </cell>
          <cell r="S29">
            <v>1</v>
          </cell>
        </row>
        <row r="30">
          <cell r="B30" t="str">
            <v>Distribución</v>
          </cell>
          <cell r="C30">
            <v>1</v>
          </cell>
          <cell r="E30" t="str">
            <v>OT/0108</v>
          </cell>
          <cell r="F30">
            <v>45874</v>
          </cell>
          <cell r="G30">
            <v>45874</v>
          </cell>
          <cell r="H30" t="str">
            <v>Búsqueda y reparación de fuga Calle Gazarriza en Ribabellosa</v>
          </cell>
          <cell r="I30" t="str">
            <v>Búsqueda y reparación de fuga en Ribabellosa</v>
          </cell>
          <cell r="J30" t="str">
            <v>Ribabellosa</v>
          </cell>
          <cell r="M30">
            <v>42.710388888888893</v>
          </cell>
          <cell r="N30">
            <v>-2.9310277777777776</v>
          </cell>
          <cell r="O30" t="b">
            <v>1</v>
          </cell>
          <cell r="Q30">
            <v>5</v>
          </cell>
          <cell r="R30">
            <v>5</v>
          </cell>
          <cell r="S30">
            <v>1</v>
          </cell>
        </row>
        <row r="31">
          <cell r="B31" t="str">
            <v>Distribución</v>
          </cell>
          <cell r="C31">
            <v>1</v>
          </cell>
          <cell r="E31" t="str">
            <v>OT/0109</v>
          </cell>
          <cell r="F31">
            <v>45874</v>
          </cell>
          <cell r="G31">
            <v>45874</v>
          </cell>
          <cell r="H31" t="str">
            <v>Reparación de fuga en Erbi</v>
          </cell>
          <cell r="I31" t="str">
            <v>Reparación de fuga en Erbi</v>
          </cell>
          <cell r="J31" t="str">
            <v>Erbi</v>
          </cell>
          <cell r="M31">
            <v>43.075055555555558</v>
          </cell>
          <cell r="N31">
            <v>-3.114638888888889</v>
          </cell>
          <cell r="O31" t="b">
            <v>1</v>
          </cell>
          <cell r="Q31">
            <v>1</v>
          </cell>
          <cell r="R31">
            <v>1</v>
          </cell>
          <cell r="S31">
            <v>1</v>
          </cell>
        </row>
        <row r="32">
          <cell r="B32" t="str">
            <v>Saneamiento</v>
          </cell>
          <cell r="C32">
            <v>2</v>
          </cell>
          <cell r="D32">
            <v>1</v>
          </cell>
          <cell r="E32" t="str">
            <v>TP/0013</v>
          </cell>
          <cell r="F32">
            <v>45874</v>
          </cell>
          <cell r="G32">
            <v>45874</v>
          </cell>
          <cell r="H32" t="str">
            <v>Búsqueda tubo de saneamiento en Maeztu</v>
          </cell>
          <cell r="I32" t="str">
            <v>Se ha abierto una cata en busca del tubo de saneamiento</v>
          </cell>
          <cell r="J32" t="str">
            <v>Maeztu</v>
          </cell>
          <cell r="M32">
            <v>42.739000000000004</v>
          </cell>
          <cell r="N32">
            <v>-2.4482500000000003</v>
          </cell>
          <cell r="O32" t="b">
            <v>1</v>
          </cell>
          <cell r="Q32">
            <v>6</v>
          </cell>
          <cell r="R32">
            <v>46</v>
          </cell>
        </row>
        <row r="33">
          <cell r="B33" t="str">
            <v>Distribución</v>
          </cell>
          <cell r="C33">
            <v>1</v>
          </cell>
          <cell r="E33" t="str">
            <v>OT/0110</v>
          </cell>
          <cell r="F33">
            <v>45874</v>
          </cell>
          <cell r="G33">
            <v>45874</v>
          </cell>
          <cell r="H33" t="str">
            <v>Reparación de fuga en Puentelarra</v>
          </cell>
          <cell r="I33" t="str">
            <v>Se ha tenido que picar bajo el armario del contador en busca de una fuga</v>
          </cell>
          <cell r="J33" t="str">
            <v>Puentelarra</v>
          </cell>
          <cell r="M33">
            <v>42.750833333333333</v>
          </cell>
          <cell r="N33">
            <v>-3.0485277777777777</v>
          </cell>
          <cell r="O33" t="b">
            <v>1</v>
          </cell>
          <cell r="Q33">
            <v>5</v>
          </cell>
          <cell r="R33">
            <v>5</v>
          </cell>
          <cell r="S33">
            <v>1</v>
          </cell>
        </row>
        <row r="34">
          <cell r="B34" t="str">
            <v>Distribución</v>
          </cell>
          <cell r="C34">
            <v>1</v>
          </cell>
          <cell r="E34" t="str">
            <v>OT/0111</v>
          </cell>
          <cell r="F34">
            <v>45874</v>
          </cell>
          <cell r="G34">
            <v>45874</v>
          </cell>
          <cell r="H34" t="str">
            <v>Revisión de la zona por aviso municipal en Llodio</v>
          </cell>
          <cell r="I34" t="str">
            <v>Revisión de la zona por aviso municipal en Avenida Zumalacarregui</v>
          </cell>
          <cell r="J34" t="str">
            <v>Llodio</v>
          </cell>
          <cell r="M34">
            <v>43.142416666666669</v>
          </cell>
          <cell r="N34">
            <v>-2.9654722222222225</v>
          </cell>
          <cell r="O34" t="b">
            <v>1</v>
          </cell>
          <cell r="Q34">
            <v>1</v>
          </cell>
          <cell r="R34">
            <v>1</v>
          </cell>
          <cell r="S34">
            <v>3</v>
          </cell>
        </row>
        <row r="35">
          <cell r="B35" t="str">
            <v>Distribución</v>
          </cell>
          <cell r="C35">
            <v>2</v>
          </cell>
          <cell r="D35">
            <v>10</v>
          </cell>
          <cell r="E35" t="str">
            <v>TP/0014</v>
          </cell>
          <cell r="F35">
            <v>45874</v>
          </cell>
          <cell r="G35">
            <v>45874</v>
          </cell>
          <cell r="H35" t="str">
            <v>Instalación contadores - Cambio de contador en Villanañe</v>
          </cell>
          <cell r="I35" t="str">
            <v>Picar arqueta, cambio de contador y acerar arqueta.</v>
          </cell>
          <cell r="J35" t="str">
            <v>Villanañe</v>
          </cell>
          <cell r="M35">
            <v>42.836277777777781</v>
          </cell>
          <cell r="N35">
            <v>-3.082416666666667</v>
          </cell>
          <cell r="O35" t="b">
            <v>1</v>
          </cell>
          <cell r="Q35">
            <v>5</v>
          </cell>
          <cell r="R35">
            <v>5</v>
          </cell>
        </row>
        <row r="36">
          <cell r="B36" t="str">
            <v>Saneamiento</v>
          </cell>
          <cell r="C36">
            <v>2</v>
          </cell>
          <cell r="D36">
            <v>1</v>
          </cell>
          <cell r="E36" t="str">
            <v>TP/0015</v>
          </cell>
          <cell r="F36">
            <v>45874</v>
          </cell>
          <cell r="G36">
            <v>45874</v>
          </cell>
          <cell r="H36" t="str">
            <v>Asistencia a camión saneamiento en Llodio</v>
          </cell>
          <cell r="I36" t="str">
            <v>Asistencia a camión de saneamiento</v>
          </cell>
          <cell r="J36" t="str">
            <v>Llodio</v>
          </cell>
          <cell r="M36">
            <v>43.135305555555554</v>
          </cell>
          <cell r="N36">
            <v>-2.9826944444444448</v>
          </cell>
          <cell r="O36" t="b">
            <v>1</v>
          </cell>
          <cell r="Q36">
            <v>1</v>
          </cell>
          <cell r="R36">
            <v>4</v>
          </cell>
        </row>
        <row r="37">
          <cell r="B37" t="str">
            <v>Distribución</v>
          </cell>
          <cell r="C37">
            <v>2</v>
          </cell>
          <cell r="D37">
            <v>9</v>
          </cell>
          <cell r="E37" t="str">
            <v>TP/0016</v>
          </cell>
          <cell r="F37">
            <v>45874</v>
          </cell>
          <cell r="G37">
            <v>45874</v>
          </cell>
          <cell r="H37" t="str">
            <v>Baja de contador domiciliario en Llodio</v>
          </cell>
          <cell r="I37" t="str">
            <v>Bajade contador domiciliario en Doctor Fleming 1, Llodio</v>
          </cell>
          <cell r="J37" t="str">
            <v>Llodio</v>
          </cell>
          <cell r="M37">
            <v>43.144611111111111</v>
          </cell>
          <cell r="N37">
            <v>-2.9663055555555555</v>
          </cell>
          <cell r="O37" t="b">
            <v>1</v>
          </cell>
          <cell r="Q37">
            <v>1</v>
          </cell>
          <cell r="R37">
            <v>1</v>
          </cell>
        </row>
        <row r="38">
          <cell r="B38" t="str">
            <v>Distribución</v>
          </cell>
          <cell r="C38">
            <v>1</v>
          </cell>
          <cell r="E38" t="str">
            <v>OT/0112</v>
          </cell>
          <cell r="F38">
            <v>45874</v>
          </cell>
          <cell r="G38">
            <v>45874</v>
          </cell>
          <cell r="H38" t="str">
            <v>Búsqueda y arreglo de fuga en Agurain</v>
          </cell>
          <cell r="I38" t="str">
            <v>Búsqueda y arreglo de fuga en Agurain</v>
          </cell>
          <cell r="J38" t="str">
            <v>Agurain</v>
          </cell>
          <cell r="M38">
            <v>42.850999999999999</v>
          </cell>
          <cell r="N38">
            <v>-2.3999166666666665</v>
          </cell>
          <cell r="O38" t="b">
            <v>1</v>
          </cell>
          <cell r="Q38">
            <v>3</v>
          </cell>
          <cell r="R38">
            <v>3</v>
          </cell>
          <cell r="S38">
            <v>1</v>
          </cell>
        </row>
        <row r="39">
          <cell r="B39" t="str">
            <v>Distribución</v>
          </cell>
          <cell r="C39">
            <v>1</v>
          </cell>
          <cell r="E39" t="str">
            <v>OT/0113</v>
          </cell>
          <cell r="F39">
            <v>45875</v>
          </cell>
          <cell r="G39">
            <v>45875</v>
          </cell>
          <cell r="H39" t="str">
            <v>Localización de fuga en Bañoteibar en Amurrio</v>
          </cell>
          <cell r="I39" t="str">
            <v>Localización de fuga en Amurrio</v>
          </cell>
          <cell r="J39" t="str">
            <v>Amurrio</v>
          </cell>
          <cell r="O39" t="b">
            <v>1</v>
          </cell>
          <cell r="Q39">
            <v>1</v>
          </cell>
          <cell r="R39">
            <v>1</v>
          </cell>
          <cell r="S39">
            <v>1</v>
          </cell>
        </row>
        <row r="40">
          <cell r="B40" t="str">
            <v>Distribución</v>
          </cell>
          <cell r="C40">
            <v>1</v>
          </cell>
          <cell r="E40" t="str">
            <v>OT/0114</v>
          </cell>
          <cell r="F40">
            <v>45875</v>
          </cell>
          <cell r="G40">
            <v>45875</v>
          </cell>
          <cell r="H40" t="str">
            <v>Reparación de fuga en Amurrio</v>
          </cell>
          <cell r="I40" t="str">
            <v>Reparación de fuga en Amurrio</v>
          </cell>
          <cell r="J40" t="str">
            <v>Amurrio</v>
          </cell>
          <cell r="M40">
            <v>43.050138888888888</v>
          </cell>
          <cell r="N40">
            <v>-3.0004722222222222</v>
          </cell>
          <cell r="O40" t="b">
            <v>1</v>
          </cell>
          <cell r="Q40">
            <v>1</v>
          </cell>
          <cell r="R40">
            <v>1</v>
          </cell>
          <cell r="S40">
            <v>1</v>
          </cell>
        </row>
        <row r="41">
          <cell r="B41" t="str">
            <v>Distribución</v>
          </cell>
          <cell r="C41">
            <v>1</v>
          </cell>
          <cell r="E41" t="str">
            <v>OT/0115</v>
          </cell>
          <cell r="F41">
            <v>45875</v>
          </cell>
          <cell r="G41">
            <v>45875</v>
          </cell>
          <cell r="H41" t="str">
            <v>Reparación de fuga en Olabezar</v>
          </cell>
          <cell r="I41" t="str">
            <v>Reparación de fuga en Olabezar</v>
          </cell>
          <cell r="J41" t="str">
            <v>Olabezar</v>
          </cell>
          <cell r="M41">
            <v>43.068333333333335</v>
          </cell>
          <cell r="N41">
            <v>-3.0174166666666666</v>
          </cell>
          <cell r="O41" t="b">
            <v>1</v>
          </cell>
          <cell r="Q41">
            <v>1</v>
          </cell>
          <cell r="R41">
            <v>1</v>
          </cell>
          <cell r="S41">
            <v>1</v>
          </cell>
        </row>
        <row r="42">
          <cell r="B42" t="str">
            <v>Distribución</v>
          </cell>
          <cell r="C42">
            <v>1</v>
          </cell>
          <cell r="E42" t="str">
            <v>OT/0116</v>
          </cell>
          <cell r="F42">
            <v>45875</v>
          </cell>
          <cell r="G42">
            <v>45875</v>
          </cell>
          <cell r="H42" t="str">
            <v>Búsqueda de fuga en Amurrio</v>
          </cell>
          <cell r="I42" t="str">
            <v>Búsqueda de fuga en Amurrio</v>
          </cell>
          <cell r="J42" t="str">
            <v>Amurrio</v>
          </cell>
          <cell r="M42">
            <v>43.051416666666661</v>
          </cell>
          <cell r="N42">
            <v>-3.0010277777777778</v>
          </cell>
          <cell r="O42" t="b">
            <v>1</v>
          </cell>
          <cell r="Q42">
            <v>1</v>
          </cell>
          <cell r="R42">
            <v>1</v>
          </cell>
          <cell r="S42">
            <v>1</v>
          </cell>
        </row>
        <row r="43">
          <cell r="B43" t="str">
            <v>Distribución</v>
          </cell>
          <cell r="C43">
            <v>1</v>
          </cell>
          <cell r="E43" t="str">
            <v>OT/0117</v>
          </cell>
          <cell r="F43">
            <v>45875</v>
          </cell>
          <cell r="G43">
            <v>45875</v>
          </cell>
          <cell r="H43" t="str">
            <v>Excavación de fuga en Lekamaña</v>
          </cell>
          <cell r="I43" t="str">
            <v>Excavación de fuga en Lekamaña</v>
          </cell>
          <cell r="J43" t="str">
            <v>Lekamaña-Amurrio</v>
          </cell>
          <cell r="M43">
            <v>43.021611111111113</v>
          </cell>
          <cell r="N43">
            <v>-3.0013055555555557</v>
          </cell>
          <cell r="O43" t="b">
            <v>1</v>
          </cell>
          <cell r="Q43">
            <v>1</v>
          </cell>
          <cell r="R43">
            <v>1</v>
          </cell>
          <cell r="S43">
            <v>1</v>
          </cell>
        </row>
        <row r="44">
          <cell r="B44" t="str">
            <v>Distribución</v>
          </cell>
          <cell r="C44">
            <v>2</v>
          </cell>
          <cell r="D44">
            <v>12</v>
          </cell>
          <cell r="E44" t="str">
            <v>TP/0017</v>
          </cell>
          <cell r="F44">
            <v>45874</v>
          </cell>
          <cell r="G44">
            <v>45874</v>
          </cell>
          <cell r="H44" t="str">
            <v>Corte de agua en Llodio</v>
          </cell>
          <cell r="I44" t="str">
            <v>Corte y reposición de servicio a fontanero particular</v>
          </cell>
          <cell r="J44" t="str">
            <v>Llodio</v>
          </cell>
          <cell r="M44">
            <v>43.152138888888885</v>
          </cell>
          <cell r="N44">
            <v>-2.9849166666666669</v>
          </cell>
          <cell r="O44" t="b">
            <v>1</v>
          </cell>
          <cell r="Q44">
            <v>1</v>
          </cell>
          <cell r="R44">
            <v>1</v>
          </cell>
        </row>
        <row r="45">
          <cell r="B45" t="str">
            <v>Saneamiento</v>
          </cell>
          <cell r="C45">
            <v>1</v>
          </cell>
          <cell r="E45" t="str">
            <v>OT/0118</v>
          </cell>
          <cell r="F45">
            <v>45874</v>
          </cell>
          <cell r="G45">
            <v>45874</v>
          </cell>
          <cell r="H45" t="str">
            <v>Reparación fuga de saneamiento en Maeztu</v>
          </cell>
          <cell r="I45" t="str">
            <v>Reparación fuga de saneamiento en Maeztu</v>
          </cell>
          <cell r="J45" t="str">
            <v>Maeztu</v>
          </cell>
          <cell r="M45">
            <v>42.739277777777779</v>
          </cell>
          <cell r="N45">
            <v>-2.4518611111111115</v>
          </cell>
          <cell r="O45" t="b">
            <v>1</v>
          </cell>
          <cell r="Q45">
            <v>6</v>
          </cell>
          <cell r="R45">
            <v>46</v>
          </cell>
          <cell r="S45">
            <v>1</v>
          </cell>
        </row>
        <row r="46">
          <cell r="B46" t="str">
            <v>Distribución</v>
          </cell>
          <cell r="C46">
            <v>1</v>
          </cell>
          <cell r="E46" t="str">
            <v>OT/0119</v>
          </cell>
          <cell r="F46">
            <v>45874</v>
          </cell>
          <cell r="G46">
            <v>45874</v>
          </cell>
          <cell r="H46" t="str">
            <v>Reparación de fuga en Opakua</v>
          </cell>
          <cell r="I46" t="str">
            <v>Reparación de fuga en Opakua</v>
          </cell>
          <cell r="J46" t="str">
            <v>Opacua</v>
          </cell>
          <cell r="M46">
            <v>42.827527777777782</v>
          </cell>
          <cell r="N46">
            <v>-2.3688055555555558</v>
          </cell>
          <cell r="O46" t="b">
            <v>1</v>
          </cell>
          <cell r="Q46">
            <v>3</v>
          </cell>
          <cell r="R46">
            <v>3</v>
          </cell>
          <cell r="S46">
            <v>1</v>
          </cell>
        </row>
        <row r="47">
          <cell r="B47" t="str">
            <v>Distribución</v>
          </cell>
          <cell r="C47">
            <v>1</v>
          </cell>
          <cell r="E47" t="str">
            <v>OT/0120</v>
          </cell>
          <cell r="F47">
            <v>45874</v>
          </cell>
          <cell r="G47">
            <v>45874</v>
          </cell>
          <cell r="H47" t="str">
            <v>Reparación de fuga en Villanañe</v>
          </cell>
          <cell r="I47" t="str">
            <v>Reparación de fuga en Villañane</v>
          </cell>
          <cell r="J47" t="str">
            <v>Villanañe</v>
          </cell>
          <cell r="M47">
            <v>42.836416666666672</v>
          </cell>
          <cell r="N47">
            <v>-3.08575</v>
          </cell>
          <cell r="O47" t="b">
            <v>1</v>
          </cell>
          <cell r="Q47">
            <v>5</v>
          </cell>
          <cell r="R47">
            <v>5</v>
          </cell>
          <cell r="S47">
            <v>1</v>
          </cell>
        </row>
        <row r="48">
          <cell r="B48" t="str">
            <v>Distribución</v>
          </cell>
          <cell r="C48">
            <v>1</v>
          </cell>
          <cell r="E48" t="str">
            <v>OT/0121</v>
          </cell>
          <cell r="F48">
            <v>45875</v>
          </cell>
          <cell r="G48">
            <v>45875</v>
          </cell>
          <cell r="H48" t="str">
            <v>Reparación de fuga en Puentelarra</v>
          </cell>
          <cell r="I48" t="str">
            <v>Reparación de fuga en Puentelarra</v>
          </cell>
          <cell r="J48" t="str">
            <v>Puentelarra</v>
          </cell>
          <cell r="M48">
            <v>42.75127777777778</v>
          </cell>
          <cell r="N48">
            <v>-3.0526944444444442</v>
          </cell>
          <cell r="O48" t="b">
            <v>1</v>
          </cell>
          <cell r="Q48">
            <v>5</v>
          </cell>
          <cell r="R48">
            <v>5</v>
          </cell>
          <cell r="S48">
            <v>1</v>
          </cell>
        </row>
        <row r="49">
          <cell r="B49" t="str">
            <v>Saneamiento</v>
          </cell>
          <cell r="C49">
            <v>1</v>
          </cell>
          <cell r="E49" t="str">
            <v>OT/0122</v>
          </cell>
          <cell r="F49">
            <v>45875</v>
          </cell>
          <cell r="G49">
            <v>45875</v>
          </cell>
          <cell r="H49" t="str">
            <v>Atasco en tubería en Zuaza</v>
          </cell>
          <cell r="I49" t="str">
            <v>Atasco en tubería en Zuaza</v>
          </cell>
          <cell r="J49" t="str">
            <v>Zuaza</v>
          </cell>
          <cell r="M49">
            <v>43.099805555555555</v>
          </cell>
          <cell r="N49">
            <v>-3.052972222222222</v>
          </cell>
          <cell r="O49" t="b">
            <v>1</v>
          </cell>
          <cell r="Q49">
            <v>1</v>
          </cell>
          <cell r="R49">
            <v>3</v>
          </cell>
          <cell r="S49">
            <v>2</v>
          </cell>
        </row>
        <row r="50">
          <cell r="B50" t="str">
            <v>Distribución</v>
          </cell>
          <cell r="C50">
            <v>1</v>
          </cell>
          <cell r="E50" t="str">
            <v>OT/0123</v>
          </cell>
          <cell r="F50">
            <v>45875</v>
          </cell>
          <cell r="G50">
            <v>45875</v>
          </cell>
          <cell r="H50" t="str">
            <v>Fuga de agua en Opakua</v>
          </cell>
          <cell r="I50" t="str">
            <v>Fuga de agua en Opakua</v>
          </cell>
          <cell r="J50" t="str">
            <v>Opacua</v>
          </cell>
          <cell r="M50">
            <v>42.827666666666673</v>
          </cell>
          <cell r="N50">
            <v>-2.3699166666666667</v>
          </cell>
          <cell r="O50" t="b">
            <v>1</v>
          </cell>
          <cell r="Q50">
            <v>3</v>
          </cell>
          <cell r="R50">
            <v>3</v>
          </cell>
          <cell r="S50">
            <v>1</v>
          </cell>
        </row>
        <row r="51">
          <cell r="B51" t="str">
            <v>Distribución</v>
          </cell>
          <cell r="C51">
            <v>1</v>
          </cell>
          <cell r="E51" t="str">
            <v>OT/0124</v>
          </cell>
          <cell r="F51">
            <v>45883</v>
          </cell>
          <cell r="G51">
            <v>45905</v>
          </cell>
          <cell r="H51" t="str">
            <v>Reparación fuga en Bañoteibar en Amurrio</v>
          </cell>
          <cell r="I51" t="str">
            <v>Reparación de fuga en Amurrio</v>
          </cell>
          <cell r="J51" t="str">
            <v>Amurrio</v>
          </cell>
          <cell r="M51">
            <v>43.054160000000003</v>
          </cell>
          <cell r="N51">
            <v>-2.9975200000000002</v>
          </cell>
          <cell r="O51" t="b">
            <v>1</v>
          </cell>
          <cell r="Q51">
            <v>1</v>
          </cell>
          <cell r="R51">
            <v>1</v>
          </cell>
          <cell r="S51">
            <v>1</v>
          </cell>
        </row>
        <row r="52">
          <cell r="B52" t="str">
            <v>Distribución</v>
          </cell>
          <cell r="C52">
            <v>1</v>
          </cell>
          <cell r="E52" t="str">
            <v>OT/0125</v>
          </cell>
          <cell r="F52">
            <v>45875</v>
          </cell>
          <cell r="G52">
            <v>45875</v>
          </cell>
          <cell r="H52" t="str">
            <v>Aviso falta de suministro en Luiando</v>
          </cell>
          <cell r="I52" t="str">
            <v>Aviso falta de suministro en Barrena Kalea en Luiando</v>
          </cell>
          <cell r="J52" t="str">
            <v>Luiando</v>
          </cell>
          <cell r="M52">
            <v>43.105166666666669</v>
          </cell>
          <cell r="N52">
            <v>-2.9966944444444445</v>
          </cell>
          <cell r="O52" t="b">
            <v>1</v>
          </cell>
          <cell r="Q52">
            <v>1</v>
          </cell>
          <cell r="R52">
            <v>1</v>
          </cell>
          <cell r="S52">
            <v>1</v>
          </cell>
        </row>
        <row r="53">
          <cell r="B53" t="str">
            <v>Distribución</v>
          </cell>
          <cell r="C53">
            <v>1</v>
          </cell>
          <cell r="E53" t="str">
            <v>OT/0126</v>
          </cell>
          <cell r="F53">
            <v>45877</v>
          </cell>
          <cell r="G53">
            <v>45877</v>
          </cell>
          <cell r="H53" t="str">
            <v>Vertido calle Landaluze (Llodio)</v>
          </cell>
          <cell r="I53" t="str">
            <v>Vertido en calle Landaluze</v>
          </cell>
          <cell r="J53" t="str">
            <v>Llodio</v>
          </cell>
          <cell r="M53">
            <v>43.140638888888887</v>
          </cell>
          <cell r="N53">
            <v>-2.9803055555555558</v>
          </cell>
          <cell r="O53" t="b">
            <v>1</v>
          </cell>
          <cell r="Q53">
            <v>1</v>
          </cell>
          <cell r="R53">
            <v>1</v>
          </cell>
          <cell r="S53">
            <v>1</v>
          </cell>
        </row>
        <row r="54">
          <cell r="B54" t="str">
            <v>Distribución</v>
          </cell>
          <cell r="C54">
            <v>1</v>
          </cell>
          <cell r="E54" t="str">
            <v>OT/0127</v>
          </cell>
          <cell r="F54">
            <v>45876</v>
          </cell>
          <cell r="G54">
            <v>45876</v>
          </cell>
          <cell r="H54" t="str">
            <v>Excavación y colocación de anillo de arqueta en Maeztu</v>
          </cell>
          <cell r="I54" t="str">
            <v>Excavación y colocación de anillo de arqueta en Maeztu</v>
          </cell>
          <cell r="J54" t="str">
            <v>Maeztu</v>
          </cell>
          <cell r="M54">
            <v>42.739861111111111</v>
          </cell>
          <cell r="N54">
            <v>-2.4472500000000004</v>
          </cell>
          <cell r="O54" t="b">
            <v>1</v>
          </cell>
          <cell r="Q54">
            <v>6</v>
          </cell>
          <cell r="R54">
            <v>6</v>
          </cell>
          <cell r="S54">
            <v>3</v>
          </cell>
        </row>
        <row r="55">
          <cell r="B55" t="str">
            <v>Distribución</v>
          </cell>
          <cell r="C55">
            <v>1</v>
          </cell>
          <cell r="E55" t="str">
            <v>OT/0128</v>
          </cell>
          <cell r="F55">
            <v>45876</v>
          </cell>
          <cell r="G55">
            <v>45876</v>
          </cell>
          <cell r="H55" t="str">
            <v>Reparación fuga en Lekamaña</v>
          </cell>
          <cell r="I55" t="str">
            <v>Reparación fuga: Búsqueda de fuga, descubrirla, repararla, tapar caata y fuga.</v>
          </cell>
          <cell r="J55" t="str">
            <v>Lekamaña</v>
          </cell>
          <cell r="M55">
            <v>43.021638888888887</v>
          </cell>
          <cell r="N55">
            <v>-2.997527777777778</v>
          </cell>
          <cell r="O55" t="b">
            <v>1</v>
          </cell>
          <cell r="Q55">
            <v>1</v>
          </cell>
          <cell r="R55">
            <v>1</v>
          </cell>
          <cell r="S55">
            <v>1</v>
          </cell>
        </row>
        <row r="56">
          <cell r="B56" t="str">
            <v>Distribución</v>
          </cell>
          <cell r="C56">
            <v>1</v>
          </cell>
          <cell r="E56" t="str">
            <v>OT/0129</v>
          </cell>
          <cell r="F56">
            <v>45876</v>
          </cell>
          <cell r="G56">
            <v>45876</v>
          </cell>
          <cell r="H56" t="str">
            <v>Localización de fuga en Delika</v>
          </cell>
          <cell r="I56" t="str">
            <v>Localización de fuga en tubería de abastecimiento a depósito</v>
          </cell>
          <cell r="J56" t="str">
            <v>Delika</v>
          </cell>
          <cell r="M56">
            <v>42.969888888888889</v>
          </cell>
          <cell r="N56">
            <v>-2.9978055555555558</v>
          </cell>
          <cell r="O56" t="b">
            <v>1</v>
          </cell>
          <cell r="Q56">
            <v>1</v>
          </cell>
          <cell r="R56">
            <v>1</v>
          </cell>
          <cell r="S56">
            <v>1</v>
          </cell>
        </row>
        <row r="57">
          <cell r="B57" t="str">
            <v>Distribución</v>
          </cell>
          <cell r="C57">
            <v>1</v>
          </cell>
          <cell r="E57" t="str">
            <v>OT/0130</v>
          </cell>
          <cell r="F57">
            <v>45876</v>
          </cell>
          <cell r="G57">
            <v>45876</v>
          </cell>
          <cell r="H57" t="str">
            <v>Localización de fuga en Zambrana</v>
          </cell>
          <cell r="I57" t="str">
            <v>Localización de fuga por aviso de fuga</v>
          </cell>
          <cell r="J57" t="str">
            <v>Zambrana</v>
          </cell>
          <cell r="M57">
            <v>42.662388888888884</v>
          </cell>
          <cell r="N57">
            <v>-2.8814166666666665</v>
          </cell>
          <cell r="O57" t="b">
            <v>1</v>
          </cell>
          <cell r="Q57">
            <v>5</v>
          </cell>
          <cell r="R57">
            <v>5</v>
          </cell>
          <cell r="S57">
            <v>1</v>
          </cell>
        </row>
        <row r="58">
          <cell r="B58" t="str">
            <v>Distribución</v>
          </cell>
          <cell r="C58">
            <v>1</v>
          </cell>
          <cell r="E58" t="str">
            <v>OT/0138</v>
          </cell>
          <cell r="F58">
            <v>45876</v>
          </cell>
          <cell r="G58">
            <v>45876</v>
          </cell>
          <cell r="H58" t="str">
            <v>Incidencia en Ribabellosa</v>
          </cell>
          <cell r="I58" t="str">
            <v>Incidencia en Ribabellosa</v>
          </cell>
          <cell r="J58" t="str">
            <v>Ribabellosa</v>
          </cell>
          <cell r="M58">
            <v>42.709916666666672</v>
          </cell>
          <cell r="N58">
            <v>-2.9316944444444442</v>
          </cell>
          <cell r="O58" t="b">
            <v>1</v>
          </cell>
          <cell r="Q58">
            <v>5</v>
          </cell>
          <cell r="R58">
            <v>5</v>
          </cell>
          <cell r="S58">
            <v>3</v>
          </cell>
        </row>
        <row r="59">
          <cell r="B59" t="str">
            <v>Saneamiento</v>
          </cell>
          <cell r="C59">
            <v>1</v>
          </cell>
          <cell r="E59" t="str">
            <v>OT/0131</v>
          </cell>
          <cell r="F59">
            <v>45876</v>
          </cell>
          <cell r="G59">
            <v>45876</v>
          </cell>
          <cell r="H59" t="str">
            <v>Atasco en Calle Padura (Luiando)</v>
          </cell>
          <cell r="I59" t="str">
            <v>Atasco en Calle Padura</v>
          </cell>
          <cell r="J59" t="str">
            <v>Luiando</v>
          </cell>
          <cell r="M59">
            <v>43.093111111111114</v>
          </cell>
          <cell r="N59">
            <v>-3.0153055555555555</v>
          </cell>
          <cell r="O59" t="b">
            <v>1</v>
          </cell>
          <cell r="Q59">
            <v>1</v>
          </cell>
          <cell r="R59">
            <v>3</v>
          </cell>
          <cell r="S59">
            <v>2</v>
          </cell>
        </row>
        <row r="60">
          <cell r="B60" t="str">
            <v>Distribución</v>
          </cell>
          <cell r="C60">
            <v>1</v>
          </cell>
          <cell r="E60" t="str">
            <v>OT/0132</v>
          </cell>
          <cell r="F60">
            <v>45876</v>
          </cell>
          <cell r="G60">
            <v>45876</v>
          </cell>
          <cell r="H60" t="str">
            <v>Reparación de fuga y corte de agua</v>
          </cell>
          <cell r="I60" t="str">
            <v>Corte de agua en Mendiko Kalea</v>
          </cell>
          <cell r="J60" t="str">
            <v>Amurrio</v>
          </cell>
          <cell r="M60">
            <v>43.059333333333328</v>
          </cell>
          <cell r="N60">
            <v>-3.0155833333333333</v>
          </cell>
          <cell r="O60" t="b">
            <v>1</v>
          </cell>
          <cell r="Q60">
            <v>1</v>
          </cell>
          <cell r="R60">
            <v>1</v>
          </cell>
          <cell r="S60">
            <v>1</v>
          </cell>
        </row>
        <row r="61">
          <cell r="B61" t="str">
            <v>Distribución</v>
          </cell>
          <cell r="C61">
            <v>1</v>
          </cell>
          <cell r="E61" t="str">
            <v>OT/0133</v>
          </cell>
          <cell r="F61">
            <v>45876</v>
          </cell>
          <cell r="G61">
            <v>45876</v>
          </cell>
          <cell r="H61" t="str">
            <v>Fuga en Barretaguren, Artziniega</v>
          </cell>
          <cell r="I61" t="str">
            <v>Fuga en Barretaguren, Artziniega</v>
          </cell>
          <cell r="J61" t="str">
            <v>Artziniega</v>
          </cell>
          <cell r="M61">
            <v>43.126444444444445</v>
          </cell>
          <cell r="N61">
            <v>-3.1325277777777778</v>
          </cell>
          <cell r="O61" t="b">
            <v>1</v>
          </cell>
          <cell r="Q61">
            <v>1</v>
          </cell>
          <cell r="R61">
            <v>1</v>
          </cell>
          <cell r="S61">
            <v>1</v>
          </cell>
        </row>
        <row r="62">
          <cell r="B62" t="str">
            <v>Saneamiento</v>
          </cell>
          <cell r="C62">
            <v>1</v>
          </cell>
          <cell r="E62" t="str">
            <v>OT/0134</v>
          </cell>
          <cell r="F62">
            <v>45876</v>
          </cell>
          <cell r="G62">
            <v>45876</v>
          </cell>
          <cell r="H62" t="str">
            <v>Saneamiento ayuda a camión en Maeztu</v>
          </cell>
          <cell r="I62" t="str">
            <v>Saneamiento Maeztu</v>
          </cell>
          <cell r="J62" t="str">
            <v>Maeztu</v>
          </cell>
          <cell r="M62">
            <v>42.738638888888893</v>
          </cell>
          <cell r="N62">
            <v>-2.4494722222222225</v>
          </cell>
          <cell r="O62" t="b">
            <v>1</v>
          </cell>
          <cell r="Q62">
            <v>6</v>
          </cell>
          <cell r="R62">
            <v>46</v>
          </cell>
          <cell r="S62">
            <v>3</v>
          </cell>
        </row>
        <row r="63">
          <cell r="B63" t="str">
            <v>Distribución</v>
          </cell>
          <cell r="C63">
            <v>1</v>
          </cell>
          <cell r="E63" t="str">
            <v>OT/0135</v>
          </cell>
          <cell r="F63">
            <v>45876</v>
          </cell>
          <cell r="G63">
            <v>45876</v>
          </cell>
          <cell r="H63" t="str">
            <v>Revisión y análisis de trabajos pendientes en Agurain y Alegría</v>
          </cell>
          <cell r="I63" t="str">
            <v>Revisión y análisis de trabajos pendientes</v>
          </cell>
          <cell r="J63" t="str">
            <v>Agurain y Alegría</v>
          </cell>
          <cell r="M63">
            <v>42.847972222222225</v>
          </cell>
          <cell r="N63">
            <v>-2.39975</v>
          </cell>
          <cell r="O63" t="b">
            <v>1</v>
          </cell>
          <cell r="Q63">
            <v>3</v>
          </cell>
          <cell r="R63">
            <v>3</v>
          </cell>
          <cell r="S63">
            <v>3</v>
          </cell>
        </row>
        <row r="64">
          <cell r="B64" t="str">
            <v>Distribución</v>
          </cell>
          <cell r="C64">
            <v>1</v>
          </cell>
          <cell r="E64" t="str">
            <v>OT/0136</v>
          </cell>
          <cell r="F64">
            <v>45876</v>
          </cell>
          <cell r="G64">
            <v>45876</v>
          </cell>
          <cell r="H64" t="str">
            <v>Aviso usuario en agua en Luiando</v>
          </cell>
          <cell r="I64" t="str">
            <v>Aviso usuario</v>
          </cell>
          <cell r="J64" t="str">
            <v>Luiando</v>
          </cell>
          <cell r="M64">
            <v>43.09986111111111</v>
          </cell>
          <cell r="N64">
            <v>-3.000027777777778</v>
          </cell>
          <cell r="O64" t="b">
            <v>1</v>
          </cell>
          <cell r="Q64">
            <v>1</v>
          </cell>
          <cell r="R64">
            <v>1</v>
          </cell>
          <cell r="S64">
            <v>1</v>
          </cell>
        </row>
        <row r="65">
          <cell r="B65" t="str">
            <v>Distribución</v>
          </cell>
          <cell r="C65">
            <v>1</v>
          </cell>
          <cell r="E65" t="str">
            <v>OT/0137</v>
          </cell>
          <cell r="F65">
            <v>45876</v>
          </cell>
          <cell r="G65">
            <v>45876</v>
          </cell>
          <cell r="H65" t="str">
            <v>Fuga de agua en Santa Coloma Artzeniaga</v>
          </cell>
          <cell r="I65" t="str">
            <v>Fuga de agua en Santa Coloma, Artziniega</v>
          </cell>
          <cell r="J65" t="str">
            <v>Artziniega</v>
          </cell>
          <cell r="M65">
            <v>43.138472222222219</v>
          </cell>
          <cell r="N65">
            <v>-3.1669722222222223</v>
          </cell>
          <cell r="O65" t="b">
            <v>1</v>
          </cell>
          <cell r="Q65">
            <v>1</v>
          </cell>
          <cell r="R65">
            <v>1</v>
          </cell>
          <cell r="S65">
            <v>1</v>
          </cell>
        </row>
        <row r="66">
          <cell r="B66" t="str">
            <v>Aducción</v>
          </cell>
          <cell r="C66">
            <v>2</v>
          </cell>
          <cell r="D66">
            <v>2</v>
          </cell>
          <cell r="E66" t="str">
            <v>TP/0018</v>
          </cell>
          <cell r="F66">
            <v>45877</v>
          </cell>
          <cell r="G66">
            <v>45877</v>
          </cell>
          <cell r="H66" t="str">
            <v>Limpieza de captaciones</v>
          </cell>
          <cell r="I66" t="str">
            <v>Limpieza de captaciones en Aiaraldea</v>
          </cell>
          <cell r="J66" t="str">
            <v>AIARALDEA</v>
          </cell>
          <cell r="M66">
            <v>43.134722222222223</v>
          </cell>
          <cell r="N66">
            <v>-2.983916666666667</v>
          </cell>
          <cell r="O66" t="b">
            <v>1</v>
          </cell>
          <cell r="Q66">
            <v>1</v>
          </cell>
          <cell r="R66">
            <v>1</v>
          </cell>
        </row>
        <row r="67">
          <cell r="B67" t="str">
            <v>Depuración</v>
          </cell>
          <cell r="C67">
            <v>2</v>
          </cell>
          <cell r="D67">
            <v>3</v>
          </cell>
          <cell r="E67" t="str">
            <v>TP/0019</v>
          </cell>
          <cell r="F67">
            <v>45877</v>
          </cell>
          <cell r="G67">
            <v>45877</v>
          </cell>
          <cell r="H67" t="str">
            <v>Mantenimiento fosas sépticas en Oceca</v>
          </cell>
          <cell r="I67" t="str">
            <v>Mantenimiento fosas sépticas: Limpieza, vaciado y desbrozado de acceso de fosas</v>
          </cell>
          <cell r="J67" t="str">
            <v>Ozeka</v>
          </cell>
          <cell r="M67">
            <v>43.07127777777778</v>
          </cell>
          <cell r="N67">
            <v>-3.1008611111111111</v>
          </cell>
          <cell r="O67" t="b">
            <v>1</v>
          </cell>
          <cell r="Q67">
            <v>1</v>
          </cell>
          <cell r="R67">
            <v>1</v>
          </cell>
        </row>
        <row r="68">
          <cell r="B68" t="str">
            <v>Depuración</v>
          </cell>
          <cell r="C68">
            <v>2</v>
          </cell>
          <cell r="D68">
            <v>3</v>
          </cell>
          <cell r="E68" t="str">
            <v>TP/0020</v>
          </cell>
          <cell r="F68">
            <v>45877</v>
          </cell>
          <cell r="G68">
            <v>45877</v>
          </cell>
          <cell r="H68" t="str">
            <v>Mantenimiento fosas sépticas en Llanteno</v>
          </cell>
          <cell r="I68" t="str">
            <v>Mantenimiento fosas sépticas: Limpieza, vaciado y desbrozado de acceso de fosas</v>
          </cell>
          <cell r="J68" t="str">
            <v>Llanteno-Ayala</v>
          </cell>
          <cell r="M68">
            <v>43.084138888888894</v>
          </cell>
          <cell r="N68">
            <v>-3.1178055555555555</v>
          </cell>
          <cell r="O68" t="b">
            <v>1</v>
          </cell>
          <cell r="Q68">
            <v>1</v>
          </cell>
          <cell r="R68">
            <v>1</v>
          </cell>
        </row>
        <row r="69">
          <cell r="B69" t="str">
            <v>Distribución</v>
          </cell>
          <cell r="C69">
            <v>1</v>
          </cell>
          <cell r="E69" t="str">
            <v>OT/0139</v>
          </cell>
          <cell r="F69">
            <v>45877</v>
          </cell>
          <cell r="G69">
            <v>45877</v>
          </cell>
          <cell r="H69" t="str">
            <v>Reparación de fuga en Santa Coloma Atzeniaga</v>
          </cell>
          <cell r="I69" t="str">
            <v>Fuga en Santa Coloma, reparación de fuga</v>
          </cell>
          <cell r="J69" t="str">
            <v>Artziniega</v>
          </cell>
          <cell r="M69">
            <v>43.138249999999999</v>
          </cell>
          <cell r="N69">
            <v>-3.1680833333333331</v>
          </cell>
          <cell r="O69" t="b">
            <v>1</v>
          </cell>
          <cell r="Q69">
            <v>1</v>
          </cell>
          <cell r="R69">
            <v>1</v>
          </cell>
          <cell r="S69">
            <v>1</v>
          </cell>
        </row>
        <row r="70">
          <cell r="B70" t="str">
            <v>Distribución</v>
          </cell>
          <cell r="C70">
            <v>1</v>
          </cell>
          <cell r="E70" t="str">
            <v>OT/0140</v>
          </cell>
          <cell r="F70">
            <v>45877</v>
          </cell>
          <cell r="G70">
            <v>45877</v>
          </cell>
          <cell r="H70" t="str">
            <v>Aviso de fuga en Ribabellosa</v>
          </cell>
          <cell r="I70" t="str">
            <v>Aviso de urgencia con fuga estrangular</v>
          </cell>
          <cell r="J70" t="str">
            <v>Ribabellosa</v>
          </cell>
          <cell r="O70" t="b">
            <v>1</v>
          </cell>
          <cell r="Q70">
            <v>5</v>
          </cell>
          <cell r="R70">
            <v>5</v>
          </cell>
          <cell r="S70">
            <v>1</v>
          </cell>
        </row>
        <row r="71">
          <cell r="B71" t="str">
            <v>Distribución</v>
          </cell>
          <cell r="C71">
            <v>1</v>
          </cell>
          <cell r="E71" t="str">
            <v>OT/0141</v>
          </cell>
          <cell r="F71">
            <v>45878</v>
          </cell>
          <cell r="G71">
            <v>45878</v>
          </cell>
          <cell r="H71" t="str">
            <v>Reparación de fuga en Artzeniaga</v>
          </cell>
          <cell r="I71" t="str">
            <v>Reparación de fuga en Torre Barretaguren en Artziniega</v>
          </cell>
          <cell r="J71" t="str">
            <v>Artziniega</v>
          </cell>
          <cell r="M71">
            <v>43.132916666666667</v>
          </cell>
          <cell r="N71">
            <v>-3.118638888888889</v>
          </cell>
          <cell r="O71" t="b">
            <v>1</v>
          </cell>
          <cell r="Q71">
            <v>1</v>
          </cell>
          <cell r="R71">
            <v>1</v>
          </cell>
          <cell r="S71">
            <v>1</v>
          </cell>
        </row>
        <row r="72">
          <cell r="B72" t="str">
            <v>Aducción</v>
          </cell>
          <cell r="C72">
            <v>1</v>
          </cell>
          <cell r="E72" t="str">
            <v>OT/0142</v>
          </cell>
          <cell r="F72">
            <v>45878</v>
          </cell>
          <cell r="G72">
            <v>45878</v>
          </cell>
          <cell r="H72" t="str">
            <v>Tapado de catas en Delika</v>
          </cell>
          <cell r="I72" t="str">
            <v>Tapado de catas en Delika</v>
          </cell>
          <cell r="J72" t="str">
            <v>Delika</v>
          </cell>
          <cell r="M72">
            <v>42.970277777777781</v>
          </cell>
          <cell r="N72">
            <v>-3.0022500000000001</v>
          </cell>
          <cell r="O72" t="b">
            <v>1</v>
          </cell>
          <cell r="Q72">
            <v>1</v>
          </cell>
          <cell r="R72">
            <v>1</v>
          </cell>
          <cell r="S72">
            <v>3</v>
          </cell>
        </row>
        <row r="73">
          <cell r="B73" t="str">
            <v>Saneamiento</v>
          </cell>
          <cell r="C73">
            <v>1</v>
          </cell>
          <cell r="E73" t="str">
            <v>OT/0143</v>
          </cell>
          <cell r="F73">
            <v>45878</v>
          </cell>
          <cell r="G73">
            <v>45878</v>
          </cell>
          <cell r="H73" t="str">
            <v>Desatasco en Calle Aiara en Amurrio</v>
          </cell>
          <cell r="I73" t="str">
            <v>Desatasco en Calle Aiara, Amurrio</v>
          </cell>
          <cell r="J73" t="str">
            <v>Amurrio</v>
          </cell>
          <cell r="M73">
            <v>43.055944444444442</v>
          </cell>
          <cell r="N73">
            <v>-3.0191944444444445</v>
          </cell>
          <cell r="O73" t="b">
            <v>1</v>
          </cell>
          <cell r="Q73">
            <v>1</v>
          </cell>
          <cell r="R73">
            <v>1</v>
          </cell>
          <cell r="S73">
            <v>2</v>
          </cell>
        </row>
        <row r="74">
          <cell r="B74" t="str">
            <v>Distribución</v>
          </cell>
          <cell r="C74">
            <v>1</v>
          </cell>
          <cell r="E74" t="str">
            <v>OT/0144</v>
          </cell>
          <cell r="F74">
            <v>45878</v>
          </cell>
          <cell r="G74">
            <v>45878</v>
          </cell>
          <cell r="H74" t="str">
            <v>Reparación de fuga en Respaldiza</v>
          </cell>
          <cell r="I74" t="str">
            <v>Reparación de fuga en Respaldiza</v>
          </cell>
          <cell r="J74" t="str">
            <v>Respaldiza</v>
          </cell>
          <cell r="M74">
            <v>43.076583333333339</v>
          </cell>
          <cell r="N74">
            <v>-3.0528055555555556</v>
          </cell>
          <cell r="O74" t="b">
            <v>1</v>
          </cell>
          <cell r="Q74">
            <v>1</v>
          </cell>
          <cell r="R74">
            <v>1</v>
          </cell>
          <cell r="S74">
            <v>1</v>
          </cell>
        </row>
        <row r="75">
          <cell r="B75" t="str">
            <v>Distribución</v>
          </cell>
          <cell r="C75">
            <v>1</v>
          </cell>
          <cell r="E75" t="str">
            <v>OT/0145</v>
          </cell>
          <cell r="F75">
            <v>45879</v>
          </cell>
          <cell r="G75">
            <v>45879</v>
          </cell>
          <cell r="H75" t="str">
            <v>Reparación de fuga  en Artzeniaga</v>
          </cell>
          <cell r="I75" t="str">
            <v>Reparación de fuga en Artzeniaga</v>
          </cell>
          <cell r="J75" t="str">
            <v>Artziniega</v>
          </cell>
          <cell r="M75">
            <v>43.122500000000002</v>
          </cell>
          <cell r="N75">
            <v>-3.1364166666666669</v>
          </cell>
          <cell r="O75" t="b">
            <v>1</v>
          </cell>
          <cell r="Q75">
            <v>1</v>
          </cell>
          <cell r="R75">
            <v>1</v>
          </cell>
          <cell r="S75">
            <v>1</v>
          </cell>
        </row>
        <row r="76">
          <cell r="B76" t="str">
            <v>Saneamiento</v>
          </cell>
          <cell r="C76">
            <v>1</v>
          </cell>
          <cell r="E76" t="str">
            <v>OT/0146</v>
          </cell>
          <cell r="F76">
            <v>45879</v>
          </cell>
          <cell r="G76">
            <v>45879</v>
          </cell>
          <cell r="H76" t="str">
            <v>Desatasco Bikandi, Respaldiza</v>
          </cell>
          <cell r="I76" t="str">
            <v>Desatasco Bikandi, Respaldiza</v>
          </cell>
          <cell r="J76" t="str">
            <v>Respaldiza</v>
          </cell>
          <cell r="M76">
            <v>43.078222222222223</v>
          </cell>
          <cell r="N76">
            <v>-3.0533611111111112</v>
          </cell>
          <cell r="O76" t="b">
            <v>1</v>
          </cell>
          <cell r="Q76">
            <v>1</v>
          </cell>
          <cell r="R76">
            <v>3</v>
          </cell>
          <cell r="S76">
            <v>2</v>
          </cell>
        </row>
        <row r="77">
          <cell r="B77" t="str">
            <v>Distribución</v>
          </cell>
          <cell r="C77">
            <v>1</v>
          </cell>
          <cell r="E77" t="str">
            <v>OT/0147</v>
          </cell>
          <cell r="F77">
            <v>45880</v>
          </cell>
          <cell r="G77">
            <v>45880</v>
          </cell>
          <cell r="H77" t="str">
            <v>Búqueda de fuga en Okendo Llodio</v>
          </cell>
          <cell r="I77" t="str">
            <v>Búqueda de fuga con el geófono en Okendo, Llodio</v>
          </cell>
          <cell r="J77" t="str">
            <v>Llodio</v>
          </cell>
          <cell r="M77">
            <v>43.155722222222224</v>
          </cell>
          <cell r="N77">
            <v>-3.036972222222222</v>
          </cell>
          <cell r="O77" t="b">
            <v>1</v>
          </cell>
          <cell r="Q77">
            <v>1</v>
          </cell>
          <cell r="R77">
            <v>1</v>
          </cell>
          <cell r="S77">
            <v>1</v>
          </cell>
        </row>
        <row r="78">
          <cell r="B78" t="str">
            <v>Distribución</v>
          </cell>
          <cell r="C78">
            <v>1</v>
          </cell>
          <cell r="E78" t="str">
            <v>OT/0148</v>
          </cell>
          <cell r="F78">
            <v>45880</v>
          </cell>
          <cell r="G78">
            <v>45880</v>
          </cell>
          <cell r="H78" t="str">
            <v>Revisión contador por aviso en Alegria/Dulantzi</v>
          </cell>
          <cell r="I78" t="str">
            <v>Aviso de poca presion. Se revisa un contador.</v>
          </cell>
          <cell r="J78" t="str">
            <v>Alegría</v>
          </cell>
          <cell r="M78">
            <v>42.841888888888889</v>
          </cell>
          <cell r="N78">
            <v>-2.5205833333333332</v>
          </cell>
          <cell r="O78" t="b">
            <v>1</v>
          </cell>
          <cell r="Q78">
            <v>3</v>
          </cell>
          <cell r="R78">
            <v>3</v>
          </cell>
          <cell r="S78">
            <v>3</v>
          </cell>
        </row>
        <row r="79">
          <cell r="B79" t="str">
            <v>Distribución</v>
          </cell>
          <cell r="C79">
            <v>1</v>
          </cell>
          <cell r="E79" t="str">
            <v>OT/0149</v>
          </cell>
          <cell r="F79">
            <v>45880</v>
          </cell>
          <cell r="G79">
            <v>45880</v>
          </cell>
          <cell r="H79" t="str">
            <v>Búsqueda y reparación de fuga en Zambrana</v>
          </cell>
          <cell r="I79" t="str">
            <v>Búsqueda y reparación de fuga</v>
          </cell>
          <cell r="J79" t="str">
            <v>Zambrana</v>
          </cell>
          <cell r="M79">
            <v>42.661055555555556</v>
          </cell>
          <cell r="N79">
            <v>-2.8875277777777777</v>
          </cell>
          <cell r="O79" t="b">
            <v>1</v>
          </cell>
          <cell r="Q79">
            <v>5</v>
          </cell>
          <cell r="R79">
            <v>5</v>
          </cell>
          <cell r="S79">
            <v>1</v>
          </cell>
        </row>
        <row r="80">
          <cell r="B80" t="str">
            <v>Depuración</v>
          </cell>
          <cell r="C80">
            <v>2</v>
          </cell>
          <cell r="D80">
            <v>3</v>
          </cell>
          <cell r="E80" t="str">
            <v>TP/0021</v>
          </cell>
          <cell r="F80">
            <v>45880</v>
          </cell>
          <cell r="G80">
            <v>45880</v>
          </cell>
          <cell r="H80" t="str">
            <v>Búsqueda y desbroce de fosa séptica en Portilla</v>
          </cell>
          <cell r="I80" t="str">
            <v>Búsqueda y desbroce de fosa séptica</v>
          </cell>
          <cell r="J80" t="str">
            <v>Portilla</v>
          </cell>
          <cell r="M80">
            <v>42.672527777777773</v>
          </cell>
          <cell r="N80">
            <v>-2.8544722222222223</v>
          </cell>
          <cell r="O80" t="b">
            <v>1</v>
          </cell>
          <cell r="Q80">
            <v>5</v>
          </cell>
          <cell r="R80">
            <v>5</v>
          </cell>
        </row>
        <row r="81">
          <cell r="B81" t="str">
            <v>Distribución</v>
          </cell>
          <cell r="C81">
            <v>1</v>
          </cell>
          <cell r="E81" t="str">
            <v>OT/0150</v>
          </cell>
          <cell r="F81">
            <v>45880</v>
          </cell>
          <cell r="G81">
            <v>45880</v>
          </cell>
          <cell r="H81" t="str">
            <v>Reparación de fuga en Respaldiza</v>
          </cell>
          <cell r="I81" t="str">
            <v>Reparación de fuga en Respaldiza</v>
          </cell>
          <cell r="J81" t="str">
            <v>Respaldiza</v>
          </cell>
          <cell r="M81">
            <v>43.076583333333339</v>
          </cell>
          <cell r="N81">
            <v>-3.0547499999999999</v>
          </cell>
          <cell r="O81" t="b">
            <v>1</v>
          </cell>
          <cell r="Q81">
            <v>1</v>
          </cell>
          <cell r="R81">
            <v>1</v>
          </cell>
          <cell r="S81">
            <v>1</v>
          </cell>
        </row>
        <row r="82">
          <cell r="B82" t="str">
            <v>Saneamiento</v>
          </cell>
          <cell r="C82">
            <v>2</v>
          </cell>
          <cell r="D82">
            <v>1</v>
          </cell>
          <cell r="E82" t="str">
            <v>TP/0022</v>
          </cell>
          <cell r="F82">
            <v>45880</v>
          </cell>
          <cell r="G82">
            <v>45880</v>
          </cell>
          <cell r="H82" t="str">
            <v>Mantenimiento preventivo de saneamiento Mendico en Amurrio</v>
          </cell>
          <cell r="I82" t="str">
            <v>Mantenimiento preventivo de saneamiento en Mendiko, Amurrio</v>
          </cell>
          <cell r="J82" t="str">
            <v>Mendiko, Amurrio</v>
          </cell>
          <cell r="M82">
            <v>43.059333333333328</v>
          </cell>
          <cell r="N82">
            <v>-3.0216944444444445</v>
          </cell>
          <cell r="O82" t="b">
            <v>1</v>
          </cell>
          <cell r="Q82">
            <v>1</v>
          </cell>
          <cell r="R82">
            <v>3</v>
          </cell>
        </row>
        <row r="83">
          <cell r="B83" t="str">
            <v>Distribución</v>
          </cell>
          <cell r="C83">
            <v>1</v>
          </cell>
          <cell r="E83" t="str">
            <v>OT/0151</v>
          </cell>
          <cell r="F83">
            <v>45880</v>
          </cell>
          <cell r="G83">
            <v>45880</v>
          </cell>
          <cell r="H83" t="str">
            <v>Búsqueda de fuga en Espejo</v>
          </cell>
          <cell r="I83" t="str">
            <v>Búsqueda de fuga</v>
          </cell>
          <cell r="J83" t="str">
            <v>Espejo</v>
          </cell>
          <cell r="M83">
            <v>42.80994444444444</v>
          </cell>
          <cell r="N83">
            <v>-3.0553055555555555</v>
          </cell>
          <cell r="O83" t="b">
            <v>1</v>
          </cell>
          <cell r="Q83">
            <v>5</v>
          </cell>
          <cell r="R83">
            <v>5</v>
          </cell>
          <cell r="S83">
            <v>1</v>
          </cell>
        </row>
        <row r="84">
          <cell r="B84" t="str">
            <v>Distribución</v>
          </cell>
          <cell r="C84">
            <v>1</v>
          </cell>
          <cell r="E84" t="str">
            <v>OT/0152</v>
          </cell>
          <cell r="F84">
            <v>45880</v>
          </cell>
          <cell r="G84">
            <v>45880</v>
          </cell>
          <cell r="H84" t="str">
            <v>Excavación de tubería, trabajos de zanjeo y reinstalación de la tubería en Barrio</v>
          </cell>
          <cell r="I84" t="str">
            <v>Se descubre la tubería, se zanja para bajar de profundidad y se vuelve a tapar.</v>
          </cell>
          <cell r="J84" t="str">
            <v>Barrio</v>
          </cell>
          <cell r="M84">
            <v>42.809305555555554</v>
          </cell>
          <cell r="N84">
            <v>-3.1055833333333336</v>
          </cell>
          <cell r="O84" t="b">
            <v>1</v>
          </cell>
          <cell r="Q84">
            <v>5</v>
          </cell>
          <cell r="R84">
            <v>5</v>
          </cell>
          <cell r="S84">
            <v>1</v>
          </cell>
        </row>
        <row r="85">
          <cell r="B85" t="str">
            <v>Distribución</v>
          </cell>
          <cell r="C85">
            <v>1</v>
          </cell>
          <cell r="E85" t="str">
            <v>OT/0153</v>
          </cell>
          <cell r="F85">
            <v>45881</v>
          </cell>
          <cell r="G85">
            <v>45881</v>
          </cell>
          <cell r="H85" t="str">
            <v>Realizar nueva arqueta en San Roque (Amurrio)</v>
          </cell>
          <cell r="I85" t="str">
            <v>Llevar el material, excavación para realizar la arqueta y taparla.</v>
          </cell>
          <cell r="J85" t="str">
            <v>Amurrio</v>
          </cell>
          <cell r="M85">
            <v>43.068666666666672</v>
          </cell>
          <cell r="N85">
            <v>-3.0058611111111113</v>
          </cell>
          <cell r="O85" t="b">
            <v>1</v>
          </cell>
          <cell r="Q85">
            <v>1</v>
          </cell>
          <cell r="R85">
            <v>1</v>
          </cell>
          <cell r="S85">
            <v>3</v>
          </cell>
        </row>
        <row r="86">
          <cell r="B86" t="str">
            <v>Distribución</v>
          </cell>
          <cell r="C86">
            <v>1</v>
          </cell>
          <cell r="E86" t="str">
            <v>OT/0154</v>
          </cell>
          <cell r="F86">
            <v>45881</v>
          </cell>
          <cell r="G86">
            <v>45881</v>
          </cell>
          <cell r="H86" t="str">
            <v>Reparación de fuente en Respaldiza</v>
          </cell>
          <cell r="I86" t="str">
            <v>Reparación de fuente</v>
          </cell>
          <cell r="J86" t="str">
            <v>Respaldiza</v>
          </cell>
          <cell r="M86">
            <v>43.077666666666673</v>
          </cell>
          <cell r="N86">
            <v>-3.056138888888889</v>
          </cell>
          <cell r="O86" t="b">
            <v>1</v>
          </cell>
          <cell r="Q86">
            <v>1</v>
          </cell>
          <cell r="R86">
            <v>1</v>
          </cell>
          <cell r="S86">
            <v>1</v>
          </cell>
        </row>
        <row r="87">
          <cell r="B87" t="str">
            <v>Distribución</v>
          </cell>
          <cell r="C87">
            <v>1</v>
          </cell>
          <cell r="E87" t="str">
            <v>OT/0155</v>
          </cell>
          <cell r="F87">
            <v>45881</v>
          </cell>
          <cell r="G87">
            <v>45881</v>
          </cell>
          <cell r="H87" t="str">
            <v>Tapado catas varias en Ribabellosa y Zambrana</v>
          </cell>
          <cell r="I87" t="str">
            <v>Hormigonar, retirar y tirar escombro</v>
          </cell>
          <cell r="J87" t="str">
            <v>Ribabellosa y Zambrana</v>
          </cell>
          <cell r="M87">
            <v>42.710888888888888</v>
          </cell>
          <cell r="N87">
            <v>-2.9397499999999996</v>
          </cell>
          <cell r="O87" t="b">
            <v>1</v>
          </cell>
          <cell r="Q87">
            <v>5</v>
          </cell>
          <cell r="R87">
            <v>5</v>
          </cell>
          <cell r="S87">
            <v>3</v>
          </cell>
        </row>
        <row r="88">
          <cell r="B88" t="str">
            <v>Saneamiento</v>
          </cell>
          <cell r="C88">
            <v>2</v>
          </cell>
          <cell r="D88">
            <v>1</v>
          </cell>
          <cell r="E88" t="str">
            <v>TP/0023</v>
          </cell>
          <cell r="F88">
            <v>45881</v>
          </cell>
          <cell r="G88">
            <v>45881</v>
          </cell>
          <cell r="H88" t="str">
            <v>Mantenimiento preventivo saneamiento en Luiando</v>
          </cell>
          <cell r="I88" t="str">
            <v>Mantenimiento preventivo saneamiento, limpiea de saneamiento</v>
          </cell>
          <cell r="J88" t="str">
            <v>Luiando</v>
          </cell>
          <cell r="M88">
            <v>43.098750000000003</v>
          </cell>
          <cell r="N88">
            <v>-3.0066944444444443</v>
          </cell>
          <cell r="O88" t="b">
            <v>1</v>
          </cell>
          <cell r="Q88">
            <v>1</v>
          </cell>
          <cell r="R88">
            <v>3</v>
          </cell>
        </row>
        <row r="89">
          <cell r="B89" t="str">
            <v>Distribución</v>
          </cell>
          <cell r="C89">
            <v>1</v>
          </cell>
          <cell r="E89" t="str">
            <v>OT/0156</v>
          </cell>
          <cell r="F89">
            <v>45881</v>
          </cell>
          <cell r="G89">
            <v>45881</v>
          </cell>
          <cell r="H89" t="str">
            <v>Tapado de catas en Delika</v>
          </cell>
          <cell r="I89" t="str">
            <v>Tapado de catas</v>
          </cell>
          <cell r="J89" t="str">
            <v>Delika</v>
          </cell>
          <cell r="M89">
            <v>42.968611111111116</v>
          </cell>
          <cell r="N89">
            <v>-3.0069722222222222</v>
          </cell>
          <cell r="O89" t="b">
            <v>1</v>
          </cell>
          <cell r="Q89">
            <v>1</v>
          </cell>
          <cell r="R89">
            <v>1</v>
          </cell>
          <cell r="S89">
            <v>3</v>
          </cell>
        </row>
        <row r="90">
          <cell r="B90" t="str">
            <v>Distribución</v>
          </cell>
          <cell r="C90">
            <v>1</v>
          </cell>
          <cell r="E90" t="str">
            <v>OT/0157</v>
          </cell>
          <cell r="F90">
            <v>45881</v>
          </cell>
          <cell r="G90">
            <v>45881</v>
          </cell>
          <cell r="H90" t="str">
            <v>Reparación de fuga en Zambrana</v>
          </cell>
          <cell r="I90" t="str">
            <v>Reparación de fuga</v>
          </cell>
          <cell r="J90" t="str">
            <v>Zambrana</v>
          </cell>
          <cell r="M90">
            <v>42.664583333333333</v>
          </cell>
          <cell r="N90">
            <v>-2.8905833333333333</v>
          </cell>
          <cell r="O90" t="b">
            <v>1</v>
          </cell>
          <cell r="Q90">
            <v>5</v>
          </cell>
          <cell r="R90">
            <v>5</v>
          </cell>
          <cell r="S90">
            <v>1</v>
          </cell>
        </row>
        <row r="91">
          <cell r="B91" t="str">
            <v>Distribución</v>
          </cell>
          <cell r="C91">
            <v>1</v>
          </cell>
          <cell r="E91" t="str">
            <v>OT/0158</v>
          </cell>
          <cell r="F91">
            <v>45881</v>
          </cell>
          <cell r="G91">
            <v>45881</v>
          </cell>
          <cell r="H91" t="str">
            <v>Tapado de tubería en Barrio</v>
          </cell>
          <cell r="I91" t="str">
            <v>Tapado de tubería</v>
          </cell>
          <cell r="J91" t="str">
            <v>Barrio</v>
          </cell>
          <cell r="M91">
            <v>42.8095</v>
          </cell>
          <cell r="N91">
            <v>-3.1075277777777779</v>
          </cell>
          <cell r="O91" t="b">
            <v>1</v>
          </cell>
          <cell r="Q91">
            <v>5</v>
          </cell>
          <cell r="R91">
            <v>5</v>
          </cell>
          <cell r="S91">
            <v>3</v>
          </cell>
        </row>
        <row r="92">
          <cell r="B92" t="str">
            <v>Aducción</v>
          </cell>
          <cell r="C92">
            <v>1</v>
          </cell>
          <cell r="E92" t="str">
            <v>OT/0159</v>
          </cell>
          <cell r="F92">
            <v>45881</v>
          </cell>
          <cell r="G92">
            <v>45881</v>
          </cell>
          <cell r="H92" t="str">
            <v>Aviso por fuga en Espejo</v>
          </cell>
          <cell r="I92" t="str">
            <v>Aviso por fuga</v>
          </cell>
          <cell r="J92" t="str">
            <v>Espejo</v>
          </cell>
          <cell r="M92">
            <v>42.809972222222221</v>
          </cell>
          <cell r="N92">
            <v>-3.0578055555555554</v>
          </cell>
          <cell r="O92" t="b">
            <v>1</v>
          </cell>
          <cell r="Q92">
            <v>5</v>
          </cell>
          <cell r="R92">
            <v>5</v>
          </cell>
          <cell r="S92">
            <v>1</v>
          </cell>
        </row>
        <row r="93">
          <cell r="B93" t="str">
            <v>Distribución</v>
          </cell>
          <cell r="C93">
            <v>1</v>
          </cell>
          <cell r="E93" t="str">
            <v>OT/0160</v>
          </cell>
          <cell r="F93">
            <v>45881</v>
          </cell>
          <cell r="G93">
            <v>45881</v>
          </cell>
          <cell r="H93" t="str">
            <v>Sacar aires en Elosu</v>
          </cell>
          <cell r="I93" t="str">
            <v>Sacar aires</v>
          </cell>
          <cell r="J93" t="str">
            <v>Elosu</v>
          </cell>
          <cell r="M93">
            <v>42.97602777777778</v>
          </cell>
          <cell r="N93">
            <v>-2.6914166666666666</v>
          </cell>
          <cell r="O93" t="b">
            <v>1</v>
          </cell>
          <cell r="Q93">
            <v>4</v>
          </cell>
          <cell r="R93">
            <v>4</v>
          </cell>
          <cell r="S93">
            <v>3</v>
          </cell>
        </row>
        <row r="94">
          <cell r="B94" t="str">
            <v>Distribución</v>
          </cell>
          <cell r="C94">
            <v>1</v>
          </cell>
          <cell r="E94" t="str">
            <v>OT/0161</v>
          </cell>
          <cell r="F94">
            <v>45881</v>
          </cell>
          <cell r="G94">
            <v>45881</v>
          </cell>
          <cell r="H94" t="str">
            <v>Reparación de fuga en Atzeniaga</v>
          </cell>
          <cell r="I94" t="str">
            <v>Reparación de fuga en San Antonio Auzoa</v>
          </cell>
          <cell r="J94" t="str">
            <v>Artziniega</v>
          </cell>
          <cell r="M94">
            <v>43.116722222222222</v>
          </cell>
          <cell r="N94">
            <v>-3.1583611111111112</v>
          </cell>
          <cell r="O94" t="b">
            <v>1</v>
          </cell>
          <cell r="Q94">
            <v>1</v>
          </cell>
          <cell r="R94">
            <v>1</v>
          </cell>
          <cell r="S94">
            <v>1</v>
          </cell>
        </row>
        <row r="95">
          <cell r="B95" t="str">
            <v>Distribución</v>
          </cell>
          <cell r="C95">
            <v>1</v>
          </cell>
          <cell r="E95" t="str">
            <v>OT/0162</v>
          </cell>
          <cell r="F95">
            <v>45882</v>
          </cell>
          <cell r="G95">
            <v>45882</v>
          </cell>
          <cell r="H95" t="str">
            <v>Reparación de fuga en Alegría/Dulantzi</v>
          </cell>
          <cell r="I95" t="str">
            <v>Reparación de fuga</v>
          </cell>
          <cell r="J95" t="str">
            <v>Alegría</v>
          </cell>
          <cell r="M95">
            <v>42.842194444444445</v>
          </cell>
          <cell r="N95">
            <v>-2.5253055555555557</v>
          </cell>
          <cell r="O95" t="b">
            <v>1</v>
          </cell>
          <cell r="Q95">
            <v>3</v>
          </cell>
          <cell r="R95">
            <v>3</v>
          </cell>
          <cell r="S95">
            <v>1</v>
          </cell>
        </row>
        <row r="96">
          <cell r="B96" t="str">
            <v>Distribución</v>
          </cell>
          <cell r="C96">
            <v>2</v>
          </cell>
          <cell r="D96">
            <v>8</v>
          </cell>
          <cell r="E96" t="str">
            <v>TP/0024</v>
          </cell>
          <cell r="F96">
            <v>45881</v>
          </cell>
          <cell r="G96">
            <v>45881</v>
          </cell>
          <cell r="H96" t="str">
            <v>Alta contador en Kartuja-Ibarra</v>
          </cell>
          <cell r="I96" t="str">
            <v>Alta contador - Alta contador</v>
          </cell>
          <cell r="J96" t="str">
            <v>Katuja-Ibarra, Llodio</v>
          </cell>
          <cell r="M96">
            <v>43.133416666666669</v>
          </cell>
          <cell r="N96">
            <v>-2.9922500000000003</v>
          </cell>
          <cell r="O96" t="b">
            <v>1</v>
          </cell>
          <cell r="Q96">
            <v>1</v>
          </cell>
          <cell r="R96">
            <v>1</v>
          </cell>
        </row>
        <row r="97">
          <cell r="B97" t="str">
            <v>Distribución</v>
          </cell>
          <cell r="C97">
            <v>2</v>
          </cell>
          <cell r="D97">
            <v>18</v>
          </cell>
          <cell r="E97" t="str">
            <v>TP/0025</v>
          </cell>
          <cell r="F97">
            <v>45881</v>
          </cell>
          <cell r="G97">
            <v>45881</v>
          </cell>
          <cell r="H97" t="str">
            <v>Conexión de acometida de agua potable Kartuja-Ibarra</v>
          </cell>
          <cell r="I97" t="str">
            <v>Conexión de acometida de agua potable a barraqueros</v>
          </cell>
          <cell r="J97" t="str">
            <v>Katuja-Ibarra, Llodio</v>
          </cell>
          <cell r="M97">
            <v>43.133416666666669</v>
          </cell>
          <cell r="N97">
            <v>-2.9925277777777777</v>
          </cell>
          <cell r="O97" t="b">
            <v>1</v>
          </cell>
          <cell r="Q97">
            <v>1</v>
          </cell>
          <cell r="R97">
            <v>1</v>
          </cell>
        </row>
        <row r="98">
          <cell r="B98" t="str">
            <v>Distribución</v>
          </cell>
          <cell r="C98">
            <v>2</v>
          </cell>
          <cell r="D98">
            <v>8</v>
          </cell>
          <cell r="E98" t="str">
            <v>TP/0026</v>
          </cell>
          <cell r="F98">
            <v>45882</v>
          </cell>
          <cell r="G98">
            <v>45882</v>
          </cell>
          <cell r="H98" t="str">
            <v>Alta contador de fiestas de Herriko Plaza en Llodio</v>
          </cell>
          <cell r="I98" t="str">
            <v>Alta contador de fiestas de Llodio</v>
          </cell>
          <cell r="J98" t="str">
            <v>Herriko Palaza, Llodio</v>
          </cell>
          <cell r="M98">
            <v>43.14297222222222</v>
          </cell>
          <cell r="N98">
            <v>-2.9761388888888889</v>
          </cell>
          <cell r="O98" t="b">
            <v>1</v>
          </cell>
          <cell r="Q98">
            <v>1</v>
          </cell>
          <cell r="R98">
            <v>1</v>
          </cell>
        </row>
        <row r="99">
          <cell r="B99" t="str">
            <v>Saneamiento</v>
          </cell>
          <cell r="C99">
            <v>2</v>
          </cell>
          <cell r="D99">
            <v>1</v>
          </cell>
          <cell r="E99" t="str">
            <v>TP/0027</v>
          </cell>
          <cell r="F99">
            <v>45882</v>
          </cell>
          <cell r="G99">
            <v>45882</v>
          </cell>
          <cell r="H99" t="str">
            <v>Limpieza mantenimiento saneamiento Amurrio</v>
          </cell>
          <cell r="I99" t="str">
            <v>Limpieza mantenimiento saneamiento en el barrio San Jose, Amurrio</v>
          </cell>
          <cell r="J99" t="str">
            <v>Amurrio</v>
          </cell>
          <cell r="M99">
            <v>43.059888888888885</v>
          </cell>
          <cell r="N99">
            <v>-3.0097499999999999</v>
          </cell>
          <cell r="O99" t="b">
            <v>1</v>
          </cell>
          <cell r="Q99">
            <v>1</v>
          </cell>
          <cell r="R99">
            <v>1</v>
          </cell>
        </row>
        <row r="100">
          <cell r="B100" t="str">
            <v>Aducción</v>
          </cell>
          <cell r="C100">
            <v>2</v>
          </cell>
          <cell r="D100">
            <v>2</v>
          </cell>
          <cell r="E100" t="str">
            <v>TP/0028</v>
          </cell>
          <cell r="F100">
            <v>45882</v>
          </cell>
          <cell r="G100">
            <v>45882</v>
          </cell>
          <cell r="H100" t="str">
            <v>Limpieza captaciones Katxabazo e Intxutaspe</v>
          </cell>
          <cell r="I100" t="str">
            <v>Limpieza captaciones Katxabazo e Intxutaspe</v>
          </cell>
          <cell r="J100" t="str">
            <v>Katxabazo e Intxutaspe-Baranbio</v>
          </cell>
          <cell r="M100">
            <v>43.046027777777773</v>
          </cell>
          <cell r="N100">
            <v>-2.9100277777777777</v>
          </cell>
          <cell r="O100" t="b">
            <v>1</v>
          </cell>
          <cell r="Q100">
            <v>1</v>
          </cell>
          <cell r="R100">
            <v>1</v>
          </cell>
        </row>
        <row r="101">
          <cell r="B101" t="str">
            <v>Distribución</v>
          </cell>
          <cell r="C101">
            <v>1</v>
          </cell>
          <cell r="E101" t="str">
            <v>OT/0163</v>
          </cell>
          <cell r="F101">
            <v>45875</v>
          </cell>
          <cell r="G101">
            <v>45875</v>
          </cell>
          <cell r="H101" t="str">
            <v>Tapado de cata y reparación de la puerta de cierre en Delika (Amurrio)</v>
          </cell>
          <cell r="I101" t="str">
            <v>Tapado de cata y reparación de la puerta de cierre</v>
          </cell>
          <cell r="J101" t="str">
            <v>Delika</v>
          </cell>
          <cell r="M101">
            <v>42.97013888888889</v>
          </cell>
          <cell r="N101">
            <v>-3.0103055555555556</v>
          </cell>
          <cell r="O101" t="b">
            <v>1</v>
          </cell>
          <cell r="Q101">
            <v>1</v>
          </cell>
          <cell r="R101">
            <v>1</v>
          </cell>
          <cell r="S101">
            <v>3</v>
          </cell>
        </row>
        <row r="102">
          <cell r="B102" t="str">
            <v>Distribución</v>
          </cell>
          <cell r="C102">
            <v>1</v>
          </cell>
          <cell r="E102" t="str">
            <v>OT/0164</v>
          </cell>
          <cell r="F102">
            <v>45876</v>
          </cell>
          <cell r="G102">
            <v>45876</v>
          </cell>
          <cell r="H102" t="str">
            <v>Reparación de fuga en Delika (Amurrio)</v>
          </cell>
          <cell r="I102" t="str">
            <v>Búsqueda y reparación de fuga. Hormigonado.</v>
          </cell>
          <cell r="J102" t="str">
            <v>Delika</v>
          </cell>
          <cell r="M102">
            <v>42.97013888888889</v>
          </cell>
          <cell r="N102">
            <v>-3.0105833333333334</v>
          </cell>
          <cell r="O102" t="b">
            <v>1</v>
          </cell>
          <cell r="Q102">
            <v>1</v>
          </cell>
          <cell r="R102">
            <v>1</v>
          </cell>
          <cell r="S102">
            <v>1</v>
          </cell>
        </row>
        <row r="103">
          <cell r="B103" t="str">
            <v>Distribución</v>
          </cell>
          <cell r="C103">
            <v>1</v>
          </cell>
          <cell r="E103" t="str">
            <v>OT/0165</v>
          </cell>
          <cell r="F103">
            <v>45877</v>
          </cell>
          <cell r="G103">
            <v>45877</v>
          </cell>
          <cell r="H103" t="str">
            <v>Cierre de llave Delika (Amurrio)</v>
          </cell>
          <cell r="I103" t="str">
            <v>Cierre de llave</v>
          </cell>
          <cell r="J103" t="str">
            <v>Delika</v>
          </cell>
          <cell r="M103">
            <v>42.97013888888889</v>
          </cell>
          <cell r="N103">
            <v>-3.0108611111111112</v>
          </cell>
          <cell r="O103" t="b">
            <v>1</v>
          </cell>
          <cell r="Q103">
            <v>1</v>
          </cell>
          <cell r="R103">
            <v>1</v>
          </cell>
          <cell r="S103">
            <v>3</v>
          </cell>
        </row>
        <row r="104">
          <cell r="B104" t="str">
            <v>Distribución</v>
          </cell>
          <cell r="C104">
            <v>1</v>
          </cell>
          <cell r="E104" t="str">
            <v>OT/0166</v>
          </cell>
          <cell r="F104">
            <v>45877</v>
          </cell>
          <cell r="G104">
            <v>45877</v>
          </cell>
          <cell r="H104" t="str">
            <v>Búsqueda y reparación de fuga en Artzeniaga</v>
          </cell>
          <cell r="I104" t="str">
            <v>Búsqueda y reparación de fuga</v>
          </cell>
          <cell r="J104" t="str">
            <v>Artziniega</v>
          </cell>
          <cell r="M104">
            <v>43.122083333333336</v>
          </cell>
          <cell r="N104">
            <v>-3.1444722222222223</v>
          </cell>
          <cell r="O104" t="b">
            <v>1</v>
          </cell>
          <cell r="Q104">
            <v>1</v>
          </cell>
          <cell r="R104">
            <v>1</v>
          </cell>
          <cell r="S104">
            <v>1</v>
          </cell>
        </row>
        <row r="105">
          <cell r="B105" t="str">
            <v>Distribución</v>
          </cell>
          <cell r="C105">
            <v>1</v>
          </cell>
          <cell r="E105" t="str">
            <v>OT/0167</v>
          </cell>
          <cell r="F105">
            <v>45881</v>
          </cell>
          <cell r="G105">
            <v>45881</v>
          </cell>
          <cell r="H105" t="str">
            <v>Búsqueda de arquetas en Agurain/Salvatierra</v>
          </cell>
          <cell r="I105" t="str">
            <v>Búsqueda de arquetas en el Polígono fFueros, 2, Agurain</v>
          </cell>
          <cell r="J105" t="str">
            <v>Agurain</v>
          </cell>
          <cell r="M105">
            <v>42.849916666666672</v>
          </cell>
          <cell r="N105">
            <v>-2.4114166666666668</v>
          </cell>
          <cell r="O105" t="b">
            <v>1</v>
          </cell>
          <cell r="Q105">
            <v>3</v>
          </cell>
          <cell r="R105">
            <v>3</v>
          </cell>
          <cell r="S105">
            <v>3</v>
          </cell>
        </row>
        <row r="106">
          <cell r="B106" t="str">
            <v>Distribución</v>
          </cell>
          <cell r="C106">
            <v>2</v>
          </cell>
          <cell r="D106">
            <v>8</v>
          </cell>
          <cell r="E106" t="str">
            <v>TP/0029</v>
          </cell>
          <cell r="F106">
            <v>45875</v>
          </cell>
          <cell r="G106">
            <v>45875</v>
          </cell>
          <cell r="H106" t="str">
            <v>Alta contador en Amurrio</v>
          </cell>
          <cell r="I106" t="str">
            <v>Instalación contadores, alta contador</v>
          </cell>
          <cell r="J106" t="str">
            <v>Amurrio</v>
          </cell>
          <cell r="M106">
            <v>43.05244444444444</v>
          </cell>
          <cell r="N106">
            <v>-3.0283611111111113</v>
          </cell>
          <cell r="O106" t="b">
            <v>1</v>
          </cell>
          <cell r="Q106">
            <v>1</v>
          </cell>
          <cell r="R106">
            <v>1</v>
          </cell>
        </row>
        <row r="107">
          <cell r="B107" t="str">
            <v>Distribución</v>
          </cell>
          <cell r="C107">
            <v>2</v>
          </cell>
          <cell r="D107">
            <v>8</v>
          </cell>
          <cell r="E107" t="str">
            <v>TP/0030</v>
          </cell>
          <cell r="F107">
            <v>45876</v>
          </cell>
          <cell r="G107">
            <v>45876</v>
          </cell>
          <cell r="H107" t="str">
            <v>Alta contador en Amurrio</v>
          </cell>
          <cell r="I107" t="str">
            <v>Instalación contadores, alta contador</v>
          </cell>
          <cell r="J107" t="str">
            <v>Amurrio</v>
          </cell>
          <cell r="M107">
            <v>43.050138888888888</v>
          </cell>
          <cell r="N107">
            <v>-3.0286388888888891</v>
          </cell>
          <cell r="O107" t="b">
            <v>1</v>
          </cell>
          <cell r="Q107">
            <v>1</v>
          </cell>
          <cell r="R107">
            <v>1</v>
          </cell>
        </row>
        <row r="108">
          <cell r="B108" t="str">
            <v>Distribución</v>
          </cell>
          <cell r="C108">
            <v>2</v>
          </cell>
          <cell r="D108">
            <v>9</v>
          </cell>
          <cell r="E108" t="str">
            <v>TP/0031</v>
          </cell>
          <cell r="F108">
            <v>45877</v>
          </cell>
          <cell r="G108">
            <v>45877</v>
          </cell>
          <cell r="H108" t="str">
            <v>Baja contador en Amurrio</v>
          </cell>
          <cell r="I108" t="str">
            <v>Desinstalación contadores, baja contador</v>
          </cell>
          <cell r="J108" t="str">
            <v>Amurrio</v>
          </cell>
          <cell r="M108">
            <v>43.048416666666668</v>
          </cell>
          <cell r="N108">
            <v>-3.0289166666666665</v>
          </cell>
          <cell r="O108" t="b">
            <v>1</v>
          </cell>
          <cell r="Q108">
            <v>1</v>
          </cell>
          <cell r="R108">
            <v>1</v>
          </cell>
        </row>
        <row r="109">
          <cell r="B109" t="str">
            <v>Distribución</v>
          </cell>
          <cell r="C109">
            <v>2</v>
          </cell>
          <cell r="D109">
            <v>9</v>
          </cell>
          <cell r="E109" t="str">
            <v>TP/0032</v>
          </cell>
          <cell r="F109">
            <v>45880</v>
          </cell>
          <cell r="G109">
            <v>45880</v>
          </cell>
          <cell r="H109" t="str">
            <v>Baja contador en Llodio</v>
          </cell>
          <cell r="I109" t="str">
            <v>Desinstalación contadores, baja contador</v>
          </cell>
          <cell r="J109" t="str">
            <v>Llodio</v>
          </cell>
          <cell r="M109">
            <v>43.14308333333333</v>
          </cell>
          <cell r="N109">
            <v>-2.9791944444444445</v>
          </cell>
          <cell r="O109" t="b">
            <v>1</v>
          </cell>
          <cell r="Q109">
            <v>1</v>
          </cell>
          <cell r="R109">
            <v>1</v>
          </cell>
        </row>
        <row r="110">
          <cell r="B110" t="str">
            <v>Distribución</v>
          </cell>
          <cell r="C110">
            <v>2</v>
          </cell>
          <cell r="D110">
            <v>8</v>
          </cell>
          <cell r="E110" t="str">
            <v>TP/0033</v>
          </cell>
          <cell r="F110">
            <v>45880</v>
          </cell>
          <cell r="G110">
            <v>45880</v>
          </cell>
          <cell r="H110" t="str">
            <v>Alta contadores Llodio</v>
          </cell>
          <cell r="I110" t="str">
            <v>Instalación contadores, alta contador</v>
          </cell>
          <cell r="J110" t="str">
            <v>Llodio</v>
          </cell>
          <cell r="M110">
            <v>43.143916666666669</v>
          </cell>
          <cell r="N110">
            <v>-2.9794722222222223</v>
          </cell>
          <cell r="O110" t="b">
            <v>1</v>
          </cell>
          <cell r="Q110">
            <v>1</v>
          </cell>
          <cell r="R110">
            <v>1</v>
          </cell>
        </row>
        <row r="111">
          <cell r="B111" t="str">
            <v>Distribución</v>
          </cell>
          <cell r="C111">
            <v>2</v>
          </cell>
          <cell r="D111">
            <v>10</v>
          </cell>
          <cell r="E111" t="str">
            <v>TP/0034</v>
          </cell>
          <cell r="F111">
            <v>45881</v>
          </cell>
          <cell r="G111">
            <v>45881</v>
          </cell>
          <cell r="H111" t="str">
            <v>Cambio de contador en Amurrio</v>
          </cell>
          <cell r="I111" t="str">
            <v>Sustitución contadores, cambio de contador</v>
          </cell>
          <cell r="J111" t="str">
            <v>Amurrio</v>
          </cell>
          <cell r="M111">
            <v>43.056555555555555</v>
          </cell>
          <cell r="N111">
            <v>-3.0297499999999999</v>
          </cell>
          <cell r="O111" t="b">
            <v>1</v>
          </cell>
          <cell r="Q111">
            <v>1</v>
          </cell>
          <cell r="R111">
            <v>1</v>
          </cell>
        </row>
        <row r="112">
          <cell r="B112" t="str">
            <v>Distribución</v>
          </cell>
          <cell r="C112">
            <v>2</v>
          </cell>
          <cell r="D112">
            <v>10</v>
          </cell>
          <cell r="E112" t="str">
            <v>TP/0035</v>
          </cell>
          <cell r="F112">
            <v>45881</v>
          </cell>
          <cell r="G112">
            <v>45881</v>
          </cell>
          <cell r="H112" t="str">
            <v>Cambio de contador en Agurain</v>
          </cell>
          <cell r="I112" t="str">
            <v>Sustitución contadores, cambio de contador</v>
          </cell>
          <cell r="J112" t="str">
            <v>Agurain</v>
          </cell>
          <cell r="M112">
            <v>42.853472222222223</v>
          </cell>
          <cell r="N112">
            <v>-2.4133611111111111</v>
          </cell>
          <cell r="O112" t="b">
            <v>1</v>
          </cell>
          <cell r="Q112">
            <v>3</v>
          </cell>
          <cell r="R112">
            <v>3</v>
          </cell>
        </row>
        <row r="113">
          <cell r="B113" t="str">
            <v>Distribución</v>
          </cell>
          <cell r="C113">
            <v>2</v>
          </cell>
          <cell r="D113">
            <v>10</v>
          </cell>
          <cell r="E113" t="str">
            <v>TP/0036</v>
          </cell>
          <cell r="F113">
            <v>45881</v>
          </cell>
          <cell r="G113">
            <v>45881</v>
          </cell>
          <cell r="H113" t="str">
            <v>Cambio de contador en Rivabellosa</v>
          </cell>
          <cell r="I113" t="str">
            <v>Sustitución contadores, cambio de contador</v>
          </cell>
          <cell r="J113" t="str">
            <v>Ribabellosa-Rivera Alta</v>
          </cell>
          <cell r="M113">
            <v>42.710027777777782</v>
          </cell>
          <cell r="N113">
            <v>-2.9469722222222221</v>
          </cell>
          <cell r="O113" t="b">
            <v>1</v>
          </cell>
          <cell r="Q113">
            <v>5</v>
          </cell>
          <cell r="R113">
            <v>5</v>
          </cell>
        </row>
        <row r="114">
          <cell r="B114" t="str">
            <v>Distribución</v>
          </cell>
          <cell r="C114">
            <v>1</v>
          </cell>
          <cell r="E114" t="str">
            <v>OT/0168</v>
          </cell>
          <cell r="F114">
            <v>45883</v>
          </cell>
          <cell r="G114">
            <v>45883</v>
          </cell>
          <cell r="H114" t="str">
            <v>Fuga Añes alta</v>
          </cell>
          <cell r="I114" t="str">
            <v>Fuga Añes alta</v>
          </cell>
          <cell r="J114" t="str">
            <v>Añes-Ayala</v>
          </cell>
          <cell r="M114">
            <v>43.058</v>
          </cell>
          <cell r="N114">
            <v>-3.1472500000000001</v>
          </cell>
          <cell r="O114" t="b">
            <v>1</v>
          </cell>
          <cell r="Q114">
            <v>1</v>
          </cell>
          <cell r="R114">
            <v>1</v>
          </cell>
          <cell r="S114">
            <v>1</v>
          </cell>
        </row>
        <row r="115">
          <cell r="B115" t="str">
            <v>Saneamiento</v>
          </cell>
          <cell r="C115">
            <v>1</v>
          </cell>
          <cell r="E115" t="str">
            <v>OT/0169</v>
          </cell>
          <cell r="F115">
            <v>45883</v>
          </cell>
          <cell r="G115">
            <v>45883</v>
          </cell>
          <cell r="H115" t="str">
            <v>Limpieza de saneamiento con camión en Esquina Abajo/Respaldiza</v>
          </cell>
          <cell r="I115" t="str">
            <v>Limpieza de saneamiento con camión</v>
          </cell>
          <cell r="J115" t="str">
            <v>Esquina Abajo/Respaldiza</v>
          </cell>
          <cell r="M115">
            <v>43.08763888888889</v>
          </cell>
          <cell r="N115">
            <v>-3.0641944444444444</v>
          </cell>
          <cell r="O115" t="b">
            <v>1</v>
          </cell>
          <cell r="Q115">
            <v>1</v>
          </cell>
          <cell r="R115">
            <v>3</v>
          </cell>
          <cell r="S115">
            <v>3</v>
          </cell>
        </row>
        <row r="116">
          <cell r="B116" t="str">
            <v>Aducción</v>
          </cell>
          <cell r="C116">
            <v>2</v>
          </cell>
          <cell r="D116">
            <v>2</v>
          </cell>
          <cell r="E116" t="str">
            <v>TP/0037</v>
          </cell>
          <cell r="F116">
            <v>45883</v>
          </cell>
          <cell r="G116">
            <v>45883</v>
          </cell>
          <cell r="H116" t="str">
            <v>Limpieza captaciones Aiaraldea</v>
          </cell>
          <cell r="I116" t="str">
            <v>Limpieza captaciones Aiaraldea</v>
          </cell>
          <cell r="J116" t="str">
            <v>AIARA</v>
          </cell>
          <cell r="M116">
            <v>43.134722222222223</v>
          </cell>
          <cell r="N116">
            <v>-2.9978055555555558</v>
          </cell>
          <cell r="O116" t="b">
            <v>1</v>
          </cell>
          <cell r="Q116">
            <v>1</v>
          </cell>
          <cell r="R116">
            <v>1</v>
          </cell>
        </row>
        <row r="117">
          <cell r="B117" t="str">
            <v>Saneamiento</v>
          </cell>
          <cell r="C117">
            <v>2</v>
          </cell>
          <cell r="D117">
            <v>1</v>
          </cell>
          <cell r="E117" t="str">
            <v>TP/0038</v>
          </cell>
          <cell r="F117">
            <v>45883</v>
          </cell>
          <cell r="G117">
            <v>45883</v>
          </cell>
          <cell r="H117" t="str">
            <v>Mantenimiento de saneamiento con camión en Llodio</v>
          </cell>
          <cell r="I117" t="str">
            <v>Mantenimiento de saneamiento con camión</v>
          </cell>
          <cell r="J117" t="str">
            <v>Llodio</v>
          </cell>
          <cell r="M117">
            <v>43.14147222222222</v>
          </cell>
          <cell r="N117">
            <v>-2.981416666666667</v>
          </cell>
          <cell r="O117" t="b">
            <v>1</v>
          </cell>
          <cell r="Q117">
            <v>1</v>
          </cell>
          <cell r="R117">
            <v>4</v>
          </cell>
        </row>
        <row r="118">
          <cell r="B118" t="str">
            <v>Distribución</v>
          </cell>
          <cell r="C118">
            <v>1</v>
          </cell>
          <cell r="E118" t="str">
            <v>OT/0170</v>
          </cell>
          <cell r="F118">
            <v>45883</v>
          </cell>
          <cell r="G118">
            <v>45883</v>
          </cell>
          <cell r="H118" t="str">
            <v>Preparación de fuga en Artziniaga</v>
          </cell>
          <cell r="I118" t="str">
            <v>Preparación de fuga en el campo de fútbol de Artziniega</v>
          </cell>
          <cell r="J118" t="str">
            <v>Artziniega</v>
          </cell>
          <cell r="M118">
            <v>43.117555555555555</v>
          </cell>
          <cell r="N118">
            <v>-3.1483611111111109</v>
          </cell>
          <cell r="O118" t="b">
            <v>1</v>
          </cell>
          <cell r="Q118">
            <v>1</v>
          </cell>
          <cell r="R118">
            <v>1</v>
          </cell>
          <cell r="S118">
            <v>1</v>
          </cell>
        </row>
        <row r="119">
          <cell r="B119" t="str">
            <v>Distribución</v>
          </cell>
          <cell r="C119">
            <v>1</v>
          </cell>
          <cell r="E119" t="str">
            <v>OT/0171</v>
          </cell>
          <cell r="F119">
            <v>45883</v>
          </cell>
          <cell r="G119">
            <v>45883</v>
          </cell>
          <cell r="H119" t="str">
            <v>Instalación de acometida opakua en Agurain/Salvatierra</v>
          </cell>
          <cell r="I119" t="str">
            <v>Instalación de acometida opakua</v>
          </cell>
          <cell r="J119" t="str">
            <v>Opacua</v>
          </cell>
          <cell r="M119">
            <v>42.84963888888889</v>
          </cell>
          <cell r="N119">
            <v>-2.4153055555555554</v>
          </cell>
          <cell r="O119" t="b">
            <v>1</v>
          </cell>
          <cell r="Q119">
            <v>3</v>
          </cell>
          <cell r="R119">
            <v>3</v>
          </cell>
          <cell r="S119">
            <v>3</v>
          </cell>
        </row>
        <row r="120">
          <cell r="B120" t="str">
            <v>Aducción</v>
          </cell>
          <cell r="C120">
            <v>1</v>
          </cell>
          <cell r="E120" t="str">
            <v>OT/0172</v>
          </cell>
          <cell r="F120">
            <v>45882</v>
          </cell>
          <cell r="G120">
            <v>45882</v>
          </cell>
          <cell r="H120" t="str">
            <v>Búsqueda de fuga Añes</v>
          </cell>
          <cell r="I120" t="str">
            <v>Búsqueda de fuga</v>
          </cell>
          <cell r="J120" t="str">
            <v>Añes</v>
          </cell>
          <cell r="M120">
            <v>43.05855555555555</v>
          </cell>
          <cell r="N120">
            <v>-3.1489166666666666</v>
          </cell>
          <cell r="O120" t="b">
            <v>1</v>
          </cell>
          <cell r="Q120">
            <v>1</v>
          </cell>
          <cell r="R120">
            <v>1</v>
          </cell>
          <cell r="S120">
            <v>1</v>
          </cell>
        </row>
        <row r="121">
          <cell r="B121" t="str">
            <v>Distribución</v>
          </cell>
          <cell r="C121">
            <v>2</v>
          </cell>
          <cell r="D121">
            <v>10</v>
          </cell>
          <cell r="E121" t="str">
            <v>TP/0039</v>
          </cell>
          <cell r="F121">
            <v>45882</v>
          </cell>
          <cell r="G121">
            <v>45882</v>
          </cell>
          <cell r="H121" t="str">
            <v>Sustitución contador Urbina Eza</v>
          </cell>
          <cell r="I121" t="str">
            <v>Sustitución contador</v>
          </cell>
          <cell r="J121" t="str">
            <v>Urbina Eza-Kuartango</v>
          </cell>
          <cell r="M121">
            <v>42.87788888888889</v>
          </cell>
          <cell r="N121">
            <v>-2.915861111111111</v>
          </cell>
          <cell r="O121" t="b">
            <v>1</v>
          </cell>
          <cell r="Q121">
            <v>5</v>
          </cell>
          <cell r="R121">
            <v>5</v>
          </cell>
        </row>
        <row r="122">
          <cell r="B122" t="str">
            <v>Distribución</v>
          </cell>
          <cell r="C122">
            <v>2</v>
          </cell>
          <cell r="D122">
            <v>10</v>
          </cell>
          <cell r="E122" t="str">
            <v>TP/0040</v>
          </cell>
          <cell r="F122">
            <v>45882</v>
          </cell>
          <cell r="G122">
            <v>45882</v>
          </cell>
          <cell r="H122" t="str">
            <v>Sustitución contador en Landa</v>
          </cell>
          <cell r="I122" t="str">
            <v>Búsqueda arqueta del contador y sustitución contador</v>
          </cell>
          <cell r="J122" t="str">
            <v>Landa</v>
          </cell>
          <cell r="M122">
            <v>42.960055555555556</v>
          </cell>
          <cell r="N122">
            <v>-2.616138888888889</v>
          </cell>
          <cell r="O122" t="b">
            <v>1</v>
          </cell>
          <cell r="Q122">
            <v>4</v>
          </cell>
          <cell r="R122">
            <v>4</v>
          </cell>
        </row>
        <row r="123">
          <cell r="B123" t="str">
            <v>Distribución</v>
          </cell>
          <cell r="C123">
            <v>2</v>
          </cell>
          <cell r="D123">
            <v>10</v>
          </cell>
          <cell r="E123" t="str">
            <v>TP/0041</v>
          </cell>
          <cell r="F123">
            <v>45882</v>
          </cell>
          <cell r="G123">
            <v>45882</v>
          </cell>
          <cell r="H123" t="str">
            <v>Sustitución contadores en Fueros, Agurain</v>
          </cell>
          <cell r="I123" t="str">
            <v>Búsqueda de contador. Picar arqueta, cambiar contador y hacer arqueta.</v>
          </cell>
          <cell r="J123" t="str">
            <v>Fueros, Agurain</v>
          </cell>
          <cell r="M123">
            <v>42.84986111111111</v>
          </cell>
          <cell r="N123">
            <v>-2.4164166666666667</v>
          </cell>
          <cell r="O123" t="b">
            <v>1</v>
          </cell>
          <cell r="Q123">
            <v>3</v>
          </cell>
          <cell r="R123">
            <v>3</v>
          </cell>
        </row>
        <row r="124">
          <cell r="B124" t="str">
            <v>Distribución</v>
          </cell>
          <cell r="C124">
            <v>2</v>
          </cell>
          <cell r="D124">
            <v>10</v>
          </cell>
          <cell r="E124" t="str">
            <v>TP/0042</v>
          </cell>
          <cell r="F124">
            <v>45882</v>
          </cell>
          <cell r="G124">
            <v>45882</v>
          </cell>
          <cell r="H124" t="str">
            <v>Sustitución contador en Sabando</v>
          </cell>
          <cell r="I124" t="str">
            <v>Sustitución contador</v>
          </cell>
          <cell r="J124" t="str">
            <v>Sabando</v>
          </cell>
          <cell r="M124">
            <v>42.749222222222222</v>
          </cell>
          <cell r="N124">
            <v>-2.4333611111111111</v>
          </cell>
          <cell r="O124" t="b">
            <v>1</v>
          </cell>
          <cell r="Q124">
            <v>6</v>
          </cell>
          <cell r="R124">
            <v>6</v>
          </cell>
        </row>
        <row r="125">
          <cell r="B125" t="str">
            <v>Distribución</v>
          </cell>
          <cell r="C125">
            <v>2</v>
          </cell>
          <cell r="D125">
            <v>10</v>
          </cell>
          <cell r="E125" t="str">
            <v>TP/0043</v>
          </cell>
          <cell r="F125">
            <v>45882</v>
          </cell>
          <cell r="G125">
            <v>45882</v>
          </cell>
          <cell r="H125" t="str">
            <v>Sustitución contador en Antoñana</v>
          </cell>
          <cell r="I125" t="str">
            <v>Sustitución contador</v>
          </cell>
          <cell r="J125" t="str">
            <v>Antoñana</v>
          </cell>
          <cell r="M125">
            <v>42.693249999999999</v>
          </cell>
          <cell r="N125">
            <v>-2.4169722222222223</v>
          </cell>
          <cell r="O125" t="b">
            <v>1</v>
          </cell>
          <cell r="Q125">
            <v>6</v>
          </cell>
          <cell r="R125">
            <v>6</v>
          </cell>
        </row>
        <row r="126">
          <cell r="B126" t="str">
            <v>Distribución</v>
          </cell>
          <cell r="C126">
            <v>2</v>
          </cell>
          <cell r="D126">
            <v>10</v>
          </cell>
          <cell r="E126" t="str">
            <v>TP/0044</v>
          </cell>
          <cell r="F126">
            <v>45882</v>
          </cell>
          <cell r="G126">
            <v>45882</v>
          </cell>
          <cell r="H126" t="str">
            <v>Sustitución contador en Oreitia</v>
          </cell>
          <cell r="I126" t="str">
            <v>Sustitución contador</v>
          </cell>
          <cell r="J126" t="str">
            <v>Oreitia</v>
          </cell>
          <cell r="M126">
            <v>42.85702777777778</v>
          </cell>
          <cell r="N126">
            <v>-2.5839166666666666</v>
          </cell>
          <cell r="O126" t="b">
            <v>1</v>
          </cell>
          <cell r="Q126">
            <v>9</v>
          </cell>
          <cell r="R126">
            <v>9</v>
          </cell>
        </row>
        <row r="127">
          <cell r="B127" t="str">
            <v>Saneamiento</v>
          </cell>
          <cell r="C127">
            <v>2</v>
          </cell>
          <cell r="D127">
            <v>1</v>
          </cell>
          <cell r="E127" t="str">
            <v>TP/0045</v>
          </cell>
          <cell r="F127">
            <v>45882</v>
          </cell>
          <cell r="G127">
            <v>45882</v>
          </cell>
          <cell r="H127" t="str">
            <v>Mantenimiento preventivo de saneamiento en Artzeniaga</v>
          </cell>
          <cell r="I127" t="str">
            <v>Mantenimiento preventivo de saneamiento</v>
          </cell>
          <cell r="J127" t="str">
            <v>Artziniega</v>
          </cell>
          <cell r="M127">
            <v>43.121361111111113</v>
          </cell>
          <cell r="N127">
            <v>-3.1508611111111113</v>
          </cell>
          <cell r="O127" t="b">
            <v>1</v>
          </cell>
          <cell r="Q127">
            <v>1</v>
          </cell>
          <cell r="R127">
            <v>2</v>
          </cell>
        </row>
        <row r="128">
          <cell r="B128" t="str">
            <v>Distribución</v>
          </cell>
          <cell r="C128">
            <v>1</v>
          </cell>
          <cell r="E128" t="str">
            <v>OT/0173</v>
          </cell>
          <cell r="F128">
            <v>45883</v>
          </cell>
          <cell r="G128">
            <v>45883</v>
          </cell>
          <cell r="H128" t="str">
            <v>Reparación de fuga en Larraño( Llodio)</v>
          </cell>
          <cell r="I128" t="str">
            <v>Reparación de fuga en Larraño, Llodio</v>
          </cell>
          <cell r="J128" t="str">
            <v>Llodio</v>
          </cell>
          <cell r="M128">
            <v>43.147694444444447</v>
          </cell>
          <cell r="N128">
            <v>-3.0011388888888888</v>
          </cell>
          <cell r="O128" t="b">
            <v>1</v>
          </cell>
          <cell r="Q128">
            <v>1</v>
          </cell>
          <cell r="R128">
            <v>1</v>
          </cell>
          <cell r="S128">
            <v>1</v>
          </cell>
        </row>
        <row r="129">
          <cell r="B129" t="str">
            <v>Distribución</v>
          </cell>
          <cell r="C129">
            <v>1</v>
          </cell>
          <cell r="E129" t="str">
            <v>OT/0174</v>
          </cell>
          <cell r="F129">
            <v>45883</v>
          </cell>
          <cell r="G129">
            <v>45883</v>
          </cell>
          <cell r="H129" t="str">
            <v>Reparación de fuga en Llodio</v>
          </cell>
          <cell r="I129" t="str">
            <v>Reparación de fuga. Acometida.</v>
          </cell>
          <cell r="J129" t="str">
            <v>Llodio</v>
          </cell>
          <cell r="M129">
            <v>43.143833333333333</v>
          </cell>
          <cell r="N129">
            <v>-2.98475</v>
          </cell>
          <cell r="O129" t="b">
            <v>1</v>
          </cell>
          <cell r="Q129">
            <v>1</v>
          </cell>
          <cell r="R129">
            <v>1</v>
          </cell>
          <cell r="S129">
            <v>1</v>
          </cell>
        </row>
        <row r="130">
          <cell r="B130" t="str">
            <v>Saneamiento</v>
          </cell>
          <cell r="C130">
            <v>2</v>
          </cell>
          <cell r="D130">
            <v>1</v>
          </cell>
          <cell r="E130" t="str">
            <v>TP/0046</v>
          </cell>
          <cell r="F130">
            <v>45883</v>
          </cell>
          <cell r="G130">
            <v>45883</v>
          </cell>
          <cell r="H130" t="str">
            <v>Limpieza de mantenimiento preventivo saneamiento en Artzeniaga</v>
          </cell>
          <cell r="I130" t="str">
            <v>Limpieza de mantenimiento preventivo saneamiento</v>
          </cell>
          <cell r="J130" t="str">
            <v>Artziniega</v>
          </cell>
          <cell r="M130">
            <v>43.122750000000003</v>
          </cell>
          <cell r="N130">
            <v>-3.1516944444444444</v>
          </cell>
          <cell r="O130" t="b">
            <v>1</v>
          </cell>
          <cell r="Q130">
            <v>1</v>
          </cell>
          <cell r="R130">
            <v>2</v>
          </cell>
        </row>
        <row r="131">
          <cell r="B131" t="str">
            <v>Distribución</v>
          </cell>
          <cell r="C131">
            <v>1</v>
          </cell>
          <cell r="E131" t="str">
            <v>OT/0175</v>
          </cell>
          <cell r="F131">
            <v>45883</v>
          </cell>
          <cell r="G131">
            <v>45883</v>
          </cell>
          <cell r="H131" t="str">
            <v>Reparacion de fuga por aviso en Jokano</v>
          </cell>
          <cell r="I131" t="str">
            <v>Reparacion de fuga por aviso</v>
          </cell>
          <cell r="J131" t="str">
            <v>Jokano</v>
          </cell>
          <cell r="M131">
            <v>42.87188888888889</v>
          </cell>
          <cell r="N131">
            <v>-2.951972222222222</v>
          </cell>
          <cell r="O131" t="b">
            <v>1</v>
          </cell>
          <cell r="Q131">
            <v>5</v>
          </cell>
          <cell r="R131">
            <v>5</v>
          </cell>
          <cell r="S131">
            <v>1</v>
          </cell>
        </row>
        <row r="132">
          <cell r="B132" t="str">
            <v>Distribución</v>
          </cell>
          <cell r="C132">
            <v>2</v>
          </cell>
          <cell r="D132">
            <v>14</v>
          </cell>
          <cell r="E132" t="str">
            <v>TP/0047</v>
          </cell>
          <cell r="F132">
            <v>45883</v>
          </cell>
          <cell r="G132">
            <v>45883</v>
          </cell>
          <cell r="H132" t="str">
            <v>Maniobras de válvulas en Landa</v>
          </cell>
          <cell r="I132" t="str">
            <v>Maniobras de válvulas</v>
          </cell>
          <cell r="J132" t="str">
            <v>Landa</v>
          </cell>
          <cell r="M132">
            <v>42.958194444444445</v>
          </cell>
          <cell r="N132">
            <v>-2.6189166666666668</v>
          </cell>
          <cell r="O132" t="b">
            <v>1</v>
          </cell>
          <cell r="Q132">
            <v>4</v>
          </cell>
          <cell r="R132">
            <v>4</v>
          </cell>
        </row>
        <row r="133">
          <cell r="B133" t="str">
            <v>Distribución</v>
          </cell>
          <cell r="C133">
            <v>2</v>
          </cell>
          <cell r="D133">
            <v>14</v>
          </cell>
          <cell r="E133" t="str">
            <v>TP/0048</v>
          </cell>
          <cell r="F133">
            <v>45883</v>
          </cell>
          <cell r="G133">
            <v>45883</v>
          </cell>
          <cell r="H133" t="str">
            <v>Sustitución y limpieza de ventosas en Elosu</v>
          </cell>
          <cell r="I133" t="str">
            <v>Sustitución y limpieza de ventosas en Elosu</v>
          </cell>
          <cell r="J133" t="str">
            <v>Elosu</v>
          </cell>
          <cell r="M133">
            <v>42.976083333333335</v>
          </cell>
          <cell r="N133">
            <v>-2.7025277777777776</v>
          </cell>
          <cell r="O133" t="b">
            <v>1</v>
          </cell>
          <cell r="Q133">
            <v>4</v>
          </cell>
          <cell r="R133">
            <v>4</v>
          </cell>
        </row>
        <row r="134">
          <cell r="B134" t="str">
            <v>Distribución</v>
          </cell>
          <cell r="C134">
            <v>1</v>
          </cell>
          <cell r="E134" t="str">
            <v>OT/0176</v>
          </cell>
          <cell r="F134">
            <v>45883</v>
          </cell>
          <cell r="G134">
            <v>45883</v>
          </cell>
          <cell r="H134" t="str">
            <v>Inspección de tuberías con cámara en Colegio La Milagrosa (Llodio)</v>
          </cell>
          <cell r="I134" t="str">
            <v>Inspección de tuberías con cámara</v>
          </cell>
          <cell r="J134" t="str">
            <v>Llodio</v>
          </cell>
          <cell r="M134">
            <v>43.147194444444445</v>
          </cell>
          <cell r="N134">
            <v>-3.0028055555555557</v>
          </cell>
          <cell r="O134" t="b">
            <v>1</v>
          </cell>
          <cell r="Q134">
            <v>1</v>
          </cell>
          <cell r="R134">
            <v>1</v>
          </cell>
          <cell r="S134">
            <v>3</v>
          </cell>
        </row>
        <row r="135">
          <cell r="B135" t="str">
            <v>Saneamiento</v>
          </cell>
          <cell r="C135">
            <v>2</v>
          </cell>
          <cell r="D135">
            <v>1</v>
          </cell>
          <cell r="E135" t="str">
            <v>TP/0049</v>
          </cell>
          <cell r="F135">
            <v>45883</v>
          </cell>
          <cell r="G135">
            <v>45883</v>
          </cell>
          <cell r="H135" t="str">
            <v>Mantenimiento preventivo de saneamiento de las fosas de Tamices en Onsoño</v>
          </cell>
          <cell r="I135" t="str">
            <v>Mantenimiento preventivo de saneamiento de las fosas de Tamices</v>
          </cell>
          <cell r="J135" t="str">
            <v>Onsoño-Amurrio</v>
          </cell>
          <cell r="M135">
            <v>43.060499999999998</v>
          </cell>
          <cell r="N135">
            <v>-2.9697500000000003</v>
          </cell>
          <cell r="O135" t="b">
            <v>1</v>
          </cell>
          <cell r="Q135">
            <v>1</v>
          </cell>
          <cell r="R135">
            <v>1</v>
          </cell>
        </row>
        <row r="136">
          <cell r="B136" t="str">
            <v>Saneamiento</v>
          </cell>
          <cell r="C136">
            <v>1</v>
          </cell>
          <cell r="E136" t="str">
            <v>OT/0177</v>
          </cell>
          <cell r="F136">
            <v>45884</v>
          </cell>
          <cell r="G136">
            <v>45884</v>
          </cell>
          <cell r="H136" t="str">
            <v>Atasco en Amurrio</v>
          </cell>
          <cell r="I136" t="str">
            <v>Atasco en Amurrio</v>
          </cell>
          <cell r="J136" t="str">
            <v>Amurrio</v>
          </cell>
          <cell r="M136">
            <v>43.052944444444442</v>
          </cell>
          <cell r="N136">
            <v>-3.0366944444444446</v>
          </cell>
          <cell r="O136" t="b">
            <v>1</v>
          </cell>
          <cell r="Q136">
            <v>1</v>
          </cell>
          <cell r="R136">
            <v>1</v>
          </cell>
          <cell r="S136">
            <v>2</v>
          </cell>
        </row>
        <row r="137">
          <cell r="B137" t="str">
            <v>Distribución</v>
          </cell>
          <cell r="C137">
            <v>1</v>
          </cell>
          <cell r="E137" t="str">
            <v>OT/0178</v>
          </cell>
          <cell r="F137">
            <v>45884</v>
          </cell>
          <cell r="G137">
            <v>45884</v>
          </cell>
          <cell r="H137" t="str">
            <v>Fuga de agua en Sojoguti (Concejo municipio Artzeniaga)</v>
          </cell>
          <cell r="I137" t="str">
            <v>Fuga de agua en Sojoguti</v>
          </cell>
          <cell r="J137" t="str">
            <v>Sojoguti/Artzeniaga</v>
          </cell>
          <cell r="M137">
            <v>43.112277777777777</v>
          </cell>
          <cell r="N137">
            <v>-3.1536388888888891</v>
          </cell>
          <cell r="O137" t="b">
            <v>1</v>
          </cell>
          <cell r="Q137">
            <v>1</v>
          </cell>
          <cell r="R137">
            <v>1</v>
          </cell>
          <cell r="S137">
            <v>1</v>
          </cell>
        </row>
        <row r="138">
          <cell r="B138" t="str">
            <v>Saneamiento</v>
          </cell>
          <cell r="C138">
            <v>1</v>
          </cell>
          <cell r="E138" t="str">
            <v>OT/0179</v>
          </cell>
          <cell r="F138">
            <v>45884</v>
          </cell>
          <cell r="G138">
            <v>45884</v>
          </cell>
          <cell r="H138" t="str">
            <v>Atasco de saneamiento en Amurrio</v>
          </cell>
          <cell r="I138" t="str">
            <v>Atasco de saneamiento</v>
          </cell>
          <cell r="J138" t="str">
            <v>Amurrio</v>
          </cell>
          <cell r="M138">
            <v>43.052833333333332</v>
          </cell>
          <cell r="N138">
            <v>-3.0372499999999998</v>
          </cell>
          <cell r="O138" t="b">
            <v>1</v>
          </cell>
          <cell r="Q138">
            <v>1</v>
          </cell>
          <cell r="R138">
            <v>1</v>
          </cell>
          <cell r="S138">
            <v>2</v>
          </cell>
        </row>
        <row r="139">
          <cell r="B139" t="str">
            <v>Distribución</v>
          </cell>
          <cell r="C139">
            <v>1</v>
          </cell>
          <cell r="E139" t="str">
            <v>OT/0180</v>
          </cell>
          <cell r="F139">
            <v>45884</v>
          </cell>
          <cell r="G139">
            <v>45884</v>
          </cell>
          <cell r="H139" t="str">
            <v>Reparación de fuga en acometida  en Retes de Llanteno</v>
          </cell>
          <cell r="I139" t="str">
            <v>Reparación de fuga en acometida. Hormigonado y asfaltado.</v>
          </cell>
          <cell r="J139" t="str">
            <v>Retes de Llanteno</v>
          </cell>
          <cell r="M139">
            <v>43.091444444444448</v>
          </cell>
          <cell r="N139">
            <v>-3.1375277777777777</v>
          </cell>
          <cell r="O139" t="b">
            <v>1</v>
          </cell>
          <cell r="Q139">
            <v>1</v>
          </cell>
          <cell r="R139">
            <v>1</v>
          </cell>
          <cell r="S139">
            <v>1</v>
          </cell>
        </row>
        <row r="140">
          <cell r="B140" t="str">
            <v>Distribución</v>
          </cell>
          <cell r="C140">
            <v>1</v>
          </cell>
          <cell r="E140" t="str">
            <v>OT/0181</v>
          </cell>
          <cell r="F140">
            <v>45885</v>
          </cell>
          <cell r="G140">
            <v>45885</v>
          </cell>
          <cell r="H140" t="str">
            <v>Reparación avería en Llodio</v>
          </cell>
          <cell r="I140" t="str">
            <v>Picado y reparación de reventón. Preparación para hormigonado. Desescombrar. Hormigonado y recorte de baldosa. Embaldosado.</v>
          </cell>
          <cell r="J140" t="str">
            <v>Llodio</v>
          </cell>
          <cell r="M140">
            <v>43.142277777777778</v>
          </cell>
          <cell r="N140">
            <v>-2.9878055555555556</v>
          </cell>
          <cell r="O140" t="b">
            <v>1</v>
          </cell>
          <cell r="Q140">
            <v>1</v>
          </cell>
          <cell r="R140">
            <v>1</v>
          </cell>
          <cell r="S140">
            <v>3</v>
          </cell>
        </row>
        <row r="141">
          <cell r="B141" t="str">
            <v>Distribución</v>
          </cell>
          <cell r="C141">
            <v>1</v>
          </cell>
          <cell r="E141" t="str">
            <v>OT/0182</v>
          </cell>
          <cell r="F141">
            <v>45885</v>
          </cell>
          <cell r="G141">
            <v>45885</v>
          </cell>
          <cell r="H141" t="str">
            <v>Fuga de agua en Berganza</v>
          </cell>
          <cell r="I141" t="str">
            <v>Fuga de agua en Berganza</v>
          </cell>
          <cell r="J141" t="str">
            <v>Berganza-Baranbio</v>
          </cell>
          <cell r="M141">
            <v>43.121305555555558</v>
          </cell>
          <cell r="N141">
            <v>-3.1547499999999999</v>
          </cell>
          <cell r="O141" t="b">
            <v>1</v>
          </cell>
          <cell r="Q141">
            <v>1</v>
          </cell>
          <cell r="R141">
            <v>1</v>
          </cell>
          <cell r="S141">
            <v>1</v>
          </cell>
        </row>
        <row r="142">
          <cell r="B142" t="str">
            <v>Saneamiento</v>
          </cell>
          <cell r="C142">
            <v>1</v>
          </cell>
          <cell r="E142" t="str">
            <v>OT/0183</v>
          </cell>
          <cell r="F142">
            <v>45885</v>
          </cell>
          <cell r="G142">
            <v>45885</v>
          </cell>
          <cell r="H142" t="str">
            <v>Atasco en Landaluce, Llodio</v>
          </cell>
          <cell r="I142" t="str">
            <v>Atasco en Landaluce, Llodio</v>
          </cell>
          <cell r="J142" t="str">
            <v>Llodio</v>
          </cell>
          <cell r="M142">
            <v>43.140472222222222</v>
          </cell>
          <cell r="N142">
            <v>-3.0050277777777779</v>
          </cell>
          <cell r="O142" t="b">
            <v>1</v>
          </cell>
          <cell r="Q142">
            <v>1</v>
          </cell>
          <cell r="R142">
            <v>4</v>
          </cell>
          <cell r="S142">
            <v>2</v>
          </cell>
        </row>
        <row r="143">
          <cell r="B143" t="str">
            <v>Distribución</v>
          </cell>
          <cell r="C143">
            <v>1</v>
          </cell>
          <cell r="E143" t="str">
            <v>OT/0184</v>
          </cell>
          <cell r="F143">
            <v>45886</v>
          </cell>
          <cell r="G143">
            <v>45886</v>
          </cell>
          <cell r="H143" t="str">
            <v>Fuga de agua en Erbi</v>
          </cell>
          <cell r="I143" t="str">
            <v>Fuga de agua en Erbi</v>
          </cell>
          <cell r="J143" t="str">
            <v>Erbi</v>
          </cell>
          <cell r="M143">
            <v>43.075055555555558</v>
          </cell>
          <cell r="N143">
            <v>-3.138638888888889</v>
          </cell>
          <cell r="O143" t="b">
            <v>1</v>
          </cell>
          <cell r="Q143">
            <v>1</v>
          </cell>
          <cell r="R143">
            <v>1</v>
          </cell>
          <cell r="S143">
            <v>1</v>
          </cell>
        </row>
        <row r="144">
          <cell r="B144" t="str">
            <v>Saneamiento</v>
          </cell>
          <cell r="C144">
            <v>1</v>
          </cell>
          <cell r="E144" t="str">
            <v>OT/0185</v>
          </cell>
          <cell r="F144">
            <v>45886</v>
          </cell>
          <cell r="G144">
            <v>45886</v>
          </cell>
          <cell r="H144" t="str">
            <v>Atasco de saneamiento en Amurrio</v>
          </cell>
          <cell r="I144" t="str">
            <v>Atasco de saneamiento</v>
          </cell>
          <cell r="J144" t="str">
            <v>Amurrio</v>
          </cell>
          <cell r="M144">
            <v>43.05394444444444</v>
          </cell>
          <cell r="N144">
            <v>-3.0389166666666667</v>
          </cell>
          <cell r="O144" t="b">
            <v>1</v>
          </cell>
          <cell r="Q144">
            <v>1</v>
          </cell>
          <cell r="R144">
            <v>1</v>
          </cell>
          <cell r="S144">
            <v>2</v>
          </cell>
        </row>
        <row r="145">
          <cell r="B145" t="str">
            <v>Distribución</v>
          </cell>
          <cell r="C145">
            <v>1</v>
          </cell>
          <cell r="E145" t="str">
            <v>OT/0186</v>
          </cell>
          <cell r="F145">
            <v>45887</v>
          </cell>
          <cell r="G145">
            <v>45887</v>
          </cell>
          <cell r="H145" t="str">
            <v>Fuga de agua en Erbi</v>
          </cell>
          <cell r="I145" t="str">
            <v>Fuga de agua en Erbi</v>
          </cell>
          <cell r="J145" t="str">
            <v>Erbi-Ayala</v>
          </cell>
          <cell r="M145">
            <v>43.075194444444449</v>
          </cell>
          <cell r="N145">
            <v>-3.1391944444444446</v>
          </cell>
          <cell r="O145" t="b">
            <v>1</v>
          </cell>
          <cell r="Q145">
            <v>1</v>
          </cell>
          <cell r="R145">
            <v>1</v>
          </cell>
          <cell r="S145">
            <v>1</v>
          </cell>
        </row>
        <row r="146">
          <cell r="B146" t="str">
            <v>Distribución</v>
          </cell>
          <cell r="C146">
            <v>1</v>
          </cell>
          <cell r="E146" t="str">
            <v>OT/0187</v>
          </cell>
          <cell r="F146">
            <v>45887</v>
          </cell>
          <cell r="G146">
            <v>45887</v>
          </cell>
          <cell r="H146" t="str">
            <v>Fuga de agua en Berganza</v>
          </cell>
          <cell r="I146" t="str">
            <v>Fuga de agua</v>
          </cell>
          <cell r="J146" t="str">
            <v>Berganza-Baranbio</v>
          </cell>
          <cell r="M146">
            <v>43.121305555555558</v>
          </cell>
          <cell r="N146">
            <v>-3.156138888888889</v>
          </cell>
          <cell r="O146" t="b">
            <v>1</v>
          </cell>
          <cell r="Q146">
            <v>1</v>
          </cell>
          <cell r="R146">
            <v>1</v>
          </cell>
          <cell r="S146">
            <v>1</v>
          </cell>
        </row>
        <row r="147">
          <cell r="B147" t="str">
            <v>Saneamiento</v>
          </cell>
          <cell r="C147">
            <v>2</v>
          </cell>
          <cell r="D147">
            <v>1</v>
          </cell>
          <cell r="E147" t="str">
            <v>TP/0050</v>
          </cell>
          <cell r="F147">
            <v>45887</v>
          </cell>
          <cell r="G147">
            <v>45887</v>
          </cell>
          <cell r="H147" t="str">
            <v>Mantenimiento preventivo con camión de saneamiento en Llodio</v>
          </cell>
          <cell r="I147" t="str">
            <v>Mantenimiento preventivo con camión de saneamient en Llodio: Goikoplaza, Tubacex, Zumalakarregi.</v>
          </cell>
          <cell r="J147" t="str">
            <v>Llodio</v>
          </cell>
          <cell r="M147">
            <v>43.138222222222218</v>
          </cell>
          <cell r="N147">
            <v>-2.9897500000000004</v>
          </cell>
          <cell r="O147" t="b">
            <v>1</v>
          </cell>
          <cell r="Q147">
            <v>1</v>
          </cell>
          <cell r="R147">
            <v>4</v>
          </cell>
        </row>
        <row r="148">
          <cell r="B148" t="str">
            <v>Distribución</v>
          </cell>
          <cell r="C148">
            <v>1</v>
          </cell>
          <cell r="E148" t="str">
            <v>OT/0188</v>
          </cell>
          <cell r="F148">
            <v>45887</v>
          </cell>
          <cell r="G148">
            <v>45887</v>
          </cell>
          <cell r="H148" t="str">
            <v>Reparación de fuga y tapado de cata en Zambrana</v>
          </cell>
          <cell r="I148" t="str">
            <v>Reparación de fuga y tapado de cata</v>
          </cell>
          <cell r="J148" t="str">
            <v>Zambrana</v>
          </cell>
          <cell r="M148">
            <v>42.661527777777778</v>
          </cell>
          <cell r="N148">
            <v>-2.9066944444444447</v>
          </cell>
          <cell r="O148" t="b">
            <v>1</v>
          </cell>
          <cell r="Q148">
            <v>5</v>
          </cell>
          <cell r="R148">
            <v>5</v>
          </cell>
          <cell r="S148">
            <v>1</v>
          </cell>
        </row>
        <row r="149">
          <cell r="B149" t="str">
            <v>Distribución</v>
          </cell>
          <cell r="C149">
            <v>2</v>
          </cell>
          <cell r="D149">
            <v>8</v>
          </cell>
          <cell r="E149" t="str">
            <v>TP/0051</v>
          </cell>
          <cell r="F149">
            <v>45887</v>
          </cell>
          <cell r="G149">
            <v>45887</v>
          </cell>
          <cell r="H149" t="str">
            <v>Retirada de contadores en Amurrio</v>
          </cell>
          <cell r="I149" t="str">
            <v>Retirada de contadores de txonas, etc.</v>
          </cell>
          <cell r="J149" t="str">
            <v>Amurrio</v>
          </cell>
          <cell r="M149">
            <v>43.049916666666668</v>
          </cell>
          <cell r="N149">
            <v>-3.0236388888888888</v>
          </cell>
          <cell r="O149" t="b">
            <v>1</v>
          </cell>
          <cell r="Q149">
            <v>1</v>
          </cell>
          <cell r="R149">
            <v>1</v>
          </cell>
        </row>
        <row r="150">
          <cell r="B150" t="str">
            <v>Distribución</v>
          </cell>
          <cell r="C150">
            <v>1</v>
          </cell>
          <cell r="E150" t="str">
            <v>OT/0189</v>
          </cell>
          <cell r="F150">
            <v>45888</v>
          </cell>
          <cell r="G150">
            <v>45888</v>
          </cell>
          <cell r="H150" t="str">
            <v>Fuga de agua en Zambrana</v>
          </cell>
          <cell r="I150" t="str">
            <v>Fuga de agua en Zambrana</v>
          </cell>
          <cell r="J150" t="str">
            <v>Zambrana</v>
          </cell>
          <cell r="M150">
            <v>42.664055555555557</v>
          </cell>
          <cell r="N150">
            <v>-2.9072499999999999</v>
          </cell>
          <cell r="O150" t="b">
            <v>1</v>
          </cell>
          <cell r="Q150">
            <v>5</v>
          </cell>
          <cell r="R150">
            <v>5</v>
          </cell>
          <cell r="S150">
            <v>1</v>
          </cell>
        </row>
        <row r="151">
          <cell r="B151" t="str">
            <v>Distribución</v>
          </cell>
          <cell r="C151">
            <v>1</v>
          </cell>
          <cell r="E151" t="str">
            <v>OT/0190</v>
          </cell>
          <cell r="F151">
            <v>45888</v>
          </cell>
          <cell r="G151">
            <v>45888</v>
          </cell>
          <cell r="H151" t="str">
            <v>Fuga de agua en Lujatea (Erbi)</v>
          </cell>
          <cell r="I151" t="str">
            <v>Fuga de agua en Lujatea</v>
          </cell>
          <cell r="J151" t="str">
            <v>Lujatea-Erbi</v>
          </cell>
          <cell r="M151">
            <v>43.077500000000001</v>
          </cell>
          <cell r="N151">
            <v>-3.1408611111111111</v>
          </cell>
          <cell r="O151" t="b">
            <v>1</v>
          </cell>
          <cell r="Q151">
            <v>1</v>
          </cell>
          <cell r="R151">
            <v>1</v>
          </cell>
          <cell r="S151">
            <v>1</v>
          </cell>
        </row>
        <row r="152">
          <cell r="B152" t="str">
            <v>Distribución</v>
          </cell>
          <cell r="C152">
            <v>2</v>
          </cell>
          <cell r="D152">
            <v>1</v>
          </cell>
          <cell r="E152" t="str">
            <v>TP/0052</v>
          </cell>
          <cell r="F152">
            <v>45888</v>
          </cell>
          <cell r="G152">
            <v>45888</v>
          </cell>
          <cell r="H152" t="str">
            <v>Limpieza de red de saneamiento en Pinedo</v>
          </cell>
          <cell r="I152" t="str">
            <v>Limpieza de red de saneamiento</v>
          </cell>
          <cell r="J152" t="str">
            <v>Pinedo</v>
          </cell>
          <cell r="M152">
            <v>42.875500000000002</v>
          </cell>
          <cell r="N152">
            <v>-3.1744722222222221</v>
          </cell>
          <cell r="O152" t="b">
            <v>1</v>
          </cell>
          <cell r="Q152">
            <v>5</v>
          </cell>
          <cell r="R152">
            <v>5</v>
          </cell>
        </row>
        <row r="153">
          <cell r="B153" t="str">
            <v>Depuración</v>
          </cell>
          <cell r="C153">
            <v>2</v>
          </cell>
          <cell r="D153">
            <v>3</v>
          </cell>
          <cell r="E153" t="str">
            <v>TP/0053</v>
          </cell>
          <cell r="F153">
            <v>45888</v>
          </cell>
          <cell r="G153">
            <v>45888</v>
          </cell>
          <cell r="H153" t="str">
            <v>Limpieza fosa séptica en Durana</v>
          </cell>
          <cell r="I153" t="str">
            <v>Limpieza fosa séptica. Picar arquetas, preparar y colocar tapas de arquetas. Hormigonar. Recoger escombros.</v>
          </cell>
          <cell r="J153" t="str">
            <v>Durana</v>
          </cell>
          <cell r="M153">
            <v>42.890166666666666</v>
          </cell>
          <cell r="N153">
            <v>-2.67475</v>
          </cell>
          <cell r="O153" t="b">
            <v>1</v>
          </cell>
          <cell r="Q153">
            <v>4</v>
          </cell>
          <cell r="R153">
            <v>4</v>
          </cell>
        </row>
        <row r="154">
          <cell r="B154" t="str">
            <v>Distribución</v>
          </cell>
          <cell r="C154">
            <v>2</v>
          </cell>
          <cell r="D154">
            <v>8</v>
          </cell>
          <cell r="E154" t="str">
            <v>TP/0054</v>
          </cell>
          <cell r="F154">
            <v>45888</v>
          </cell>
          <cell r="G154">
            <v>45888</v>
          </cell>
          <cell r="H154" t="str">
            <v>Instalación de contador en Llodio</v>
          </cell>
          <cell r="I154" t="str">
            <v>Instalación de contador en el rocódromo de Llodio</v>
          </cell>
          <cell r="J154" t="str">
            <v>Llodio</v>
          </cell>
          <cell r="M154">
            <v>43.137138888888892</v>
          </cell>
          <cell r="N154">
            <v>-2.9916944444444447</v>
          </cell>
          <cell r="O154" t="b">
            <v>1</v>
          </cell>
          <cell r="Q154">
            <v>1</v>
          </cell>
          <cell r="R154">
            <v>1</v>
          </cell>
        </row>
        <row r="155">
          <cell r="B155" t="str">
            <v>Depuración</v>
          </cell>
          <cell r="C155">
            <v>2</v>
          </cell>
          <cell r="D155">
            <v>3</v>
          </cell>
          <cell r="E155" t="str">
            <v>TP/0055</v>
          </cell>
          <cell r="F155">
            <v>45888</v>
          </cell>
          <cell r="G155">
            <v>45888</v>
          </cell>
          <cell r="H155" t="str">
            <v>Limpieza de la Fosa de Izoria</v>
          </cell>
          <cell r="I155" t="str">
            <v>Mantenimiento de la Fosa de Izoria</v>
          </cell>
          <cell r="J155" t="str">
            <v>Izoria</v>
          </cell>
          <cell r="M155">
            <v>43.06111111111111</v>
          </cell>
          <cell r="N155">
            <v>-3.0753055555555555</v>
          </cell>
          <cell r="O155" t="b">
            <v>1</v>
          </cell>
          <cell r="Q155">
            <v>1</v>
          </cell>
          <cell r="R155">
            <v>1</v>
          </cell>
        </row>
        <row r="156">
          <cell r="B156" t="str">
            <v>Depuración</v>
          </cell>
          <cell r="C156">
            <v>2</v>
          </cell>
          <cell r="D156">
            <v>3</v>
          </cell>
          <cell r="E156" t="str">
            <v>TP/0056</v>
          </cell>
          <cell r="F156">
            <v>45888</v>
          </cell>
          <cell r="G156">
            <v>45888</v>
          </cell>
          <cell r="H156" t="str">
            <v>Limpieza de la fosa Artomaña</v>
          </cell>
          <cell r="I156" t="str">
            <v>Limpieza de la fosa Artomaña</v>
          </cell>
          <cell r="J156" t="str">
            <v>Artomaña-Amurrio</v>
          </cell>
          <cell r="M156">
            <v>42.984194444444448</v>
          </cell>
          <cell r="N156">
            <v>-3.0089166666666669</v>
          </cell>
          <cell r="O156" t="b">
            <v>1</v>
          </cell>
          <cell r="Q156">
            <v>1</v>
          </cell>
          <cell r="R156">
            <v>1</v>
          </cell>
        </row>
        <row r="157">
          <cell r="B157" t="str">
            <v>Distribución</v>
          </cell>
          <cell r="C157">
            <v>1</v>
          </cell>
          <cell r="E157" t="str">
            <v>OT/0191</v>
          </cell>
          <cell r="F157">
            <v>45889</v>
          </cell>
          <cell r="G157">
            <v>45889</v>
          </cell>
          <cell r="H157" t="str">
            <v>Fuga de agua en Opacua</v>
          </cell>
          <cell r="I157" t="str">
            <v>Fugade agua en Opakua</v>
          </cell>
          <cell r="J157" t="str">
            <v>Opacua</v>
          </cell>
          <cell r="M157">
            <v>42.82866666666667</v>
          </cell>
          <cell r="N157">
            <v>-2.392527777777778</v>
          </cell>
          <cell r="O157" t="b">
            <v>1</v>
          </cell>
          <cell r="Q157">
            <v>3</v>
          </cell>
          <cell r="R157">
            <v>3</v>
          </cell>
          <cell r="S157">
            <v>1</v>
          </cell>
        </row>
        <row r="158">
          <cell r="B158" t="str">
            <v>Distribución</v>
          </cell>
          <cell r="C158">
            <v>1</v>
          </cell>
          <cell r="E158" t="str">
            <v>OT/0192</v>
          </cell>
          <cell r="F158">
            <v>45889</v>
          </cell>
          <cell r="G158">
            <v>45889</v>
          </cell>
          <cell r="H158" t="str">
            <v>Aviso de usuario por presión en Ribabellosa</v>
          </cell>
          <cell r="I158" t="str">
            <v>Aviso de usuario por presión</v>
          </cell>
          <cell r="J158" t="str">
            <v>Ribabellosa</v>
          </cell>
          <cell r="M158">
            <v>42.708555555555556</v>
          </cell>
          <cell r="N158">
            <v>-2.9594722222222223</v>
          </cell>
          <cell r="O158" t="b">
            <v>1</v>
          </cell>
          <cell r="Q158">
            <v>5</v>
          </cell>
          <cell r="R158">
            <v>5</v>
          </cell>
          <cell r="S158">
            <v>3</v>
          </cell>
        </row>
        <row r="159">
          <cell r="B159" t="str">
            <v>Distribución</v>
          </cell>
          <cell r="C159">
            <v>1</v>
          </cell>
          <cell r="E159" t="str">
            <v>OT/0193</v>
          </cell>
          <cell r="F159">
            <v>45889</v>
          </cell>
          <cell r="G159">
            <v>45889</v>
          </cell>
          <cell r="H159" t="str">
            <v>Cambio de contador y reductora en mal estado en Amurrio</v>
          </cell>
          <cell r="I159" t="str">
            <v>Cambio de contador y reductora en mal estado</v>
          </cell>
          <cell r="J159" t="str">
            <v>Amurrio</v>
          </cell>
          <cell r="M159">
            <v>43.053055555555552</v>
          </cell>
          <cell r="N159">
            <v>-3.0430833333333331</v>
          </cell>
          <cell r="O159" t="b">
            <v>1</v>
          </cell>
          <cell r="Q159">
            <v>1</v>
          </cell>
          <cell r="R159">
            <v>1</v>
          </cell>
          <cell r="S159">
            <v>3</v>
          </cell>
        </row>
        <row r="160">
          <cell r="B160" t="str">
            <v>Distribución</v>
          </cell>
          <cell r="C160">
            <v>2</v>
          </cell>
          <cell r="D160">
            <v>8</v>
          </cell>
          <cell r="E160" t="str">
            <v>TP/0057</v>
          </cell>
          <cell r="F160">
            <v>45889</v>
          </cell>
          <cell r="G160">
            <v>45889</v>
          </cell>
          <cell r="H160" t="str">
            <v>Alta contador en Llodio</v>
          </cell>
          <cell r="I160" t="str">
            <v>Alta contador</v>
          </cell>
          <cell r="J160" t="str">
            <v>Llodio</v>
          </cell>
          <cell r="M160">
            <v>43.137194444444447</v>
          </cell>
          <cell r="N160">
            <v>-2.9933611111111111</v>
          </cell>
          <cell r="O160" t="b">
            <v>1</v>
          </cell>
          <cell r="Q160">
            <v>1</v>
          </cell>
          <cell r="R160">
            <v>1</v>
          </cell>
        </row>
        <row r="161">
          <cell r="B161" t="str">
            <v>Distribución</v>
          </cell>
          <cell r="C161">
            <v>2</v>
          </cell>
          <cell r="D161">
            <v>8</v>
          </cell>
          <cell r="E161" t="str">
            <v>TP/0058</v>
          </cell>
          <cell r="F161">
            <v>45889</v>
          </cell>
          <cell r="G161">
            <v>45889</v>
          </cell>
          <cell r="H161" t="str">
            <v>Alta contador en Llodio</v>
          </cell>
          <cell r="I161" t="str">
            <v>Alta contador</v>
          </cell>
          <cell r="J161" t="str">
            <v>Llodio</v>
          </cell>
          <cell r="M161">
            <v>43.141888888888886</v>
          </cell>
          <cell r="N161">
            <v>-2.993638888888889</v>
          </cell>
          <cell r="O161" t="b">
            <v>1</v>
          </cell>
          <cell r="Q161">
            <v>1</v>
          </cell>
          <cell r="R161">
            <v>1</v>
          </cell>
        </row>
        <row r="162">
          <cell r="B162" t="str">
            <v>Depuración</v>
          </cell>
          <cell r="C162">
            <v>2</v>
          </cell>
          <cell r="D162">
            <v>3</v>
          </cell>
          <cell r="E162" t="str">
            <v>TP/0059</v>
          </cell>
          <cell r="F162">
            <v>45889</v>
          </cell>
          <cell r="G162">
            <v>45889</v>
          </cell>
          <cell r="H162" t="str">
            <v>Mantenimiento fosa séptica Elburgo</v>
          </cell>
          <cell r="I162" t="str">
            <v>Mantenimiento fosa séptica, desbrozar fosa séptica</v>
          </cell>
          <cell r="J162" t="str">
            <v>Elburgo</v>
          </cell>
          <cell r="M162">
            <v>42.84952777777778</v>
          </cell>
          <cell r="N162">
            <v>-2.5772499999999998</v>
          </cell>
          <cell r="O162" t="b">
            <v>1</v>
          </cell>
          <cell r="Q162">
            <v>3</v>
          </cell>
          <cell r="R162">
            <v>3</v>
          </cell>
        </row>
        <row r="163">
          <cell r="B163" t="str">
            <v>Depuración</v>
          </cell>
          <cell r="C163">
            <v>2</v>
          </cell>
          <cell r="D163">
            <v>3</v>
          </cell>
          <cell r="E163" t="str">
            <v>TP/0060</v>
          </cell>
          <cell r="F163">
            <v>45889</v>
          </cell>
          <cell r="G163">
            <v>45889</v>
          </cell>
          <cell r="H163" t="str">
            <v>Mantenimiento fosa séptica Lahoz</v>
          </cell>
          <cell r="I163" t="str">
            <v>Mantenimiento fosa séptica, desbrozar fosa séptica</v>
          </cell>
          <cell r="J163" t="str">
            <v>Lahoz</v>
          </cell>
          <cell r="M163">
            <v>42.884472222222222</v>
          </cell>
          <cell r="N163">
            <v>-3.2775277777777778</v>
          </cell>
          <cell r="O163" t="b">
            <v>1</v>
          </cell>
          <cell r="Q163">
            <v>5</v>
          </cell>
          <cell r="R163">
            <v>5</v>
          </cell>
        </row>
        <row r="164">
          <cell r="B164" t="str">
            <v>Depuración</v>
          </cell>
          <cell r="C164">
            <v>2</v>
          </cell>
          <cell r="D164">
            <v>3</v>
          </cell>
          <cell r="E164" t="str">
            <v>TP/0061</v>
          </cell>
          <cell r="F164">
            <v>45889</v>
          </cell>
          <cell r="G164">
            <v>45889</v>
          </cell>
          <cell r="H164" t="str">
            <v>Mantenimiento fosa séptica en Delika</v>
          </cell>
          <cell r="I164" t="str">
            <v>Mantenimiento fosa séptica</v>
          </cell>
          <cell r="J164" t="str">
            <v>Delika</v>
          </cell>
          <cell r="M164">
            <v>42.969972222222225</v>
          </cell>
          <cell r="N164">
            <v>-3.0278055555555556</v>
          </cell>
          <cell r="O164" t="b">
            <v>1</v>
          </cell>
          <cell r="Q164">
            <v>1</v>
          </cell>
          <cell r="R164">
            <v>1</v>
          </cell>
        </row>
        <row r="165">
          <cell r="B165" t="str">
            <v>Distribución</v>
          </cell>
          <cell r="C165">
            <v>1</v>
          </cell>
          <cell r="E165" t="str">
            <v>OT/0194</v>
          </cell>
          <cell r="F165">
            <v>45889</v>
          </cell>
          <cell r="G165">
            <v>45889</v>
          </cell>
          <cell r="H165" t="str">
            <v>Reparación de fuga en Jokano</v>
          </cell>
          <cell r="I165" t="str">
            <v>Reparación de fuga</v>
          </cell>
          <cell r="J165" t="str">
            <v>Jokano</v>
          </cell>
          <cell r="M165">
            <v>42.87188888888889</v>
          </cell>
          <cell r="N165">
            <v>-2.9614166666666666</v>
          </cell>
          <cell r="O165" t="b">
            <v>1</v>
          </cell>
          <cell r="Q165">
            <v>5</v>
          </cell>
          <cell r="R165">
            <v>5</v>
          </cell>
          <cell r="S165">
            <v>1</v>
          </cell>
        </row>
        <row r="166">
          <cell r="B166" t="str">
            <v>Distribución</v>
          </cell>
          <cell r="C166">
            <v>1</v>
          </cell>
          <cell r="E166" t="str">
            <v>OT/0195</v>
          </cell>
          <cell r="F166">
            <v>45890</v>
          </cell>
          <cell r="G166">
            <v>45890</v>
          </cell>
          <cell r="H166" t="str">
            <v>Reparación de fuga del contador en Maeztu</v>
          </cell>
          <cell r="I166" t="str">
            <v>Reparación de fuga</v>
          </cell>
          <cell r="J166" t="str">
            <v>Maeztu</v>
          </cell>
          <cell r="M166">
            <v>42.739111111111114</v>
          </cell>
          <cell r="N166">
            <v>-2.4783611111111115</v>
          </cell>
          <cell r="O166" t="b">
            <v>1</v>
          </cell>
          <cell r="Q166">
            <v>6</v>
          </cell>
          <cell r="R166">
            <v>6</v>
          </cell>
          <cell r="S166">
            <v>1</v>
          </cell>
        </row>
        <row r="167">
          <cell r="B167" t="str">
            <v>Distribución</v>
          </cell>
          <cell r="C167">
            <v>1</v>
          </cell>
          <cell r="E167" t="str">
            <v>OT/0196</v>
          </cell>
          <cell r="F167">
            <v>45890</v>
          </cell>
          <cell r="G167">
            <v>45890</v>
          </cell>
          <cell r="H167" t="str">
            <v>Aviso de falta de agua en Salinas de Añana</v>
          </cell>
          <cell r="I167" t="str">
            <v>Reductora en mal estado.</v>
          </cell>
          <cell r="J167" t="str">
            <v>Salinas de Añana-AÑANA</v>
          </cell>
          <cell r="M167">
            <v>42.80255555555555</v>
          </cell>
          <cell r="N167">
            <v>-3.0286388888888891</v>
          </cell>
          <cell r="O167" t="b">
            <v>1</v>
          </cell>
          <cell r="Q167">
            <v>5</v>
          </cell>
          <cell r="R167">
            <v>5</v>
          </cell>
          <cell r="S167">
            <v>3</v>
          </cell>
        </row>
        <row r="168">
          <cell r="B168" t="str">
            <v>Depuración</v>
          </cell>
          <cell r="C168">
            <v>2</v>
          </cell>
          <cell r="D168">
            <v>3</v>
          </cell>
          <cell r="E168" t="str">
            <v>TP/0062</v>
          </cell>
          <cell r="F168">
            <v>45890</v>
          </cell>
          <cell r="G168">
            <v>45890</v>
          </cell>
          <cell r="H168" t="str">
            <v>Mantenimiento fosa séptica de San Miguel</v>
          </cell>
          <cell r="I168" t="str">
            <v>Limpieza de la fosa de San Miguel con camión succionador y descarga en la depuradora.</v>
          </cell>
          <cell r="J168" t="str">
            <v>San Miguel</v>
          </cell>
          <cell r="M168">
            <v>42.756972222222224</v>
          </cell>
          <cell r="N168">
            <v>-2.96225</v>
          </cell>
          <cell r="O168" t="b">
            <v>1</v>
          </cell>
          <cell r="Q168">
            <v>5</v>
          </cell>
          <cell r="R168">
            <v>5</v>
          </cell>
        </row>
        <row r="169">
          <cell r="B169" t="str">
            <v>Depuración</v>
          </cell>
          <cell r="C169">
            <v>2</v>
          </cell>
          <cell r="D169">
            <v>3</v>
          </cell>
          <cell r="E169" t="str">
            <v>TP/0063</v>
          </cell>
          <cell r="F169">
            <v>45890</v>
          </cell>
          <cell r="G169">
            <v>45890</v>
          </cell>
          <cell r="H169" t="str">
            <v>Mantenimiento fosa séptica en Artzeniaga</v>
          </cell>
          <cell r="I169" t="str">
            <v>Limpieza de la fosa de Artziniega</v>
          </cell>
          <cell r="J169" t="str">
            <v>Artziniega</v>
          </cell>
          <cell r="M169">
            <v>43.122750000000003</v>
          </cell>
          <cell r="N169">
            <v>-3.1625277777777776</v>
          </cell>
          <cell r="O169" t="b">
            <v>1</v>
          </cell>
          <cell r="Q169">
            <v>1</v>
          </cell>
          <cell r="R169">
            <v>1</v>
          </cell>
        </row>
        <row r="170">
          <cell r="B170" t="str">
            <v>Distribución</v>
          </cell>
          <cell r="C170">
            <v>1</v>
          </cell>
          <cell r="E170" t="str">
            <v>OT/0197</v>
          </cell>
          <cell r="F170">
            <v>45890</v>
          </cell>
          <cell r="G170">
            <v>45890</v>
          </cell>
          <cell r="H170" t="str">
            <v>Recoger escombro en Amurrio</v>
          </cell>
          <cell r="I170" t="str">
            <v>Recoger escombro</v>
          </cell>
          <cell r="J170" t="str">
            <v>Amurrio</v>
          </cell>
          <cell r="M170">
            <v>43.14147222222222</v>
          </cell>
          <cell r="N170">
            <v>-2.9961388888888889</v>
          </cell>
          <cell r="O170" t="b">
            <v>1</v>
          </cell>
          <cell r="Q170">
            <v>1</v>
          </cell>
          <cell r="R170">
            <v>1</v>
          </cell>
          <cell r="S170">
            <v>3</v>
          </cell>
        </row>
        <row r="171">
          <cell r="B171" t="str">
            <v>Distribución</v>
          </cell>
          <cell r="C171">
            <v>1</v>
          </cell>
          <cell r="E171" t="str">
            <v>OT/0198</v>
          </cell>
          <cell r="F171">
            <v>45890</v>
          </cell>
          <cell r="G171">
            <v>45890</v>
          </cell>
          <cell r="H171" t="str">
            <v>Tapado de catas en Menagarai</v>
          </cell>
          <cell r="I171" t="str">
            <v>Tapado de catas</v>
          </cell>
          <cell r="J171" t="str">
            <v>Menagaray</v>
          </cell>
          <cell r="M171">
            <v>43.096444444444444</v>
          </cell>
          <cell r="N171">
            <v>-3.1130833333333334</v>
          </cell>
          <cell r="O171" t="b">
            <v>1</v>
          </cell>
          <cell r="Q171">
            <v>1</v>
          </cell>
          <cell r="R171">
            <v>1</v>
          </cell>
          <cell r="S171">
            <v>3</v>
          </cell>
        </row>
        <row r="172">
          <cell r="B172" t="str">
            <v>Distribución</v>
          </cell>
          <cell r="C172">
            <v>1</v>
          </cell>
          <cell r="E172" t="str">
            <v>OT/0199</v>
          </cell>
          <cell r="F172">
            <v>45890</v>
          </cell>
          <cell r="G172">
            <v>45891</v>
          </cell>
          <cell r="H172" t="str">
            <v>Reparación de fuga en la EDAR Agurain/Salvatierra</v>
          </cell>
          <cell r="I172" t="str">
            <v>Reparación de fuga en la EDAR Agurain</v>
          </cell>
          <cell r="J172" t="str">
            <v>Agurain</v>
          </cell>
          <cell r="M172">
            <v>42.856027777777783</v>
          </cell>
          <cell r="N172">
            <v>-2.4466944444444443</v>
          </cell>
          <cell r="O172" t="b">
            <v>1</v>
          </cell>
          <cell r="Q172">
            <v>3</v>
          </cell>
          <cell r="R172">
            <v>3</v>
          </cell>
          <cell r="S172">
            <v>1</v>
          </cell>
        </row>
        <row r="173">
          <cell r="B173" t="str">
            <v>Distribución</v>
          </cell>
          <cell r="C173">
            <v>1</v>
          </cell>
          <cell r="E173" t="str">
            <v>OT/0200</v>
          </cell>
          <cell r="F173">
            <v>45891</v>
          </cell>
          <cell r="G173">
            <v>45891</v>
          </cell>
          <cell r="H173" t="str">
            <v>Aviso de fuga de agua en Puentelarrá</v>
          </cell>
          <cell r="I173" t="str">
            <v>Aviso de fuga de agua en Puentelarrá por filtro roto</v>
          </cell>
          <cell r="J173" t="str">
            <v>Puentelarra</v>
          </cell>
          <cell r="M173">
            <v>42.75138888888889</v>
          </cell>
          <cell r="N173">
            <v>-3.0803055555555554</v>
          </cell>
          <cell r="O173" t="b">
            <v>1</v>
          </cell>
          <cell r="Q173">
            <v>5</v>
          </cell>
          <cell r="R173">
            <v>5</v>
          </cell>
          <cell r="S173">
            <v>1</v>
          </cell>
        </row>
        <row r="174">
          <cell r="B174" t="str">
            <v>Distribución</v>
          </cell>
          <cell r="C174">
            <v>2</v>
          </cell>
          <cell r="D174">
            <v>8</v>
          </cell>
          <cell r="E174" t="str">
            <v>TP/0064</v>
          </cell>
          <cell r="F174">
            <v>45891</v>
          </cell>
          <cell r="G174">
            <v>45891</v>
          </cell>
          <cell r="H174" t="str">
            <v>Alta contador en Antezana de la Ribera</v>
          </cell>
          <cell r="I174" t="str">
            <v>Alta contador</v>
          </cell>
          <cell r="J174" t="str">
            <v>Antezana de la Ribera</v>
          </cell>
          <cell r="M174">
            <v>42.771277777777776</v>
          </cell>
          <cell r="N174">
            <v>-2.9139166666666667</v>
          </cell>
          <cell r="O174" t="b">
            <v>1</v>
          </cell>
          <cell r="Q174">
            <v>5</v>
          </cell>
          <cell r="R174">
            <v>5</v>
          </cell>
        </row>
        <row r="175">
          <cell r="B175" t="str">
            <v>Distribución</v>
          </cell>
          <cell r="C175">
            <v>2</v>
          </cell>
          <cell r="D175">
            <v>8</v>
          </cell>
          <cell r="E175" t="str">
            <v>TP/0065</v>
          </cell>
          <cell r="F175">
            <v>45891</v>
          </cell>
          <cell r="G175">
            <v>45891</v>
          </cell>
          <cell r="H175" t="str">
            <v>Alta contador en Anuntzeta</v>
          </cell>
          <cell r="I175" t="str">
            <v>Alta contador</v>
          </cell>
          <cell r="J175" t="str">
            <v>Anuntzeta</v>
          </cell>
          <cell r="M175">
            <v>42.801222222222222</v>
          </cell>
          <cell r="N175">
            <v>-2.9308611111111111</v>
          </cell>
          <cell r="O175" t="b">
            <v>1</v>
          </cell>
          <cell r="Q175">
            <v>5</v>
          </cell>
          <cell r="R175">
            <v>5</v>
          </cell>
        </row>
        <row r="176">
          <cell r="B176" t="str">
            <v>Depuración</v>
          </cell>
          <cell r="C176">
            <v>2</v>
          </cell>
          <cell r="D176">
            <v>3</v>
          </cell>
          <cell r="E176" t="str">
            <v>TP/0066</v>
          </cell>
          <cell r="F176">
            <v>45891</v>
          </cell>
          <cell r="G176">
            <v>45891</v>
          </cell>
          <cell r="H176" t="str">
            <v>Desbrozado de fosa Arbígano</v>
          </cell>
          <cell r="I176" t="str">
            <v>Desbrozado de fosa. Desatascar y quitar raíces.</v>
          </cell>
          <cell r="J176" t="str">
            <v>Arbígano</v>
          </cell>
          <cell r="M176">
            <v>42.805</v>
          </cell>
          <cell r="N176">
            <v>-2.9644722222222222</v>
          </cell>
          <cell r="O176" t="b">
            <v>1</v>
          </cell>
          <cell r="Q176">
            <v>5</v>
          </cell>
          <cell r="R176">
            <v>5</v>
          </cell>
        </row>
        <row r="177">
          <cell r="B177" t="str">
            <v>Aducción</v>
          </cell>
          <cell r="C177">
            <v>2</v>
          </cell>
          <cell r="D177">
            <v>2</v>
          </cell>
          <cell r="E177" t="str">
            <v>TP/0067</v>
          </cell>
          <cell r="F177">
            <v>45891</v>
          </cell>
          <cell r="G177">
            <v>45891</v>
          </cell>
          <cell r="H177" t="str">
            <v>Limpieza de captaciones Katzabazo, Intxutaspe, Delika, Artomaña</v>
          </cell>
          <cell r="I177" t="str">
            <v>Limpieza de captaciones Katzabazo, Intxutaspe, Delika, Artomaña</v>
          </cell>
          <cell r="J177" t="str">
            <v>Katxabazo, Intxutaspe, Delika, Artomaña-Aiaraldea</v>
          </cell>
          <cell r="M177">
            <v>42.984027777777776</v>
          </cell>
          <cell r="N177">
            <v>-3.0147500000000003</v>
          </cell>
          <cell r="O177" t="b">
            <v>1</v>
          </cell>
          <cell r="Q177">
            <v>1</v>
          </cell>
          <cell r="R177">
            <v>1</v>
          </cell>
        </row>
        <row r="178">
          <cell r="B178" t="str">
            <v>Distribución</v>
          </cell>
          <cell r="C178">
            <v>1</v>
          </cell>
          <cell r="E178" t="str">
            <v>OT/0201</v>
          </cell>
          <cell r="F178">
            <v>45891</v>
          </cell>
          <cell r="G178">
            <v>45891</v>
          </cell>
          <cell r="H178" t="str">
            <v>Fuga de agua en Delika</v>
          </cell>
          <cell r="I178" t="str">
            <v>Fuga de agua en Delika</v>
          </cell>
          <cell r="J178" t="str">
            <v>Delika</v>
          </cell>
          <cell r="M178">
            <v>42.969555555555559</v>
          </cell>
          <cell r="N178">
            <v>-3.0316944444444447</v>
          </cell>
          <cell r="O178" t="b">
            <v>1</v>
          </cell>
          <cell r="Q178">
            <v>1</v>
          </cell>
          <cell r="R178">
            <v>1</v>
          </cell>
          <cell r="S178">
            <v>1</v>
          </cell>
        </row>
        <row r="179">
          <cell r="B179" t="str">
            <v>Saneamiento</v>
          </cell>
          <cell r="C179">
            <v>1</v>
          </cell>
          <cell r="E179" t="str">
            <v>OT/0202</v>
          </cell>
          <cell r="F179">
            <v>45891</v>
          </cell>
          <cell r="G179">
            <v>45891</v>
          </cell>
          <cell r="H179" t="str">
            <v>Atasco en Luiando</v>
          </cell>
          <cell r="I179" t="str">
            <v>Atasco en Luiando</v>
          </cell>
          <cell r="J179" t="str">
            <v>Luiando</v>
          </cell>
          <cell r="M179">
            <v>43.09963888888889</v>
          </cell>
          <cell r="N179">
            <v>-3.0319722222222221</v>
          </cell>
          <cell r="O179" t="b">
            <v>1</v>
          </cell>
          <cell r="Q179">
            <v>1</v>
          </cell>
          <cell r="R179">
            <v>3</v>
          </cell>
          <cell r="S179">
            <v>2</v>
          </cell>
        </row>
        <row r="180">
          <cell r="B180" t="str">
            <v>Distribución</v>
          </cell>
          <cell r="C180">
            <v>1</v>
          </cell>
          <cell r="E180" t="str">
            <v>OT/0203</v>
          </cell>
          <cell r="F180">
            <v>45891</v>
          </cell>
          <cell r="G180">
            <v>45891</v>
          </cell>
          <cell r="H180" t="str">
            <v>Fuga de agua en Depuradora Agurain</v>
          </cell>
          <cell r="I180" t="str">
            <v>Fuga de agua en Depuradora Agurain</v>
          </cell>
          <cell r="J180" t="str">
            <v>Agurain</v>
          </cell>
          <cell r="M180">
            <v>42.856111111111112</v>
          </cell>
          <cell r="N180">
            <v>-2.4489166666666664</v>
          </cell>
          <cell r="O180" t="b">
            <v>1</v>
          </cell>
          <cell r="Q180">
            <v>3</v>
          </cell>
          <cell r="R180">
            <v>3</v>
          </cell>
          <cell r="S180">
            <v>1</v>
          </cell>
        </row>
        <row r="181">
          <cell r="B181" t="str">
            <v>Distribución</v>
          </cell>
          <cell r="C181">
            <v>1</v>
          </cell>
          <cell r="E181" t="str">
            <v>OT/0204</v>
          </cell>
          <cell r="F181">
            <v>45888</v>
          </cell>
          <cell r="G181">
            <v>45888</v>
          </cell>
          <cell r="H181" t="str">
            <v>Fuga en Opakua</v>
          </cell>
          <cell r="I181" t="str">
            <v>Fuga en Opakua</v>
          </cell>
          <cell r="J181" t="str">
            <v>Opacua</v>
          </cell>
          <cell r="M181">
            <v>42.828055555555558</v>
          </cell>
          <cell r="N181">
            <v>-2.3991944444444444</v>
          </cell>
          <cell r="O181" t="b">
            <v>1</v>
          </cell>
          <cell r="Q181">
            <v>3</v>
          </cell>
          <cell r="R181">
            <v>3</v>
          </cell>
          <cell r="S181">
            <v>1</v>
          </cell>
        </row>
        <row r="182">
          <cell r="B182" t="str">
            <v>Distribución</v>
          </cell>
          <cell r="C182">
            <v>1</v>
          </cell>
          <cell r="E182" t="str">
            <v>OT/0205</v>
          </cell>
          <cell r="F182">
            <v>45888</v>
          </cell>
          <cell r="G182">
            <v>45888</v>
          </cell>
          <cell r="H182" t="str">
            <v>Aviso de fuga en Eguileor</v>
          </cell>
          <cell r="I182" t="str">
            <v>Aviso de fuga en Eguileor</v>
          </cell>
          <cell r="J182" t="str">
            <v>Eguileor</v>
          </cell>
          <cell r="M182">
            <v>42.820277777777783</v>
          </cell>
          <cell r="N182">
            <v>-2.4328055555555554</v>
          </cell>
          <cell r="O182" t="b">
            <v>1</v>
          </cell>
          <cell r="Q182">
            <v>3</v>
          </cell>
          <cell r="R182">
            <v>3</v>
          </cell>
          <cell r="S182">
            <v>1</v>
          </cell>
        </row>
        <row r="183">
          <cell r="B183" t="str">
            <v>Distribución</v>
          </cell>
          <cell r="C183">
            <v>1</v>
          </cell>
          <cell r="E183" t="str">
            <v>OT/0206</v>
          </cell>
          <cell r="F183">
            <v>45888</v>
          </cell>
          <cell r="G183">
            <v>45888</v>
          </cell>
          <cell r="H183" t="str">
            <v>Fuga de contador en Agurain/Salvatierra</v>
          </cell>
          <cell r="I183" t="str">
            <v>Arreglo de fuga de un contador</v>
          </cell>
          <cell r="J183" t="str">
            <v>Agurain/Salvatierra</v>
          </cell>
          <cell r="M183">
            <v>42.848555555555556</v>
          </cell>
          <cell r="N183">
            <v>-2.4330833333333333</v>
          </cell>
          <cell r="O183" t="b">
            <v>1</v>
          </cell>
          <cell r="Q183">
            <v>3</v>
          </cell>
          <cell r="R183">
            <v>3</v>
          </cell>
          <cell r="S183">
            <v>1</v>
          </cell>
        </row>
        <row r="184">
          <cell r="B184" t="str">
            <v>Distribución</v>
          </cell>
          <cell r="C184">
            <v>1</v>
          </cell>
          <cell r="E184" t="str">
            <v>OT/0207</v>
          </cell>
          <cell r="F184">
            <v>45889</v>
          </cell>
          <cell r="G184">
            <v>45889</v>
          </cell>
          <cell r="H184" t="str">
            <v>Reparación de fuga en Maroño</v>
          </cell>
          <cell r="I184" t="str">
            <v>Reparación de fuga en Maroño</v>
          </cell>
          <cell r="J184" t="str">
            <v>Maroño</v>
          </cell>
          <cell r="M184">
            <v>43.051499999999997</v>
          </cell>
          <cell r="N184">
            <v>-3.1000277777777776</v>
          </cell>
          <cell r="O184" t="b">
            <v>1</v>
          </cell>
          <cell r="Q184">
            <v>1</v>
          </cell>
          <cell r="R184">
            <v>1</v>
          </cell>
          <cell r="S184">
            <v>1</v>
          </cell>
        </row>
        <row r="185">
          <cell r="B185" t="str">
            <v>Saneamiento</v>
          </cell>
          <cell r="C185">
            <v>1</v>
          </cell>
          <cell r="E185" t="str">
            <v>OT/0208</v>
          </cell>
          <cell r="F185">
            <v>45890</v>
          </cell>
          <cell r="G185">
            <v>45890</v>
          </cell>
          <cell r="H185" t="str">
            <v>Atasco de Retes de Tudela (Artzeniaga)</v>
          </cell>
          <cell r="I185" t="str">
            <v>Atasco de Retes de Tudela</v>
          </cell>
          <cell r="J185" t="str">
            <v>Retes de Tudela</v>
          </cell>
          <cell r="M185">
            <v>43.114555555555555</v>
          </cell>
          <cell r="N185">
            <v>-3.2169722222222221</v>
          </cell>
          <cell r="O185" t="b">
            <v>1</v>
          </cell>
          <cell r="Q185">
            <v>1</v>
          </cell>
          <cell r="R185">
            <v>2</v>
          </cell>
          <cell r="S185">
            <v>2</v>
          </cell>
        </row>
        <row r="186">
          <cell r="B186" t="str">
            <v>Depuración</v>
          </cell>
          <cell r="C186">
            <v>2</v>
          </cell>
          <cell r="D186">
            <v>3</v>
          </cell>
          <cell r="E186" t="str">
            <v>TP/0068</v>
          </cell>
          <cell r="F186">
            <v>45890</v>
          </cell>
          <cell r="G186">
            <v>45890</v>
          </cell>
          <cell r="H186" t="str">
            <v>Desbroce de fosas sépticas en Lahoz</v>
          </cell>
          <cell r="I186" t="str">
            <v>Mantenimiento fosas sépticas, desbroce de fosas sépticas</v>
          </cell>
          <cell r="J186" t="str">
            <v>Lahoz</v>
          </cell>
          <cell r="M186">
            <v>42.884500000000003</v>
          </cell>
          <cell r="N186">
            <v>-3.2839166666666668</v>
          </cell>
          <cell r="O186" t="b">
            <v>1</v>
          </cell>
          <cell r="Q186">
            <v>5</v>
          </cell>
          <cell r="R186">
            <v>5</v>
          </cell>
        </row>
        <row r="187">
          <cell r="B187" t="str">
            <v>Saneamiento</v>
          </cell>
          <cell r="C187">
            <v>2</v>
          </cell>
          <cell r="D187">
            <v>1</v>
          </cell>
          <cell r="E187" t="str">
            <v>TP/0069</v>
          </cell>
          <cell r="F187">
            <v>45890</v>
          </cell>
          <cell r="G187">
            <v>45890</v>
          </cell>
          <cell r="H187" t="str">
            <v>Limpieza purgador y revisión de camión de saneamiento en Llodio</v>
          </cell>
          <cell r="I187" t="str">
            <v>Limpieza purgador y revisión de camión de saneamiento</v>
          </cell>
          <cell r="J187" t="str">
            <v>Colegio La Milagrosa</v>
          </cell>
          <cell r="M187">
            <v>43.147194444444445</v>
          </cell>
          <cell r="N187">
            <v>-3.017527777777778</v>
          </cell>
          <cell r="O187" t="b">
            <v>1</v>
          </cell>
          <cell r="Q187">
            <v>1</v>
          </cell>
          <cell r="R187">
            <v>4</v>
          </cell>
        </row>
        <row r="188">
          <cell r="B188" t="str">
            <v>Saneamiento</v>
          </cell>
          <cell r="C188">
            <v>1</v>
          </cell>
          <cell r="E188" t="str">
            <v>OT/0209</v>
          </cell>
          <cell r="F188">
            <v>45890</v>
          </cell>
          <cell r="G188">
            <v>45890</v>
          </cell>
          <cell r="H188" t="str">
            <v>Desatasco de saneamiento en Zambrana</v>
          </cell>
          <cell r="I188" t="str">
            <v>Desatasco de saneamiento en Zambrana</v>
          </cell>
          <cell r="J188" t="str">
            <v>Zambrana</v>
          </cell>
          <cell r="M188">
            <v>42.661166666666666</v>
          </cell>
          <cell r="N188">
            <v>-2.9178055555555558</v>
          </cell>
          <cell r="O188" t="b">
            <v>1</v>
          </cell>
          <cell r="Q188">
            <v>5</v>
          </cell>
          <cell r="R188">
            <v>45</v>
          </cell>
          <cell r="S188">
            <v>2</v>
          </cell>
        </row>
        <row r="189">
          <cell r="B189" t="str">
            <v>Saneamiento</v>
          </cell>
          <cell r="C189">
            <v>2</v>
          </cell>
          <cell r="D189">
            <v>13</v>
          </cell>
          <cell r="E189" t="str">
            <v>TP/0070</v>
          </cell>
          <cell r="F189">
            <v>45890</v>
          </cell>
          <cell r="G189">
            <v>45890</v>
          </cell>
          <cell r="H189" t="str">
            <v>Asistencia técnica a Urbide</v>
          </cell>
          <cell r="I189" t="str">
            <v>Asistencia técnica a Urbide</v>
          </cell>
          <cell r="J189" t="str">
            <v>Ribabellosa</v>
          </cell>
          <cell r="M189">
            <v>42.705694444444447</v>
          </cell>
          <cell r="N189">
            <v>-2.9680833333333334</v>
          </cell>
          <cell r="O189" t="b">
            <v>1</v>
          </cell>
          <cell r="Q189">
            <v>5</v>
          </cell>
          <cell r="R189">
            <v>41</v>
          </cell>
        </row>
        <row r="190">
          <cell r="B190" t="str">
            <v>Distribución</v>
          </cell>
          <cell r="C190">
            <v>1</v>
          </cell>
          <cell r="E190" t="str">
            <v>OT/0212</v>
          </cell>
          <cell r="F190">
            <v>45887</v>
          </cell>
          <cell r="G190">
            <v>45887</v>
          </cell>
          <cell r="H190" t="str">
            <v>Búsqueda de fuga en Salinas de Añana</v>
          </cell>
          <cell r="I190" t="str">
            <v>Búsqueda de fuga en Salinas de Añana</v>
          </cell>
          <cell r="J190" t="str">
            <v>Salinas de Añana</v>
          </cell>
          <cell r="O190" t="b">
            <v>1</v>
          </cell>
          <cell r="Q190">
            <v>5</v>
          </cell>
          <cell r="R190">
            <v>5</v>
          </cell>
          <cell r="S190">
            <v>1</v>
          </cell>
        </row>
        <row r="191">
          <cell r="B191" t="str">
            <v>Distribución</v>
          </cell>
          <cell r="C191">
            <v>1</v>
          </cell>
          <cell r="E191" t="str">
            <v>OT/0211</v>
          </cell>
          <cell r="F191">
            <v>45887</v>
          </cell>
          <cell r="G191">
            <v>45887</v>
          </cell>
          <cell r="H191" t="str">
            <v>Búsqueda de fuga en Landa</v>
          </cell>
          <cell r="I191" t="str">
            <v>Búsqueda de fuga</v>
          </cell>
          <cell r="J191" t="str">
            <v>Landa</v>
          </cell>
          <cell r="O191" t="b">
            <v>1</v>
          </cell>
          <cell r="Q191">
            <v>4</v>
          </cell>
          <cell r="R191">
            <v>4</v>
          </cell>
          <cell r="S191">
            <v>1</v>
          </cell>
        </row>
        <row r="192">
          <cell r="B192" t="str">
            <v>Distribución</v>
          </cell>
          <cell r="C192">
            <v>1</v>
          </cell>
          <cell r="E192" t="str">
            <v>OT/0210</v>
          </cell>
          <cell r="F192">
            <v>45887</v>
          </cell>
          <cell r="G192">
            <v>45887</v>
          </cell>
          <cell r="H192" t="str">
            <v>Búsqueda de fuga en Opakua-Agurain</v>
          </cell>
          <cell r="I192" t="str">
            <v>Búsqueda de fuga en Opakua</v>
          </cell>
          <cell r="J192" t="str">
            <v>Opacua</v>
          </cell>
          <cell r="O192" t="b">
            <v>1</v>
          </cell>
          <cell r="Q192">
            <v>3</v>
          </cell>
          <cell r="R192">
            <v>3</v>
          </cell>
          <cell r="S192">
            <v>1</v>
          </cell>
        </row>
        <row r="193">
          <cell r="B193" t="str">
            <v>Depuración</v>
          </cell>
          <cell r="C193">
            <v>2</v>
          </cell>
          <cell r="D193">
            <v>3</v>
          </cell>
          <cell r="E193" t="str">
            <v>TP/0071</v>
          </cell>
          <cell r="F193">
            <v>45891</v>
          </cell>
          <cell r="G193">
            <v>45891</v>
          </cell>
          <cell r="H193" t="str">
            <v>Limpieza fosa de Jokano</v>
          </cell>
          <cell r="I193" t="str">
            <v>Limpieza fosa de Jokano</v>
          </cell>
          <cell r="J193" t="str">
            <v>Jokano-Kuartango</v>
          </cell>
          <cell r="M193">
            <v>42.871916666666664</v>
          </cell>
          <cell r="N193">
            <v>-2.9691944444444442</v>
          </cell>
          <cell r="O193" t="b">
            <v>1</v>
          </cell>
          <cell r="Q193">
            <v>5</v>
          </cell>
          <cell r="R193">
            <v>5</v>
          </cell>
        </row>
        <row r="194">
          <cell r="B194" t="str">
            <v>Distribución</v>
          </cell>
          <cell r="C194">
            <v>1</v>
          </cell>
          <cell r="E194" t="str">
            <v>OT/0213</v>
          </cell>
          <cell r="F194">
            <v>45892</v>
          </cell>
          <cell r="G194">
            <v>45892</v>
          </cell>
          <cell r="H194" t="str">
            <v>Reparación de fuga en Olabezar</v>
          </cell>
          <cell r="I194" t="str">
            <v>Reparación de fuga en Olabezar</v>
          </cell>
          <cell r="J194" t="str">
            <v>Olabezar</v>
          </cell>
          <cell r="M194">
            <v>43.068416666666671</v>
          </cell>
          <cell r="N194">
            <v>-3.0528055555555556</v>
          </cell>
          <cell r="O194" t="b">
            <v>1</v>
          </cell>
          <cell r="Q194">
            <v>1</v>
          </cell>
          <cell r="R194">
            <v>1</v>
          </cell>
          <cell r="S194">
            <v>1</v>
          </cell>
        </row>
        <row r="195">
          <cell r="B195" t="str">
            <v>Saneamiento</v>
          </cell>
          <cell r="C195">
            <v>1</v>
          </cell>
          <cell r="E195" t="str">
            <v>OT/0214</v>
          </cell>
          <cell r="F195">
            <v>45893</v>
          </cell>
          <cell r="G195">
            <v>45893</v>
          </cell>
          <cell r="H195" t="str">
            <v>Desatasco de red de saneamiento en Murga</v>
          </cell>
          <cell r="I195" t="str">
            <v>Desatasco de red de saneamiento</v>
          </cell>
          <cell r="J195" t="str">
            <v>Murga</v>
          </cell>
          <cell r="M195">
            <v>43.076305555555557</v>
          </cell>
          <cell r="N195">
            <v>-3.06975</v>
          </cell>
          <cell r="O195" t="b">
            <v>1</v>
          </cell>
          <cell r="Q195">
            <v>1</v>
          </cell>
          <cell r="R195">
            <v>3</v>
          </cell>
          <cell r="S195">
            <v>2</v>
          </cell>
        </row>
        <row r="196">
          <cell r="B196" t="str">
            <v>Distribución</v>
          </cell>
          <cell r="C196">
            <v>1</v>
          </cell>
          <cell r="E196" t="str">
            <v>OT/0217</v>
          </cell>
          <cell r="F196">
            <v>45895</v>
          </cell>
          <cell r="G196">
            <v>45895</v>
          </cell>
          <cell r="H196" t="str">
            <v>Reparación de fuga en Agurain</v>
          </cell>
          <cell r="I196" t="str">
            <v>Reparación de fuga en Agurain</v>
          </cell>
          <cell r="J196" t="str">
            <v>Agurain</v>
          </cell>
          <cell r="M196">
            <v>42.853444444444449</v>
          </cell>
          <cell r="N196">
            <v>-2.4366944444444445</v>
          </cell>
          <cell r="O196" t="b">
            <v>1</v>
          </cell>
          <cell r="Q196">
            <v>3</v>
          </cell>
          <cell r="R196">
            <v>3</v>
          </cell>
          <cell r="S196">
            <v>1</v>
          </cell>
        </row>
        <row r="197">
          <cell r="B197" t="str">
            <v>Saneamiento</v>
          </cell>
          <cell r="C197">
            <v>1</v>
          </cell>
          <cell r="E197" t="str">
            <v>OT/0216</v>
          </cell>
          <cell r="F197">
            <v>45896</v>
          </cell>
          <cell r="G197">
            <v>45896</v>
          </cell>
          <cell r="H197" t="str">
            <v>Desatasco en Amurrio</v>
          </cell>
          <cell r="I197" t="str">
            <v>Desatasco en Amurrio Landaburu 37</v>
          </cell>
          <cell r="J197" t="str">
            <v>Amurrio</v>
          </cell>
          <cell r="M197">
            <v>43.10552777777778</v>
          </cell>
          <cell r="N197">
            <v>-3.7036388888888889</v>
          </cell>
          <cell r="O197" t="b">
            <v>1</v>
          </cell>
          <cell r="Q197">
            <v>1</v>
          </cell>
          <cell r="R197">
            <v>1</v>
          </cell>
          <cell r="S197">
            <v>2</v>
          </cell>
        </row>
        <row r="198">
          <cell r="B198" t="str">
            <v>Saneamiento</v>
          </cell>
          <cell r="C198">
            <v>1</v>
          </cell>
          <cell r="E198" t="str">
            <v>OT/0215</v>
          </cell>
          <cell r="F198">
            <v>45895</v>
          </cell>
          <cell r="G198">
            <v>45895</v>
          </cell>
          <cell r="H198" t="str">
            <v>Reparación arqueta de saneamiento en Opacua</v>
          </cell>
          <cell r="I198" t="str">
            <v>Reparación arqueta de saneamiento</v>
          </cell>
          <cell r="J198" t="str">
            <v>Opacua</v>
          </cell>
          <cell r="M198">
            <v>42.827361111111117</v>
          </cell>
          <cell r="N198">
            <v>-2.4039166666666669</v>
          </cell>
          <cell r="O198" t="b">
            <v>1</v>
          </cell>
          <cell r="Q198">
            <v>3</v>
          </cell>
          <cell r="R198">
            <v>26</v>
          </cell>
          <cell r="S198">
            <v>3</v>
          </cell>
        </row>
        <row r="199">
          <cell r="B199" t="str">
            <v>Depuración</v>
          </cell>
          <cell r="C199">
            <v>2</v>
          </cell>
          <cell r="D199">
            <v>3</v>
          </cell>
          <cell r="E199" t="str">
            <v>TP/0072</v>
          </cell>
          <cell r="F199">
            <v>45894</v>
          </cell>
          <cell r="G199">
            <v>45894</v>
          </cell>
          <cell r="H199" t="str">
            <v>Revisión y desbroce para limpieza de fosas en Artziniega</v>
          </cell>
          <cell r="I199" t="str">
            <v>Revisión y desbroce para limpieza de fosas en Artziniega</v>
          </cell>
          <cell r="J199" t="str">
            <v>Artziniega</v>
          </cell>
          <cell r="M199">
            <v>43.11911111111111</v>
          </cell>
          <cell r="N199">
            <v>-3.1708611111111114</v>
          </cell>
          <cell r="O199" t="b">
            <v>1</v>
          </cell>
          <cell r="Q199">
            <v>1</v>
          </cell>
          <cell r="R199">
            <v>1</v>
          </cell>
        </row>
        <row r="200">
          <cell r="B200" t="str">
            <v>Distribución</v>
          </cell>
          <cell r="C200">
            <v>2</v>
          </cell>
          <cell r="D200">
            <v>8</v>
          </cell>
          <cell r="E200" t="str">
            <v>TP/0073</v>
          </cell>
          <cell r="F200">
            <v>45894</v>
          </cell>
          <cell r="G200">
            <v>45894</v>
          </cell>
          <cell r="H200" t="str">
            <v>Instalación de contador en Murga</v>
          </cell>
          <cell r="I200" t="str">
            <v>Instalación de contador</v>
          </cell>
          <cell r="J200" t="str">
            <v>Murga</v>
          </cell>
          <cell r="M200">
            <v>43.07566666666667</v>
          </cell>
          <cell r="N200">
            <v>-3.0711388888888886</v>
          </cell>
          <cell r="O200" t="b">
            <v>1</v>
          </cell>
          <cell r="Q200">
            <v>1</v>
          </cell>
          <cell r="R200">
            <v>1</v>
          </cell>
        </row>
        <row r="201">
          <cell r="B201" t="str">
            <v>Depuración</v>
          </cell>
          <cell r="C201">
            <v>2</v>
          </cell>
          <cell r="D201">
            <v>3</v>
          </cell>
          <cell r="E201" t="str">
            <v>TP/0074</v>
          </cell>
          <cell r="F201">
            <v>45895</v>
          </cell>
          <cell r="G201">
            <v>45895</v>
          </cell>
          <cell r="H201" t="str">
            <v>Limpieza de fosa Gazeta</v>
          </cell>
          <cell r="I201" t="str">
            <v>Limpieza de fosa Gazeta</v>
          </cell>
          <cell r="J201" t="str">
            <v>Gazeta</v>
          </cell>
          <cell r="M201">
            <v>42.843444444444444</v>
          </cell>
          <cell r="N201">
            <v>-2.5880833333333331</v>
          </cell>
          <cell r="O201" t="b">
            <v>1</v>
          </cell>
          <cell r="Q201">
            <v>3</v>
          </cell>
          <cell r="R201">
            <v>3</v>
          </cell>
        </row>
        <row r="202">
          <cell r="B202" t="str">
            <v>Depuración</v>
          </cell>
          <cell r="C202">
            <v>2</v>
          </cell>
          <cell r="D202">
            <v>3</v>
          </cell>
          <cell r="E202" t="str">
            <v>TP/0075</v>
          </cell>
          <cell r="F202">
            <v>45896</v>
          </cell>
          <cell r="G202">
            <v>45896</v>
          </cell>
          <cell r="H202" t="str">
            <v>Limpieza de fosa de Portilla</v>
          </cell>
          <cell r="I202" t="str">
            <v>Limpieza de fosa de Portilla</v>
          </cell>
          <cell r="J202" t="str">
            <v>Portilla-Zambrana</v>
          </cell>
          <cell r="M202">
            <v>42.672249999999998</v>
          </cell>
          <cell r="N202">
            <v>-2.8883611111111112</v>
          </cell>
          <cell r="O202" t="b">
            <v>1</v>
          </cell>
          <cell r="Q202">
            <v>5</v>
          </cell>
          <cell r="R202">
            <v>5</v>
          </cell>
        </row>
        <row r="203">
          <cell r="B203" t="str">
            <v>Distribución</v>
          </cell>
          <cell r="C203">
            <v>2</v>
          </cell>
          <cell r="D203">
            <v>8</v>
          </cell>
          <cell r="E203" t="str">
            <v>TP/0076</v>
          </cell>
          <cell r="F203">
            <v>45895</v>
          </cell>
          <cell r="G203">
            <v>45895</v>
          </cell>
          <cell r="H203" t="str">
            <v>Instalación de contador en Agurain</v>
          </cell>
          <cell r="I203" t="str">
            <v>Instalación de contador, estaba mal puesto</v>
          </cell>
          <cell r="J203" t="str">
            <v>Agurain</v>
          </cell>
          <cell r="M203">
            <v>42.849944444444446</v>
          </cell>
          <cell r="N203">
            <v>-2.4386388888888888</v>
          </cell>
          <cell r="O203" t="b">
            <v>1</v>
          </cell>
          <cell r="Q203">
            <v>3</v>
          </cell>
          <cell r="R203">
            <v>3</v>
          </cell>
        </row>
        <row r="204">
          <cell r="B204" t="str">
            <v>Distribución</v>
          </cell>
          <cell r="C204">
            <v>1</v>
          </cell>
          <cell r="E204" t="str">
            <v>OT/0218</v>
          </cell>
          <cell r="F204">
            <v>45894</v>
          </cell>
          <cell r="G204">
            <v>45894</v>
          </cell>
          <cell r="H204" t="str">
            <v>Fuga de agua en Olabezar</v>
          </cell>
          <cell r="I204" t="str">
            <v>Fuga de agua en Olabezar</v>
          </cell>
          <cell r="J204" t="str">
            <v>Olabezar</v>
          </cell>
          <cell r="M204">
            <v>43.068361111111116</v>
          </cell>
          <cell r="N204">
            <v>-3.0555833333333333</v>
          </cell>
          <cell r="O204" t="b">
            <v>1</v>
          </cell>
          <cell r="Q204">
            <v>1</v>
          </cell>
          <cell r="R204">
            <v>1</v>
          </cell>
          <cell r="S204">
            <v>1</v>
          </cell>
        </row>
        <row r="205">
          <cell r="B205" t="str">
            <v>Depuración</v>
          </cell>
          <cell r="C205">
            <v>2</v>
          </cell>
          <cell r="D205">
            <v>3</v>
          </cell>
          <cell r="E205" t="str">
            <v>TP/0077</v>
          </cell>
          <cell r="F205">
            <v>45895</v>
          </cell>
          <cell r="G205">
            <v>45895</v>
          </cell>
          <cell r="H205" t="str">
            <v>Mantenimiento fosas sépticas de Artziniega y Llanteno</v>
          </cell>
          <cell r="I205" t="str">
            <v>Mantenimiento fosas sépticas de Artziniega y Llanteno</v>
          </cell>
          <cell r="J205" t="str">
            <v>Artziniega y Llanteno</v>
          </cell>
          <cell r="M205">
            <v>43.121055555555557</v>
          </cell>
          <cell r="N205">
            <v>-3.1725277777777778</v>
          </cell>
          <cell r="O205" t="b">
            <v>1</v>
          </cell>
          <cell r="Q205">
            <v>1</v>
          </cell>
          <cell r="R205">
            <v>1</v>
          </cell>
        </row>
        <row r="206">
          <cell r="B206" t="str">
            <v>Saneamiento</v>
          </cell>
          <cell r="C206">
            <v>1</v>
          </cell>
          <cell r="E206" t="str">
            <v>OT/0219</v>
          </cell>
          <cell r="F206">
            <v>45895</v>
          </cell>
          <cell r="G206">
            <v>45895</v>
          </cell>
          <cell r="H206" t="str">
            <v>Atasco en Llanteno Ureta</v>
          </cell>
          <cell r="I206" t="str">
            <v>Atasco en Llanteno Ureta</v>
          </cell>
          <cell r="J206" t="str">
            <v>Llanteno</v>
          </cell>
          <cell r="M206">
            <v>43.109194444444448</v>
          </cell>
          <cell r="N206">
            <v>-3.1394722222222224</v>
          </cell>
          <cell r="O206" t="b">
            <v>1</v>
          </cell>
          <cell r="Q206">
            <v>1</v>
          </cell>
          <cell r="R206">
            <v>3</v>
          </cell>
          <cell r="S206">
            <v>2</v>
          </cell>
        </row>
        <row r="207">
          <cell r="B207" t="str">
            <v>Distribución</v>
          </cell>
          <cell r="C207">
            <v>1</v>
          </cell>
          <cell r="E207" t="str">
            <v>OT/0220</v>
          </cell>
          <cell r="F207">
            <v>45895</v>
          </cell>
          <cell r="G207">
            <v>45895</v>
          </cell>
          <cell r="H207" t="str">
            <v>Fuga de agua en Barretaguren, Artziniega</v>
          </cell>
          <cell r="I207" t="str">
            <v>Reparación de la fuga de agua en Barretaguren, Artziniega</v>
          </cell>
          <cell r="J207" t="str">
            <v>Artziniega</v>
          </cell>
          <cell r="M207">
            <v>43.126361111111109</v>
          </cell>
          <cell r="N207">
            <v>-3.1730833333333335</v>
          </cell>
          <cell r="O207" t="b">
            <v>1</v>
          </cell>
          <cell r="Q207">
            <v>1</v>
          </cell>
          <cell r="R207">
            <v>1</v>
          </cell>
          <cell r="S207">
            <v>1</v>
          </cell>
        </row>
        <row r="208">
          <cell r="B208" t="str">
            <v>Depuración</v>
          </cell>
          <cell r="C208">
            <v>2</v>
          </cell>
          <cell r="D208">
            <v>3</v>
          </cell>
          <cell r="E208" t="str">
            <v>TP/0078</v>
          </cell>
          <cell r="F208">
            <v>45896</v>
          </cell>
          <cell r="G208">
            <v>45896</v>
          </cell>
          <cell r="H208" t="str">
            <v>Limpieza de fosa séptica Larrinbe</v>
          </cell>
          <cell r="I208" t="str">
            <v>Limpieza de fosa séptica Larrinbe</v>
          </cell>
          <cell r="J208" t="str">
            <v>Larrinbe</v>
          </cell>
          <cell r="M208">
            <v>43.038083333333333</v>
          </cell>
          <cell r="N208">
            <v>-3.0233611111111114</v>
          </cell>
          <cell r="O208" t="b">
            <v>1</v>
          </cell>
          <cell r="Q208">
            <v>1</v>
          </cell>
          <cell r="R208">
            <v>1</v>
          </cell>
        </row>
        <row r="209">
          <cell r="B209" t="str">
            <v>Aducción</v>
          </cell>
          <cell r="C209">
            <v>1</v>
          </cell>
          <cell r="E209" t="str">
            <v>OT/0221</v>
          </cell>
          <cell r="F209">
            <v>45896</v>
          </cell>
          <cell r="G209">
            <v>45896</v>
          </cell>
          <cell r="H209" t="str">
            <v>Fuga de agua en Erbi</v>
          </cell>
          <cell r="I209" t="str">
            <v>Reparación fuga de agua en Erbi</v>
          </cell>
          <cell r="J209" t="str">
            <v>Erbi</v>
          </cell>
          <cell r="M209">
            <v>43.075055555555558</v>
          </cell>
          <cell r="N209">
            <v>-3.1569722222222225</v>
          </cell>
          <cell r="O209" t="b">
            <v>1</v>
          </cell>
          <cell r="Q209">
            <v>1</v>
          </cell>
          <cell r="R209">
            <v>1</v>
          </cell>
          <cell r="S209">
            <v>1</v>
          </cell>
        </row>
        <row r="210">
          <cell r="B210" t="str">
            <v>Aducción</v>
          </cell>
          <cell r="C210">
            <v>1</v>
          </cell>
          <cell r="E210" t="str">
            <v>OT/0222</v>
          </cell>
          <cell r="F210">
            <v>45896</v>
          </cell>
          <cell r="G210">
            <v>45896</v>
          </cell>
          <cell r="H210" t="str">
            <v>Fuga de agua en Berganza</v>
          </cell>
          <cell r="I210" t="str">
            <v>Fuga de agua en Berganza</v>
          </cell>
          <cell r="J210" t="str">
            <v>Berganza-Baranbio</v>
          </cell>
          <cell r="O210" t="b">
            <v>1</v>
          </cell>
          <cell r="Q210">
            <v>1</v>
          </cell>
          <cell r="R210">
            <v>1</v>
          </cell>
          <cell r="S210">
            <v>1</v>
          </cell>
        </row>
        <row r="211">
          <cell r="B211" t="str">
            <v>Depuración</v>
          </cell>
          <cell r="C211">
            <v>2</v>
          </cell>
          <cell r="D211">
            <v>3</v>
          </cell>
          <cell r="E211" t="str">
            <v>TP/0079</v>
          </cell>
          <cell r="F211">
            <v>45897</v>
          </cell>
          <cell r="G211">
            <v>45897</v>
          </cell>
          <cell r="H211" t="str">
            <v>Mantenimiento de la fosa séptica Larrimbe</v>
          </cell>
          <cell r="I211" t="str">
            <v>Limpieza de mantenimiento de la fosa séptica Larrinbe</v>
          </cell>
          <cell r="J211" t="str">
            <v>Larrinbe</v>
          </cell>
          <cell r="M211">
            <v>43.03736111111111</v>
          </cell>
          <cell r="N211">
            <v>-3.0241944444444444</v>
          </cell>
          <cell r="O211" t="b">
            <v>1</v>
          </cell>
          <cell r="Q211">
            <v>1</v>
          </cell>
          <cell r="R211">
            <v>1</v>
          </cell>
        </row>
        <row r="212">
          <cell r="B212" t="str">
            <v>Saneamiento</v>
          </cell>
          <cell r="C212">
            <v>1</v>
          </cell>
          <cell r="E212" t="str">
            <v>OT/0223</v>
          </cell>
          <cell r="F212">
            <v>45897</v>
          </cell>
          <cell r="G212">
            <v>45897</v>
          </cell>
          <cell r="H212" t="str">
            <v>Desatasco en Amurrio</v>
          </cell>
          <cell r="I212" t="str">
            <v>Desatasco en Amurrio Landaburu 30</v>
          </cell>
          <cell r="J212" t="str">
            <v>Amurrio</v>
          </cell>
          <cell r="M212">
            <v>43.061194444444439</v>
          </cell>
          <cell r="N212">
            <v>-3.0411388888888888</v>
          </cell>
          <cell r="O212" t="b">
            <v>1</v>
          </cell>
          <cell r="Q212">
            <v>1</v>
          </cell>
          <cell r="R212">
            <v>1</v>
          </cell>
          <cell r="S212">
            <v>2</v>
          </cell>
        </row>
        <row r="213">
          <cell r="B213" t="str">
            <v>Distribución</v>
          </cell>
          <cell r="C213">
            <v>2</v>
          </cell>
          <cell r="D213">
            <v>11</v>
          </cell>
          <cell r="E213" t="str">
            <v>TP/0080</v>
          </cell>
          <cell r="F213">
            <v>45897</v>
          </cell>
          <cell r="G213">
            <v>45897</v>
          </cell>
          <cell r="H213" t="str">
            <v>Lectura de contadores en Aiala, Llodio y Agurain</v>
          </cell>
          <cell r="I213" t="str">
            <v>Lectura de contadores en Aiala, Llodio y Agurain</v>
          </cell>
          <cell r="J213" t="str">
            <v>Aiala,Llodio y Agurain</v>
          </cell>
          <cell r="M213">
            <v>43.14</v>
          </cell>
          <cell r="N213">
            <v>-3.0080833333333334</v>
          </cell>
          <cell r="O213" t="b">
            <v>1</v>
          </cell>
          <cell r="Q213">
            <v>1</v>
          </cell>
          <cell r="R213">
            <v>1</v>
          </cell>
        </row>
        <row r="214">
          <cell r="B214" t="str">
            <v>Saneamiento</v>
          </cell>
          <cell r="C214">
            <v>2</v>
          </cell>
          <cell r="D214">
            <v>1</v>
          </cell>
          <cell r="E214" t="str">
            <v>TP/0081</v>
          </cell>
          <cell r="F214">
            <v>45897</v>
          </cell>
          <cell r="G214">
            <v>45897</v>
          </cell>
          <cell r="H214" t="str">
            <v>Mantenimiento preventivo saneamiento en San Jose en Amurrio</v>
          </cell>
          <cell r="I214" t="str">
            <v>Limpieza del conector de mantenimiento preventivo de saneamiento de conector de San José kalea</v>
          </cell>
          <cell r="J214" t="str">
            <v>San José Kalea</v>
          </cell>
          <cell r="M214">
            <v>43.060333333333332</v>
          </cell>
          <cell r="N214">
            <v>-3.0416944444444445</v>
          </cell>
          <cell r="O214" t="b">
            <v>1</v>
          </cell>
          <cell r="Q214">
            <v>1</v>
          </cell>
          <cell r="R214">
            <v>1</v>
          </cell>
        </row>
        <row r="215">
          <cell r="B215" t="str">
            <v>Distribución</v>
          </cell>
          <cell r="C215">
            <v>1</v>
          </cell>
          <cell r="E215" t="str">
            <v>OT/0224</v>
          </cell>
          <cell r="F215">
            <v>45897</v>
          </cell>
          <cell r="G215">
            <v>45897</v>
          </cell>
          <cell r="H215" t="str">
            <v>Fuga de agua en Luko</v>
          </cell>
          <cell r="I215" t="str">
            <v>Reparación de fuga de agua en Luko</v>
          </cell>
          <cell r="J215" t="str">
            <v>Luko</v>
          </cell>
          <cell r="M215">
            <v>42.934555555555555</v>
          </cell>
          <cell r="N215">
            <v>-2.6919722222222222</v>
          </cell>
          <cell r="O215" t="b">
            <v>1</v>
          </cell>
          <cell r="Q215">
            <v>4</v>
          </cell>
          <cell r="R215">
            <v>4</v>
          </cell>
          <cell r="S215">
            <v>1</v>
          </cell>
        </row>
        <row r="216">
          <cell r="B216" t="str">
            <v>Aducción</v>
          </cell>
          <cell r="C216">
            <v>2</v>
          </cell>
          <cell r="D216">
            <v>2</v>
          </cell>
          <cell r="E216" t="str">
            <v>TP/0082</v>
          </cell>
          <cell r="F216">
            <v>45898</v>
          </cell>
          <cell r="G216">
            <v>45898</v>
          </cell>
          <cell r="H216" t="str">
            <v>Limpieza de captaciones en  Artomaña, Delika, Katzabazo, Intxutaspe, Lejarzo y Añes</v>
          </cell>
          <cell r="I216" t="str">
            <v>Limpieza de las captaciones Artomaña, Delika, Katzabazo, Intxutaspe, Lejarzo y Añes</v>
          </cell>
          <cell r="J216" t="str">
            <v>AIARALDEA</v>
          </cell>
          <cell r="M216">
            <v>42.984027777777776</v>
          </cell>
          <cell r="N216">
            <v>-3.0255833333333335</v>
          </cell>
          <cell r="O216" t="b">
            <v>1</v>
          </cell>
          <cell r="Q216">
            <v>1</v>
          </cell>
          <cell r="R216">
            <v>1</v>
          </cell>
        </row>
        <row r="217">
          <cell r="B217" t="str">
            <v>Saneamiento</v>
          </cell>
          <cell r="C217">
            <v>2</v>
          </cell>
          <cell r="D217">
            <v>1</v>
          </cell>
          <cell r="E217" t="str">
            <v>TP/0083</v>
          </cell>
          <cell r="F217">
            <v>45898</v>
          </cell>
          <cell r="G217">
            <v>45898</v>
          </cell>
          <cell r="H217" t="str">
            <v>Mantenimiento preventivo saneamiento en Artomaña</v>
          </cell>
          <cell r="I217" t="str">
            <v>Mantenimiento preventivo saneamiento en Artomaña</v>
          </cell>
          <cell r="J217" t="str">
            <v>Artomaña</v>
          </cell>
          <cell r="M217">
            <v>42.983027777777778</v>
          </cell>
          <cell r="N217">
            <v>-3.0258611111111113</v>
          </cell>
          <cell r="O217" t="b">
            <v>1</v>
          </cell>
          <cell r="Q217">
            <v>1</v>
          </cell>
          <cell r="R217">
            <v>1</v>
          </cell>
        </row>
        <row r="218">
          <cell r="B218" t="str">
            <v>Depuración</v>
          </cell>
          <cell r="C218">
            <v>2</v>
          </cell>
          <cell r="D218">
            <v>3</v>
          </cell>
          <cell r="E218" t="str">
            <v>TP/0084</v>
          </cell>
          <cell r="F218">
            <v>45898</v>
          </cell>
          <cell r="G218">
            <v>45898</v>
          </cell>
          <cell r="H218" t="str">
            <v>Desbroce de fosas para limpieza en Zuaza, Respaldiza e Izoria</v>
          </cell>
          <cell r="I218" t="str">
            <v>Desbroce de fosas para limpieza</v>
          </cell>
          <cell r="J218" t="str">
            <v>Zuaza, Respaldiza e Izoria</v>
          </cell>
          <cell r="M218">
            <v>43.099611111111116</v>
          </cell>
          <cell r="N218">
            <v>-3.0928055555555556</v>
          </cell>
          <cell r="O218" t="b">
            <v>1</v>
          </cell>
          <cell r="Q218">
            <v>1</v>
          </cell>
          <cell r="R218">
            <v>1</v>
          </cell>
        </row>
        <row r="219">
          <cell r="B219" t="str">
            <v>Distribución</v>
          </cell>
          <cell r="C219">
            <v>1</v>
          </cell>
          <cell r="E219" t="str">
            <v>OT/0225</v>
          </cell>
          <cell r="F219">
            <v>45898</v>
          </cell>
          <cell r="G219">
            <v>45898</v>
          </cell>
          <cell r="H219" t="str">
            <v>Reparación de fuga de agua en Sobrón</v>
          </cell>
          <cell r="I219" t="str">
            <v>Fuga de agua en Sobrón</v>
          </cell>
          <cell r="J219" t="str">
            <v>Sobron-Lantaron</v>
          </cell>
          <cell r="M219">
            <v>42.762444444444448</v>
          </cell>
          <cell r="N219">
            <v>-3.1264166666666671</v>
          </cell>
          <cell r="O219" t="b">
            <v>1</v>
          </cell>
          <cell r="Q219">
            <v>5</v>
          </cell>
          <cell r="R219">
            <v>5</v>
          </cell>
          <cell r="S219">
            <v>1</v>
          </cell>
        </row>
        <row r="220">
          <cell r="B220" t="str">
            <v>Otros</v>
          </cell>
          <cell r="C220">
            <v>3</v>
          </cell>
          <cell r="E220" t="str">
            <v>GF/0001</v>
          </cell>
          <cell r="F220">
            <v>45900</v>
          </cell>
          <cell r="G220">
            <v>45900</v>
          </cell>
          <cell r="H220" t="str">
            <v>Gastos fijos de explotación totales</v>
          </cell>
          <cell r="I220" t="str">
            <v>Gastos fijos de explotación totales</v>
          </cell>
          <cell r="O220" t="b">
            <v>1</v>
          </cell>
          <cell r="Q220">
            <v>10</v>
          </cell>
          <cell r="R220">
            <v>10</v>
          </cell>
        </row>
        <row r="221">
          <cell r="B221" t="str">
            <v>Distribución</v>
          </cell>
          <cell r="C221">
            <v>2</v>
          </cell>
          <cell r="D221">
            <v>14</v>
          </cell>
          <cell r="E221" t="str">
            <v>TP/0085</v>
          </cell>
          <cell r="F221">
            <v>45891</v>
          </cell>
          <cell r="G221">
            <v>45891</v>
          </cell>
          <cell r="H221" t="str">
            <v>Revisión de válvulas acometidas para corte de agua en Larraño 11 (Llodio)</v>
          </cell>
          <cell r="I221" t="str">
            <v>Revisión de válvulas acometidas para corte de agua en Larraño 11 (Llodio)</v>
          </cell>
          <cell r="J221" t="str">
            <v>Llodio</v>
          </cell>
          <cell r="M221">
            <v>43.142700481161597</v>
          </cell>
          <cell r="N221">
            <v>-2.9648323173108202</v>
          </cell>
          <cell r="O221" t="b">
            <v>1</v>
          </cell>
          <cell r="Q221">
            <v>1</v>
          </cell>
          <cell r="R221">
            <v>1</v>
          </cell>
        </row>
        <row r="222">
          <cell r="B222" t="str">
            <v>Saneamiento</v>
          </cell>
          <cell r="C222">
            <v>1</v>
          </cell>
          <cell r="E222" t="str">
            <v>OT/0226</v>
          </cell>
          <cell r="F222">
            <v>45891</v>
          </cell>
          <cell r="G222">
            <v>45891</v>
          </cell>
          <cell r="H222" t="str">
            <v>Aviso por falta de tapa de arquetas saneamiento en colector Landaluze (Llodio)</v>
          </cell>
          <cell r="I222" t="str">
            <v>Aviso de oficina por falta de tapas de saneamiento</v>
          </cell>
          <cell r="J222" t="str">
            <v>Llodio</v>
          </cell>
          <cell r="M222">
            <v>43.141402999999997</v>
          </cell>
          <cell r="N222">
            <v>-2.9718719999999998</v>
          </cell>
          <cell r="O222" t="b">
            <v>1</v>
          </cell>
          <cell r="Q222">
            <v>1</v>
          </cell>
          <cell r="R222">
            <v>4</v>
          </cell>
          <cell r="S222">
            <v>3</v>
          </cell>
        </row>
        <row r="223">
          <cell r="B223" t="str">
            <v>Distribución</v>
          </cell>
          <cell r="C223">
            <v>2</v>
          </cell>
          <cell r="D223">
            <v>8</v>
          </cell>
          <cell r="E223" t="str">
            <v>TP/0086</v>
          </cell>
          <cell r="F223">
            <v>45891</v>
          </cell>
          <cell r="G223">
            <v>45891</v>
          </cell>
          <cell r="H223" t="str">
            <v>Instalación contador barracas - autos de choque (Llodio)</v>
          </cell>
          <cell r="I223" t="str">
            <v>Instalación contador barracas - autos de choque (Llodio)</v>
          </cell>
          <cell r="J223" t="str">
            <v>Llodio</v>
          </cell>
          <cell r="O223" t="b">
            <v>1</v>
          </cell>
          <cell r="Q223">
            <v>1</v>
          </cell>
          <cell r="R223">
            <v>1</v>
          </cell>
        </row>
        <row r="224">
          <cell r="B224" t="str">
            <v>Distribución</v>
          </cell>
          <cell r="C224">
            <v>2</v>
          </cell>
          <cell r="D224">
            <v>8</v>
          </cell>
          <cell r="E224" t="str">
            <v>TP/0087</v>
          </cell>
          <cell r="F224">
            <v>45891</v>
          </cell>
          <cell r="G224">
            <v>45891</v>
          </cell>
          <cell r="H224" t="str">
            <v>Instalación contador churrería (Llodio)</v>
          </cell>
          <cell r="I224" t="str">
            <v>Instalación contador churrería (Llodio)</v>
          </cell>
          <cell r="J224" t="str">
            <v>Llodio</v>
          </cell>
          <cell r="O224" t="b">
            <v>1</v>
          </cell>
          <cell r="Q224">
            <v>1</v>
          </cell>
          <cell r="R224">
            <v>1</v>
          </cell>
        </row>
        <row r="225">
          <cell r="B225" t="str">
            <v>Distribución</v>
          </cell>
          <cell r="C225">
            <v>2</v>
          </cell>
          <cell r="D225">
            <v>10</v>
          </cell>
          <cell r="E225" t="str">
            <v>TP/0088</v>
          </cell>
          <cell r="F225">
            <v>45898</v>
          </cell>
          <cell r="G225">
            <v>45898</v>
          </cell>
          <cell r="H225" t="str">
            <v>Sustitución de contador en Rivabellosa</v>
          </cell>
          <cell r="I225" t="str">
            <v>Sustitución de contador en Ribabellosa</v>
          </cell>
          <cell r="J225" t="str">
            <v>Ribabellosa</v>
          </cell>
          <cell r="O225" t="b">
            <v>1</v>
          </cell>
          <cell r="Q225">
            <v>5</v>
          </cell>
          <cell r="R225">
            <v>5</v>
          </cell>
        </row>
        <row r="226">
          <cell r="B226" t="str">
            <v>Distribución</v>
          </cell>
          <cell r="C226">
            <v>2</v>
          </cell>
          <cell r="D226">
            <v>10</v>
          </cell>
          <cell r="E226" t="str">
            <v>TP/0089</v>
          </cell>
          <cell r="F226">
            <v>45898</v>
          </cell>
          <cell r="G226">
            <v>45898</v>
          </cell>
          <cell r="H226" t="str">
            <v>Sustitución de contador en Sabando</v>
          </cell>
          <cell r="I226" t="str">
            <v>Sustitución de contador en Sabando</v>
          </cell>
          <cell r="J226" t="str">
            <v>Sabando</v>
          </cell>
          <cell r="O226" t="b">
            <v>1</v>
          </cell>
          <cell r="Q226">
            <v>6</v>
          </cell>
          <cell r="R226">
            <v>6</v>
          </cell>
        </row>
        <row r="227">
          <cell r="B227" t="str">
            <v>Distribución</v>
          </cell>
          <cell r="C227">
            <v>2</v>
          </cell>
          <cell r="D227">
            <v>8</v>
          </cell>
          <cell r="E227" t="str">
            <v>TP/0090</v>
          </cell>
          <cell r="F227">
            <v>45898</v>
          </cell>
          <cell r="G227">
            <v>45898</v>
          </cell>
          <cell r="H227" t="str">
            <v>Instalación de contador en Agurain</v>
          </cell>
          <cell r="I227" t="str">
            <v>Instalación de contador en Agurain</v>
          </cell>
          <cell r="J227" t="str">
            <v>Agurain</v>
          </cell>
          <cell r="O227" t="b">
            <v>1</v>
          </cell>
          <cell r="Q227">
            <v>3</v>
          </cell>
          <cell r="R227">
            <v>3</v>
          </cell>
        </row>
        <row r="228">
          <cell r="B228" t="str">
            <v>Distribución</v>
          </cell>
          <cell r="C228">
            <v>1</v>
          </cell>
          <cell r="E228" t="str">
            <v>OT/0227</v>
          </cell>
          <cell r="F228">
            <v>45899</v>
          </cell>
          <cell r="G228">
            <v>45899</v>
          </cell>
          <cell r="H228" t="str">
            <v>Reparación de fuga en Luja (Llodio)</v>
          </cell>
          <cell r="I228" t="str">
            <v>Reparación de fuga en Luja</v>
          </cell>
          <cell r="J228" t="str">
            <v>Llodio</v>
          </cell>
          <cell r="O228" t="b">
            <v>1</v>
          </cell>
          <cell r="Q228">
            <v>1</v>
          </cell>
          <cell r="R228">
            <v>1</v>
          </cell>
          <cell r="S228">
            <v>1</v>
          </cell>
        </row>
        <row r="229">
          <cell r="B229" t="str">
            <v>Saneamiento</v>
          </cell>
          <cell r="C229">
            <v>1</v>
          </cell>
          <cell r="E229" t="str">
            <v>OT/0228</v>
          </cell>
          <cell r="F229">
            <v>45899</v>
          </cell>
          <cell r="G229">
            <v>45899</v>
          </cell>
          <cell r="H229" t="str">
            <v>Atasco de saneamiento en Calle Carnicerías (Agurain)</v>
          </cell>
          <cell r="I229" t="str">
            <v>Atasco de saneamiento</v>
          </cell>
          <cell r="J229" t="str">
            <v>Agurain</v>
          </cell>
          <cell r="O229" t="b">
            <v>1</v>
          </cell>
          <cell r="Q229">
            <v>3</v>
          </cell>
          <cell r="R229">
            <v>26</v>
          </cell>
          <cell r="S229">
            <v>2</v>
          </cell>
        </row>
        <row r="230">
          <cell r="B230" t="str">
            <v>Distribución</v>
          </cell>
          <cell r="C230">
            <v>1</v>
          </cell>
          <cell r="E230" t="str">
            <v>OT/0229</v>
          </cell>
          <cell r="F230">
            <v>45899</v>
          </cell>
          <cell r="G230">
            <v>45899</v>
          </cell>
          <cell r="H230" t="str">
            <v>Reparación de fuga en Calle Los Olmos (Rivabellosa)</v>
          </cell>
          <cell r="I230" t="str">
            <v>Reparación de fuga</v>
          </cell>
          <cell r="J230" t="str">
            <v>Ribabellosa-Rivera Alta</v>
          </cell>
          <cell r="O230" t="b">
            <v>1</v>
          </cell>
          <cell r="Q230">
            <v>5</v>
          </cell>
          <cell r="R230">
            <v>5</v>
          </cell>
          <cell r="S230">
            <v>1</v>
          </cell>
        </row>
        <row r="231">
          <cell r="B231" t="str">
            <v>Distribución</v>
          </cell>
          <cell r="C231">
            <v>1</v>
          </cell>
          <cell r="E231" t="str">
            <v>OT/0230</v>
          </cell>
          <cell r="F231">
            <v>45900</v>
          </cell>
          <cell r="G231">
            <v>45900</v>
          </cell>
          <cell r="H231" t="str">
            <v>Aviso de fuga en Pozoportillo (Ozeka)</v>
          </cell>
          <cell r="I231" t="str">
            <v>Acudir al aviso a ver</v>
          </cell>
          <cell r="J231" t="str">
            <v>Ozeka</v>
          </cell>
          <cell r="O231" t="b">
            <v>1</v>
          </cell>
          <cell r="Q231">
            <v>1</v>
          </cell>
          <cell r="R231">
            <v>1</v>
          </cell>
          <cell r="S231">
            <v>1</v>
          </cell>
        </row>
        <row r="232">
          <cell r="B232" t="str">
            <v>Saneamiento</v>
          </cell>
          <cell r="C232">
            <v>1</v>
          </cell>
          <cell r="E232" t="str">
            <v>OT/0231</v>
          </cell>
          <cell r="F232">
            <v>45900</v>
          </cell>
          <cell r="G232">
            <v>45900</v>
          </cell>
          <cell r="H232" t="str">
            <v>Atasco de saneamiento en La Estación (Amurrio)</v>
          </cell>
          <cell r="I232" t="str">
            <v>Atasci de Saneamiento</v>
          </cell>
          <cell r="J232" t="str">
            <v>Amurrio</v>
          </cell>
          <cell r="O232" t="b">
            <v>1</v>
          </cell>
          <cell r="Q232">
            <v>1</v>
          </cell>
          <cell r="R232">
            <v>1</v>
          </cell>
          <cell r="S232">
            <v>2</v>
          </cell>
        </row>
        <row r="233">
          <cell r="B233" t="str">
            <v>Otros</v>
          </cell>
          <cell r="C233">
            <v>3</v>
          </cell>
          <cell r="E233" t="str">
            <v>GF/0002</v>
          </cell>
          <cell r="F233">
            <v>45900</v>
          </cell>
          <cell r="G233">
            <v>45900</v>
          </cell>
          <cell r="H233" t="str">
            <v>Gestión documental del contrato</v>
          </cell>
          <cell r="I233" t="str">
            <v>Gestión documental del contrato</v>
          </cell>
          <cell r="O233" t="b">
            <v>1</v>
          </cell>
          <cell r="P233" t="str">
            <v>ELENA</v>
          </cell>
          <cell r="Q233">
            <v>10</v>
          </cell>
          <cell r="R233">
            <v>10</v>
          </cell>
        </row>
        <row r="234">
          <cell r="B234" t="str">
            <v>Saneamiento</v>
          </cell>
          <cell r="C234">
            <v>2</v>
          </cell>
          <cell r="D234">
            <v>5</v>
          </cell>
          <cell r="E234" t="str">
            <v>TP/0091</v>
          </cell>
          <cell r="F234">
            <v>45900</v>
          </cell>
          <cell r="G234">
            <v>45900</v>
          </cell>
          <cell r="H234" t="str">
            <v>Inventario y digitalización redes saneamiento en Maeztu y Artziniega</v>
          </cell>
          <cell r="I234" t="str">
            <v>Maeztu y Artziniega</v>
          </cell>
          <cell r="J234" t="str">
            <v>Maeztu-Arraia/Maeztu</v>
          </cell>
          <cell r="O234" t="b">
            <v>1</v>
          </cell>
          <cell r="Q234">
            <v>6</v>
          </cell>
          <cell r="R234">
            <v>46</v>
          </cell>
        </row>
        <row r="235">
          <cell r="B235" t="str">
            <v>Distribución</v>
          </cell>
          <cell r="C235">
            <v>1</v>
          </cell>
          <cell r="E235" t="str">
            <v>OT/0232</v>
          </cell>
          <cell r="F235">
            <v>45899</v>
          </cell>
          <cell r="G235">
            <v>45899</v>
          </cell>
          <cell r="H235" t="str">
            <v>Aviso de fuga en Larraño y parque lamuza (Llodio)</v>
          </cell>
          <cell r="I235" t="str">
            <v>Aviso de por fuga en bajada de Luja y aviso de fuente fugando en parque Lamuza. Se cierra acometida de la fuente.</v>
          </cell>
          <cell r="J235" t="str">
            <v>Llodio</v>
          </cell>
          <cell r="O235" t="b">
            <v>1</v>
          </cell>
          <cell r="Q235">
            <v>1</v>
          </cell>
          <cell r="R235">
            <v>1</v>
          </cell>
          <cell r="S235">
            <v>1</v>
          </cell>
        </row>
        <row r="236">
          <cell r="B236" t="str">
            <v>Distribución</v>
          </cell>
          <cell r="C236">
            <v>1</v>
          </cell>
          <cell r="E236" t="str">
            <v>OT/0233</v>
          </cell>
          <cell r="F236">
            <v>45901</v>
          </cell>
          <cell r="G236">
            <v>45902</v>
          </cell>
          <cell r="H236" t="str">
            <v>Reparación de fuga en Luja (Llodio)</v>
          </cell>
          <cell r="I236" t="str">
            <v>Reparación de fuga</v>
          </cell>
          <cell r="J236" t="str">
            <v>Llodio</v>
          </cell>
          <cell r="M236">
            <v>43.145085999999999</v>
          </cell>
          <cell r="N236">
            <v>-2.972267</v>
          </cell>
          <cell r="O236" t="b">
            <v>1</v>
          </cell>
          <cell r="Q236">
            <v>1</v>
          </cell>
          <cell r="R236">
            <v>1</v>
          </cell>
          <cell r="S236">
            <v>1</v>
          </cell>
        </row>
        <row r="237">
          <cell r="B237" t="str">
            <v>Distribución</v>
          </cell>
          <cell r="C237">
            <v>1</v>
          </cell>
          <cell r="E237" t="str">
            <v>OT/0234</v>
          </cell>
          <cell r="F237">
            <v>45901</v>
          </cell>
          <cell r="G237">
            <v>45902</v>
          </cell>
          <cell r="H237" t="str">
            <v>Sustituir válvulas acometidas en Artziniega</v>
          </cell>
          <cell r="I237" t="str">
            <v>Sustituir válvulas acometidas en Artziniega</v>
          </cell>
          <cell r="J237" t="str">
            <v>Artziniega</v>
          </cell>
          <cell r="M237">
            <v>43.121350999999997</v>
          </cell>
          <cell r="N237">
            <v>-3.1290680000000002</v>
          </cell>
          <cell r="O237" t="b">
            <v>1</v>
          </cell>
          <cell r="Q237">
            <v>1</v>
          </cell>
          <cell r="R237">
            <v>1</v>
          </cell>
          <cell r="S237">
            <v>3</v>
          </cell>
        </row>
        <row r="238">
          <cell r="B238" t="str">
            <v>Distribución</v>
          </cell>
          <cell r="C238">
            <v>2</v>
          </cell>
          <cell r="D238">
            <v>7</v>
          </cell>
          <cell r="E238" t="str">
            <v>TP/0092</v>
          </cell>
          <cell r="F238">
            <v>45887</v>
          </cell>
          <cell r="G238">
            <v>45887</v>
          </cell>
          <cell r="H238" t="str">
            <v>Localización de fugas en Opakua</v>
          </cell>
          <cell r="I238" t="str">
            <v>Localización de fugas en Opakua</v>
          </cell>
          <cell r="J238" t="str">
            <v>Opacua</v>
          </cell>
          <cell r="O238" t="b">
            <v>1</v>
          </cell>
          <cell r="Q238">
            <v>3</v>
          </cell>
          <cell r="R238">
            <v>3</v>
          </cell>
          <cell r="S238">
            <v>1</v>
          </cell>
        </row>
        <row r="239">
          <cell r="B239" t="str">
            <v>Distribución</v>
          </cell>
          <cell r="C239">
            <v>2</v>
          </cell>
          <cell r="D239">
            <v>7</v>
          </cell>
          <cell r="E239" t="str">
            <v>TP/0093</v>
          </cell>
          <cell r="F239">
            <v>45887</v>
          </cell>
          <cell r="G239">
            <v>45887</v>
          </cell>
          <cell r="H239" t="str">
            <v>Localizar acometidas con fuga y buscar solución en Landa</v>
          </cell>
          <cell r="I239" t="str">
            <v>Localizar acometidas con fuga y buscar solución en Landa</v>
          </cell>
          <cell r="J239" t="str">
            <v>Landa</v>
          </cell>
          <cell r="O239" t="b">
            <v>1</v>
          </cell>
          <cell r="Q239">
            <v>4</v>
          </cell>
          <cell r="R239">
            <v>4</v>
          </cell>
          <cell r="S239">
            <v>1</v>
          </cell>
        </row>
        <row r="240">
          <cell r="B240" t="str">
            <v>Depuración</v>
          </cell>
          <cell r="C240">
            <v>2</v>
          </cell>
          <cell r="D240">
            <v>3</v>
          </cell>
          <cell r="E240" t="str">
            <v>TP/0094</v>
          </cell>
          <cell r="F240">
            <v>45887</v>
          </cell>
          <cell r="G240">
            <v>45887</v>
          </cell>
          <cell r="H240" t="str">
            <v>Revisión de fosas sépticas-ALAVA</v>
          </cell>
          <cell r="I240" t="str">
            <v>Revisión de fosas sépticas</v>
          </cell>
          <cell r="J240" t="str">
            <v>Todos los municipios</v>
          </cell>
          <cell r="O240" t="b">
            <v>1</v>
          </cell>
          <cell r="Q240">
            <v>10</v>
          </cell>
          <cell r="R240">
            <v>10</v>
          </cell>
        </row>
        <row r="241">
          <cell r="B241" t="str">
            <v>Distribución</v>
          </cell>
          <cell r="C241">
            <v>2</v>
          </cell>
          <cell r="D241">
            <v>7</v>
          </cell>
          <cell r="E241" t="str">
            <v>TP/0095</v>
          </cell>
          <cell r="F241">
            <v>45887</v>
          </cell>
          <cell r="G241">
            <v>45887</v>
          </cell>
          <cell r="H241" t="str">
            <v>Localización de fuga por aviso de filtraciones en Salinas de Añana</v>
          </cell>
          <cell r="I241" t="str">
            <v>Localización de fuga por aviso de filtraciones</v>
          </cell>
          <cell r="J241" t="str">
            <v>Salinas de Añana</v>
          </cell>
          <cell r="O241" t="b">
            <v>1</v>
          </cell>
          <cell r="Q241">
            <v>5</v>
          </cell>
          <cell r="R241">
            <v>5</v>
          </cell>
          <cell r="S241">
            <v>1</v>
          </cell>
        </row>
        <row r="242">
          <cell r="B242" t="str">
            <v>Distribución</v>
          </cell>
          <cell r="C242">
            <v>2</v>
          </cell>
          <cell r="D242">
            <v>7</v>
          </cell>
          <cell r="E242" t="str">
            <v>TP/0096</v>
          </cell>
          <cell r="F242">
            <v>45888</v>
          </cell>
          <cell r="G242">
            <v>45888</v>
          </cell>
          <cell r="H242" t="str">
            <v>Localización de fuga en Plaza Boriñaur (Amurrio)</v>
          </cell>
          <cell r="I242" t="str">
            <v>Localización de fuga en Plaza Boriñaur (Amurrio)</v>
          </cell>
          <cell r="J242" t="str">
            <v>Amurrio</v>
          </cell>
          <cell r="O242" t="b">
            <v>1</v>
          </cell>
          <cell r="Q242">
            <v>1</v>
          </cell>
          <cell r="R242">
            <v>1</v>
          </cell>
          <cell r="S242">
            <v>1</v>
          </cell>
        </row>
        <row r="243">
          <cell r="B243" t="str">
            <v>Distribución</v>
          </cell>
          <cell r="C243">
            <v>2</v>
          </cell>
          <cell r="D243">
            <v>7</v>
          </cell>
          <cell r="E243" t="str">
            <v>TP/0097</v>
          </cell>
          <cell r="F243">
            <v>45890</v>
          </cell>
          <cell r="G243">
            <v>45890</v>
          </cell>
          <cell r="H243" t="str">
            <v>Localizaciçon de fuga en La Estación (Amurrio)</v>
          </cell>
          <cell r="I243" t="str">
            <v>Localizaciçon de fuga en La Estación (Amurrio)</v>
          </cell>
          <cell r="J243" t="str">
            <v>Amurrio</v>
          </cell>
          <cell r="O243" t="b">
            <v>1</v>
          </cell>
          <cell r="Q243">
            <v>1</v>
          </cell>
          <cell r="R243">
            <v>1</v>
          </cell>
          <cell r="S243">
            <v>1</v>
          </cell>
        </row>
        <row r="244">
          <cell r="B244" t="str">
            <v>Distribución</v>
          </cell>
          <cell r="C244">
            <v>2</v>
          </cell>
          <cell r="D244">
            <v>7</v>
          </cell>
          <cell r="E244" t="str">
            <v>TP/0098</v>
          </cell>
          <cell r="F244">
            <v>45890</v>
          </cell>
          <cell r="G244">
            <v>45890</v>
          </cell>
          <cell r="H244" t="str">
            <v>Localización de fuga en Txistularis</v>
          </cell>
          <cell r="I244" t="str">
            <v>Localización de fuga en Txistularis</v>
          </cell>
          <cell r="J244" t="str">
            <v>Ribabellosa</v>
          </cell>
          <cell r="O244" t="b">
            <v>1</v>
          </cell>
          <cell r="Q244">
            <v>5</v>
          </cell>
          <cell r="R244">
            <v>5</v>
          </cell>
          <cell r="S244">
            <v>1</v>
          </cell>
        </row>
        <row r="245">
          <cell r="B245" t="str">
            <v>Distribución</v>
          </cell>
          <cell r="C245">
            <v>2</v>
          </cell>
          <cell r="D245">
            <v>7</v>
          </cell>
          <cell r="E245" t="str">
            <v>TP/0099</v>
          </cell>
          <cell r="F245">
            <v>45894</v>
          </cell>
          <cell r="G245">
            <v>45894</v>
          </cell>
          <cell r="H245" t="str">
            <v>Localización de fuga en Luko</v>
          </cell>
          <cell r="I245" t="str">
            <v>Localización de fuga en Luko</v>
          </cell>
          <cell r="J245" t="str">
            <v>Luko</v>
          </cell>
          <cell r="O245" t="b">
            <v>1</v>
          </cell>
          <cell r="Q245">
            <v>4</v>
          </cell>
          <cell r="R245">
            <v>4</v>
          </cell>
          <cell r="S245">
            <v>1</v>
          </cell>
        </row>
        <row r="246">
          <cell r="B246" t="str">
            <v>Distribución</v>
          </cell>
          <cell r="C246">
            <v>2</v>
          </cell>
          <cell r="D246">
            <v>7</v>
          </cell>
          <cell r="E246" t="str">
            <v>TP/0114</v>
          </cell>
          <cell r="F246">
            <v>45895</v>
          </cell>
          <cell r="G246">
            <v>45895</v>
          </cell>
          <cell r="H246" t="str">
            <v>Localización de fuga en  Ugarte</v>
          </cell>
          <cell r="I246" t="str">
            <v>Calle Iturriaga</v>
          </cell>
          <cell r="J246" t="str">
            <v>Ugarte</v>
          </cell>
          <cell r="O246" t="b">
            <v>1</v>
          </cell>
          <cell r="Q246">
            <v>1</v>
          </cell>
          <cell r="R246">
            <v>1</v>
          </cell>
          <cell r="S246">
            <v>1</v>
          </cell>
        </row>
        <row r="247">
          <cell r="B247" t="str">
            <v>Distribución</v>
          </cell>
          <cell r="C247">
            <v>2</v>
          </cell>
          <cell r="D247">
            <v>7</v>
          </cell>
          <cell r="E247" t="str">
            <v>TP/0100</v>
          </cell>
          <cell r="F247">
            <v>45894</v>
          </cell>
          <cell r="G247">
            <v>45894</v>
          </cell>
          <cell r="H247" t="str">
            <v>Localización de fuga en Ugarte</v>
          </cell>
          <cell r="I247" t="str">
            <v>Localización de fuga en Ugarte</v>
          </cell>
          <cell r="J247" t="str">
            <v>Llodio</v>
          </cell>
          <cell r="O247" t="b">
            <v>1</v>
          </cell>
          <cell r="Q247">
            <v>1</v>
          </cell>
          <cell r="R247">
            <v>1</v>
          </cell>
          <cell r="S247">
            <v>1</v>
          </cell>
        </row>
        <row r="248">
          <cell r="B248" t="str">
            <v>Distribución</v>
          </cell>
          <cell r="C248">
            <v>2</v>
          </cell>
          <cell r="D248">
            <v>19</v>
          </cell>
          <cell r="E248" t="str">
            <v>TP/0101</v>
          </cell>
          <cell r="F248">
            <v>45895</v>
          </cell>
          <cell r="G248">
            <v>45895</v>
          </cell>
          <cell r="H248" t="str">
            <v>Revisión de sectores Amurrio y Laudio</v>
          </cell>
          <cell r="I248" t="str">
            <v>Revisión de sectores Amurrio y Laudio</v>
          </cell>
          <cell r="J248" t="str">
            <v>Laudio y Amurrio</v>
          </cell>
          <cell r="O248" t="b">
            <v>1</v>
          </cell>
          <cell r="Q248">
            <v>1</v>
          </cell>
          <cell r="R248">
            <v>1</v>
          </cell>
        </row>
        <row r="249">
          <cell r="B249" t="str">
            <v>Saneamiento</v>
          </cell>
          <cell r="C249">
            <v>2</v>
          </cell>
          <cell r="D249">
            <v>1</v>
          </cell>
          <cell r="E249" t="str">
            <v>TP/0102</v>
          </cell>
          <cell r="F249">
            <v>45895</v>
          </cell>
          <cell r="G249">
            <v>45895</v>
          </cell>
          <cell r="H249" t="str">
            <v>Mantenimiento preventivo saneamiento Amurrio</v>
          </cell>
          <cell r="I249" t="str">
            <v>Atasco Amurrio</v>
          </cell>
          <cell r="J249" t="str">
            <v>Amurrio-AIARA</v>
          </cell>
          <cell r="O249" t="b">
            <v>1</v>
          </cell>
          <cell r="Q249">
            <v>1</v>
          </cell>
          <cell r="R249">
            <v>1</v>
          </cell>
          <cell r="S249">
            <v>2</v>
          </cell>
        </row>
        <row r="250">
          <cell r="B250" t="str">
            <v>Distribución</v>
          </cell>
          <cell r="C250">
            <v>2</v>
          </cell>
          <cell r="D250">
            <v>4</v>
          </cell>
          <cell r="E250" t="str">
            <v>TP/0103</v>
          </cell>
          <cell r="F250">
            <v>45896</v>
          </cell>
          <cell r="G250">
            <v>45896</v>
          </cell>
          <cell r="H250" t="str">
            <v>Digitalización Perte en Amurrio</v>
          </cell>
          <cell r="I250" t="str">
            <v>Digitalización Perte</v>
          </cell>
          <cell r="J250" t="str">
            <v>Amurrio-AIARA</v>
          </cell>
          <cell r="O250" t="b">
            <v>1</v>
          </cell>
          <cell r="Q250">
            <v>1</v>
          </cell>
          <cell r="R250">
            <v>1</v>
          </cell>
        </row>
        <row r="251">
          <cell r="B251" t="str">
            <v>Saneamiento</v>
          </cell>
          <cell r="C251">
            <v>2</v>
          </cell>
          <cell r="D251">
            <v>5</v>
          </cell>
          <cell r="E251" t="str">
            <v>TP/0104</v>
          </cell>
          <cell r="F251">
            <v>45897</v>
          </cell>
          <cell r="G251">
            <v>45897</v>
          </cell>
          <cell r="H251" t="str">
            <v>Base de datos de fosas sépticas en Amurrio</v>
          </cell>
          <cell r="I251" t="str">
            <v>Base de datos de fosas sépticas</v>
          </cell>
          <cell r="J251" t="str">
            <v>Amurrio-AIARA</v>
          </cell>
          <cell r="O251" t="b">
            <v>1</v>
          </cell>
          <cell r="Q251">
            <v>1</v>
          </cell>
          <cell r="R251">
            <v>1</v>
          </cell>
        </row>
        <row r="252">
          <cell r="B252" t="str">
            <v>Distribución</v>
          </cell>
          <cell r="C252">
            <v>2</v>
          </cell>
          <cell r="D252">
            <v>19</v>
          </cell>
          <cell r="E252" t="str">
            <v>TP/0105</v>
          </cell>
          <cell r="F252">
            <v>45897</v>
          </cell>
          <cell r="G252">
            <v>45897</v>
          </cell>
          <cell r="H252" t="str">
            <v>Revisión de consumos Mendiko</v>
          </cell>
          <cell r="I252" t="str">
            <v>Revisión de consumos Mendiko</v>
          </cell>
          <cell r="J252" t="str">
            <v>Amurrio-AIARA</v>
          </cell>
          <cell r="O252" t="b">
            <v>1</v>
          </cell>
          <cell r="Q252">
            <v>1</v>
          </cell>
          <cell r="R252">
            <v>1</v>
          </cell>
        </row>
        <row r="253">
          <cell r="B253" t="str">
            <v>Distribución</v>
          </cell>
          <cell r="C253">
            <v>2</v>
          </cell>
          <cell r="D253">
            <v>11</v>
          </cell>
          <cell r="E253" t="str">
            <v>TP/0106</v>
          </cell>
          <cell r="F253">
            <v>45898</v>
          </cell>
          <cell r="G253">
            <v>45898</v>
          </cell>
          <cell r="H253" t="str">
            <v>Lectura de Contadores Sectoriales-ALAVA</v>
          </cell>
          <cell r="I253" t="str">
            <v>Lectura de Contadores Sectoriales</v>
          </cell>
          <cell r="J253" t="str">
            <v>Todos los municipios-ALAVA</v>
          </cell>
          <cell r="O253" t="b">
            <v>1</v>
          </cell>
          <cell r="Q253">
            <v>10</v>
          </cell>
          <cell r="R253">
            <v>10</v>
          </cell>
        </row>
        <row r="254">
          <cell r="B254" t="str">
            <v>Distribución</v>
          </cell>
          <cell r="C254">
            <v>2</v>
          </cell>
          <cell r="D254">
            <v>14</v>
          </cell>
          <cell r="E254" t="str">
            <v>TP/0107</v>
          </cell>
          <cell r="F254">
            <v>45894</v>
          </cell>
          <cell r="G254">
            <v>45894</v>
          </cell>
          <cell r="H254" t="str">
            <v>Comprobación de válvulas de acometida en Luiaondo</v>
          </cell>
          <cell r="I254" t="str">
            <v>Comprobación de válvulas de acometida</v>
          </cell>
          <cell r="J254" t="str">
            <v>Luiando</v>
          </cell>
          <cell r="O254" t="b">
            <v>1</v>
          </cell>
          <cell r="Q254">
            <v>1</v>
          </cell>
          <cell r="R254">
            <v>1</v>
          </cell>
        </row>
        <row r="255">
          <cell r="B255" t="str">
            <v>Distribución</v>
          </cell>
          <cell r="C255">
            <v>1</v>
          </cell>
          <cell r="E255" t="str">
            <v>OT/0237</v>
          </cell>
          <cell r="F255">
            <v>45894</v>
          </cell>
          <cell r="G255">
            <v>45894</v>
          </cell>
          <cell r="H255" t="str">
            <v>Fuga en hidrante en Ostegieta</v>
          </cell>
          <cell r="I255" t="str">
            <v>Cerrar hidrante</v>
          </cell>
          <cell r="J255" t="str">
            <v>Llodio</v>
          </cell>
          <cell r="O255" t="b">
            <v>1</v>
          </cell>
          <cell r="Q255">
            <v>1</v>
          </cell>
          <cell r="R255">
            <v>1</v>
          </cell>
          <cell r="S255">
            <v>1</v>
          </cell>
        </row>
        <row r="256">
          <cell r="B256" t="str">
            <v>Distribución</v>
          </cell>
          <cell r="C256">
            <v>1</v>
          </cell>
          <cell r="E256" t="str">
            <v>OT/0235</v>
          </cell>
          <cell r="F256">
            <v>45896</v>
          </cell>
          <cell r="G256">
            <v>45896</v>
          </cell>
          <cell r="H256" t="str">
            <v>Reparación fuga Larraño</v>
          </cell>
          <cell r="I256" t="str">
            <v>Reparación fuga Larraño</v>
          </cell>
          <cell r="J256" t="str">
            <v>Larraño</v>
          </cell>
          <cell r="O256" t="b">
            <v>1</v>
          </cell>
          <cell r="Q256">
            <v>1</v>
          </cell>
          <cell r="R256">
            <v>1</v>
          </cell>
          <cell r="S256">
            <v>1</v>
          </cell>
        </row>
        <row r="257">
          <cell r="B257" t="str">
            <v>Saneamiento</v>
          </cell>
          <cell r="C257">
            <v>2</v>
          </cell>
          <cell r="D257">
            <v>1</v>
          </cell>
          <cell r="E257" t="str">
            <v>TP/0109</v>
          </cell>
          <cell r="F257">
            <v>45896</v>
          </cell>
          <cell r="G257">
            <v>45896</v>
          </cell>
          <cell r="H257" t="str">
            <v>Revisión colectores en Laudio</v>
          </cell>
          <cell r="I257" t="str">
            <v>Revisión colectores</v>
          </cell>
          <cell r="J257" t="str">
            <v>Llodio</v>
          </cell>
          <cell r="O257" t="b">
            <v>1</v>
          </cell>
          <cell r="Q257">
            <v>1</v>
          </cell>
          <cell r="R257">
            <v>4</v>
          </cell>
        </row>
        <row r="258">
          <cell r="B258" t="str">
            <v>Distribución</v>
          </cell>
          <cell r="C258">
            <v>1</v>
          </cell>
          <cell r="E258" t="str">
            <v>OT/0236</v>
          </cell>
          <cell r="F258">
            <v>45897</v>
          </cell>
          <cell r="G258">
            <v>45897</v>
          </cell>
          <cell r="H258" t="str">
            <v>Reparación fuga Iturriaga 2</v>
          </cell>
          <cell r="I258" t="str">
            <v>Reparación fuga Iturriaga 2</v>
          </cell>
          <cell r="J258" t="str">
            <v>Llodio</v>
          </cell>
          <cell r="O258" t="b">
            <v>1</v>
          </cell>
          <cell r="Q258">
            <v>1</v>
          </cell>
          <cell r="R258">
            <v>1</v>
          </cell>
          <cell r="S258">
            <v>1</v>
          </cell>
        </row>
        <row r="259">
          <cell r="B259" t="str">
            <v>Distribución</v>
          </cell>
          <cell r="C259">
            <v>2</v>
          </cell>
          <cell r="D259">
            <v>12</v>
          </cell>
          <cell r="E259" t="str">
            <v>TP/0110</v>
          </cell>
          <cell r="F259">
            <v>45897</v>
          </cell>
          <cell r="G259">
            <v>45897</v>
          </cell>
          <cell r="H259" t="str">
            <v>Corte de agua Arbol Malato 2-4 en Laudio</v>
          </cell>
          <cell r="I259" t="str">
            <v>Corte de agua Arbol Malato 2-4</v>
          </cell>
          <cell r="J259" t="str">
            <v>Llodio</v>
          </cell>
          <cell r="O259" t="b">
            <v>1</v>
          </cell>
          <cell r="Q259">
            <v>1</v>
          </cell>
          <cell r="R259">
            <v>1</v>
          </cell>
        </row>
        <row r="260">
          <cell r="B260" t="str">
            <v>Distribución</v>
          </cell>
          <cell r="C260">
            <v>2</v>
          </cell>
          <cell r="D260">
            <v>8</v>
          </cell>
          <cell r="E260" t="str">
            <v>TP/0111</v>
          </cell>
          <cell r="F260">
            <v>45897</v>
          </cell>
          <cell r="G260">
            <v>45897</v>
          </cell>
          <cell r="H260" t="str">
            <v>Instalación Contador Arbol Malato 2 en Laudio</v>
          </cell>
          <cell r="I260" t="str">
            <v>Instalación Contador Arbol Malato 2</v>
          </cell>
          <cell r="J260" t="str">
            <v>Llodio</v>
          </cell>
          <cell r="O260" t="b">
            <v>1</v>
          </cell>
          <cell r="Q260">
            <v>1</v>
          </cell>
          <cell r="R260">
            <v>1</v>
          </cell>
        </row>
        <row r="261">
          <cell r="B261" t="str">
            <v>Distribución</v>
          </cell>
          <cell r="C261">
            <v>2</v>
          </cell>
          <cell r="D261">
            <v>10</v>
          </cell>
          <cell r="E261" t="str">
            <v>TP/0112</v>
          </cell>
          <cell r="F261">
            <v>45898</v>
          </cell>
          <cell r="G261">
            <v>45898</v>
          </cell>
          <cell r="H261" t="str">
            <v>Sustitución contador Goienuri 11 3ºD en Laudio</v>
          </cell>
          <cell r="I261" t="str">
            <v>Sustitución contador Goienuri 11 3ºD</v>
          </cell>
          <cell r="J261" t="str">
            <v>Llodio</v>
          </cell>
          <cell r="O261" t="b">
            <v>1</v>
          </cell>
          <cell r="Q261">
            <v>1</v>
          </cell>
          <cell r="R261">
            <v>1</v>
          </cell>
        </row>
        <row r="262">
          <cell r="B262" t="str">
            <v>Distribución</v>
          </cell>
          <cell r="C262">
            <v>2</v>
          </cell>
          <cell r="D262">
            <v>9</v>
          </cell>
          <cell r="E262" t="str">
            <v>TP/0113</v>
          </cell>
          <cell r="F262">
            <v>45898</v>
          </cell>
          <cell r="G262">
            <v>45898</v>
          </cell>
          <cell r="H262" t="str">
            <v>Retirada de contador Ruperto Urquijo 12 2º A en Laudio</v>
          </cell>
          <cell r="I262" t="str">
            <v>Retirada de contador Ruperto Urquijo 12 2ºA</v>
          </cell>
          <cell r="J262" t="str">
            <v>Llodio</v>
          </cell>
          <cell r="O262" t="b">
            <v>1</v>
          </cell>
          <cell r="Q262">
            <v>1</v>
          </cell>
          <cell r="R262">
            <v>1</v>
          </cell>
        </row>
        <row r="263">
          <cell r="B263" t="str">
            <v>Distribución</v>
          </cell>
          <cell r="C263">
            <v>2</v>
          </cell>
          <cell r="D263">
            <v>10</v>
          </cell>
          <cell r="E263" t="str">
            <v>TP/0115</v>
          </cell>
          <cell r="F263">
            <v>45901</v>
          </cell>
          <cell r="G263">
            <v>45901</v>
          </cell>
          <cell r="H263" t="str">
            <v>Sustitución de contador en instituto Zaraobe</v>
          </cell>
          <cell r="I263" t="str">
            <v>Sustitución contador Octave</v>
          </cell>
          <cell r="J263" t="str">
            <v>Amurrio</v>
          </cell>
          <cell r="O263" t="b">
            <v>1</v>
          </cell>
          <cell r="Q263">
            <v>1</v>
          </cell>
          <cell r="R263">
            <v>1</v>
          </cell>
        </row>
        <row r="264">
          <cell r="B264" t="str">
            <v>Saneamiento</v>
          </cell>
          <cell r="C264">
            <v>2</v>
          </cell>
          <cell r="D264">
            <v>3</v>
          </cell>
          <cell r="E264" t="str">
            <v>TP/0116</v>
          </cell>
          <cell r="F264">
            <v>45901</v>
          </cell>
          <cell r="G264">
            <v>45901</v>
          </cell>
          <cell r="H264" t="str">
            <v>Limpieza Sojo Red saneamiento en Sojo</v>
          </cell>
          <cell r="I264" t="str">
            <v>Limpieza Sojo Red saneamiento</v>
          </cell>
          <cell r="J264" t="str">
            <v>Sojo</v>
          </cell>
          <cell r="O264" t="b">
            <v>1</v>
          </cell>
          <cell r="Q264">
            <v>1</v>
          </cell>
          <cell r="R264">
            <v>3</v>
          </cell>
        </row>
        <row r="265">
          <cell r="B265" t="str">
            <v>Distribución</v>
          </cell>
          <cell r="C265">
            <v>1</v>
          </cell>
          <cell r="E265" t="str">
            <v>OT/0238</v>
          </cell>
          <cell r="F265">
            <v>45901</v>
          </cell>
          <cell r="G265">
            <v>45925</v>
          </cell>
          <cell r="H265" t="str">
            <v>Fuga Rivabellosa</v>
          </cell>
          <cell r="I265" t="str">
            <v>Arreglo de fuga</v>
          </cell>
          <cell r="J265" t="str">
            <v>Ribabellosa</v>
          </cell>
          <cell r="M265">
            <v>42.707141</v>
          </cell>
          <cell r="N265">
            <v>-2.9149560000000001</v>
          </cell>
          <cell r="O265" t="b">
            <v>1</v>
          </cell>
          <cell r="Q265">
            <v>5</v>
          </cell>
          <cell r="R265">
            <v>5</v>
          </cell>
          <cell r="S265">
            <v>1</v>
          </cell>
        </row>
        <row r="266">
          <cell r="B266" t="str">
            <v>Distribución</v>
          </cell>
          <cell r="C266">
            <v>2</v>
          </cell>
          <cell r="D266">
            <v>7</v>
          </cell>
          <cell r="E266" t="str">
            <v>TP/0117</v>
          </cell>
          <cell r="F266">
            <v>45901</v>
          </cell>
          <cell r="G266">
            <v>45901</v>
          </cell>
          <cell r="H266" t="str">
            <v>Localizacion fugas abastecimiento en Llodio</v>
          </cell>
          <cell r="I266" t="str">
            <v>Busqueda de fugas en sector centro -norte Laudio</v>
          </cell>
          <cell r="J266" t="str">
            <v>Llodio</v>
          </cell>
          <cell r="O266" t="b">
            <v>1</v>
          </cell>
          <cell r="Q266">
            <v>1</v>
          </cell>
          <cell r="R266">
            <v>1</v>
          </cell>
          <cell r="S266">
            <v>1</v>
          </cell>
        </row>
        <row r="267">
          <cell r="B267" t="str">
            <v>Depuración</v>
          </cell>
          <cell r="C267">
            <v>2</v>
          </cell>
          <cell r="D267">
            <v>3</v>
          </cell>
          <cell r="E267" t="str">
            <v>TP/0118</v>
          </cell>
          <cell r="F267">
            <v>45902</v>
          </cell>
          <cell r="G267">
            <v>45902</v>
          </cell>
          <cell r="H267" t="str">
            <v>Limpieza mto. fosas septicas en Aiarealdea</v>
          </cell>
          <cell r="I267" t="str">
            <v>Limpieza mto. fosas septicas</v>
          </cell>
          <cell r="J267" t="str">
            <v>AIARALDEA</v>
          </cell>
          <cell r="O267" t="b">
            <v>1</v>
          </cell>
          <cell r="Q267">
            <v>1</v>
          </cell>
          <cell r="R267">
            <v>1</v>
          </cell>
        </row>
        <row r="268">
          <cell r="B268" t="str">
            <v>Distribución</v>
          </cell>
          <cell r="C268">
            <v>2</v>
          </cell>
          <cell r="D268">
            <v>8</v>
          </cell>
          <cell r="E268" t="str">
            <v>TP/0119</v>
          </cell>
          <cell r="F268">
            <v>45902</v>
          </cell>
          <cell r="G268">
            <v>45902</v>
          </cell>
          <cell r="H268" t="str">
            <v>Instalación de contador en Agurain</v>
          </cell>
          <cell r="I268" t="str">
            <v>Alta de contador. Instalación</v>
          </cell>
          <cell r="J268" t="str">
            <v>Agurain</v>
          </cell>
          <cell r="O268" t="b">
            <v>1</v>
          </cell>
          <cell r="Q268">
            <v>3</v>
          </cell>
          <cell r="R268">
            <v>3</v>
          </cell>
        </row>
        <row r="269">
          <cell r="B269" t="str">
            <v>Distribución</v>
          </cell>
          <cell r="C269">
            <v>1</v>
          </cell>
          <cell r="E269" t="str">
            <v>OT/0239</v>
          </cell>
          <cell r="F269">
            <v>45902</v>
          </cell>
          <cell r="G269">
            <v>45902</v>
          </cell>
          <cell r="H269" t="str">
            <v>Fuga en Kejana</v>
          </cell>
          <cell r="I269" t="str">
            <v>Reparación fuga</v>
          </cell>
          <cell r="J269" t="str">
            <v>Quejana</v>
          </cell>
          <cell r="M269">
            <v>43.080398000000002</v>
          </cell>
          <cell r="N269">
            <v>-3.0646239999999998</v>
          </cell>
          <cell r="O269" t="b">
            <v>1</v>
          </cell>
          <cell r="Q269">
            <v>1</v>
          </cell>
          <cell r="R269">
            <v>1</v>
          </cell>
          <cell r="S269">
            <v>1</v>
          </cell>
        </row>
        <row r="270">
          <cell r="B270" t="str">
            <v>Distribución</v>
          </cell>
          <cell r="C270">
            <v>1</v>
          </cell>
          <cell r="E270" t="str">
            <v>OT/0240</v>
          </cell>
          <cell r="F270">
            <v>45902</v>
          </cell>
          <cell r="G270">
            <v>45902</v>
          </cell>
          <cell r="H270" t="str">
            <v>Fuga Berganza</v>
          </cell>
          <cell r="I270" t="str">
            <v>Reparacion Fuga</v>
          </cell>
          <cell r="J270" t="str">
            <v>Berganza-Baranbio</v>
          </cell>
          <cell r="M270">
            <v>43.055655999999999</v>
          </cell>
          <cell r="N270">
            <v>-2.9355920000000002</v>
          </cell>
          <cell r="O270" t="b">
            <v>1</v>
          </cell>
          <cell r="Q270">
            <v>1</v>
          </cell>
          <cell r="R270">
            <v>1</v>
          </cell>
          <cell r="S270">
            <v>1</v>
          </cell>
        </row>
        <row r="271">
          <cell r="B271" t="str">
            <v>Saneamiento</v>
          </cell>
          <cell r="C271">
            <v>1</v>
          </cell>
          <cell r="E271" t="str">
            <v>OT/0241</v>
          </cell>
          <cell r="F271">
            <v>45903</v>
          </cell>
          <cell r="G271">
            <v>45903</v>
          </cell>
          <cell r="H271" t="str">
            <v>Atasco Agurain</v>
          </cell>
          <cell r="I271" t="str">
            <v>Repación de atasco en Agurain</v>
          </cell>
          <cell r="J271" t="str">
            <v>Agurain</v>
          </cell>
          <cell r="M271">
            <v>42.848688000000003</v>
          </cell>
          <cell r="N271">
            <v>-2.3915109999999999</v>
          </cell>
          <cell r="O271" t="b">
            <v>1</v>
          </cell>
          <cell r="Q271">
            <v>3</v>
          </cell>
          <cell r="R271">
            <v>26</v>
          </cell>
          <cell r="S271">
            <v>2</v>
          </cell>
        </row>
        <row r="272">
          <cell r="B272" t="str">
            <v>Distribución</v>
          </cell>
          <cell r="C272">
            <v>1</v>
          </cell>
          <cell r="E272" t="str">
            <v>OT/0242</v>
          </cell>
          <cell r="F272">
            <v>45903</v>
          </cell>
          <cell r="G272">
            <v>45903</v>
          </cell>
          <cell r="H272" t="str">
            <v>Fuga Artziniega fibrocemento</v>
          </cell>
          <cell r="I272" t="str">
            <v>Fuga de fibrocemento en Arceniaga</v>
          </cell>
          <cell r="J272" t="str">
            <v>Artziniega</v>
          </cell>
          <cell r="M272">
            <v>43.132922999999998</v>
          </cell>
          <cell r="N272">
            <v>-3.1159849999999998</v>
          </cell>
          <cell r="O272" t="b">
            <v>1</v>
          </cell>
          <cell r="Q272">
            <v>1</v>
          </cell>
          <cell r="R272">
            <v>1</v>
          </cell>
          <cell r="S272">
            <v>1</v>
          </cell>
        </row>
        <row r="273">
          <cell r="B273" t="str">
            <v>Saneamiento</v>
          </cell>
          <cell r="C273">
            <v>1</v>
          </cell>
          <cell r="E273" t="str">
            <v>OT/0243</v>
          </cell>
          <cell r="F273">
            <v>45903</v>
          </cell>
          <cell r="G273">
            <v>45903</v>
          </cell>
          <cell r="H273" t="str">
            <v>Atasco en cementerio de Alegria-Dulantzi</v>
          </cell>
          <cell r="I273" t="str">
            <v>Atasco en cementerio</v>
          </cell>
          <cell r="J273" t="str">
            <v>Alegría</v>
          </cell>
          <cell r="M273">
            <v>42.842024000000002</v>
          </cell>
          <cell r="N273">
            <v>-2.5199950000000002</v>
          </cell>
          <cell r="O273" t="b">
            <v>1</v>
          </cell>
          <cell r="Q273">
            <v>3</v>
          </cell>
          <cell r="R273">
            <v>21</v>
          </cell>
          <cell r="S273">
            <v>2</v>
          </cell>
        </row>
        <row r="274">
          <cell r="B274" t="str">
            <v>Depuración</v>
          </cell>
          <cell r="C274">
            <v>2</v>
          </cell>
          <cell r="D274">
            <v>3</v>
          </cell>
          <cell r="E274" t="str">
            <v>TP/0120</v>
          </cell>
          <cell r="F274">
            <v>45903</v>
          </cell>
          <cell r="G274">
            <v>45903</v>
          </cell>
          <cell r="H274" t="str">
            <v>Revisión F.Septicas en Aiaraldea y c.c.m.m</v>
          </cell>
          <cell r="I274" t="str">
            <v>Revisión F.S en Aiaraldea</v>
          </cell>
          <cell r="J274" t="str">
            <v>AIARALDEA</v>
          </cell>
          <cell r="O274" t="b">
            <v>1</v>
          </cell>
          <cell r="Q274">
            <v>1</v>
          </cell>
          <cell r="R274">
            <v>1</v>
          </cell>
        </row>
        <row r="275">
          <cell r="B275" t="str">
            <v>Distribución</v>
          </cell>
          <cell r="C275">
            <v>2</v>
          </cell>
          <cell r="D275">
            <v>8</v>
          </cell>
          <cell r="E275" t="str">
            <v>TP/0121</v>
          </cell>
          <cell r="F275">
            <v>45903</v>
          </cell>
          <cell r="G275">
            <v>45903</v>
          </cell>
          <cell r="H275" t="str">
            <v>Intalación contador en Landako (Amurrio)</v>
          </cell>
          <cell r="I275" t="str">
            <v>Se le da la vuelta al contador en la instalación</v>
          </cell>
          <cell r="J275" t="str">
            <v>Landako</v>
          </cell>
          <cell r="O275" t="b">
            <v>1</v>
          </cell>
          <cell r="Q275">
            <v>1</v>
          </cell>
          <cell r="R275">
            <v>1</v>
          </cell>
        </row>
        <row r="276">
          <cell r="B276" t="str">
            <v>Distribución</v>
          </cell>
          <cell r="C276">
            <v>1</v>
          </cell>
          <cell r="E276" t="str">
            <v>OT/0244</v>
          </cell>
          <cell r="F276">
            <v>45903</v>
          </cell>
          <cell r="G276">
            <v>45903</v>
          </cell>
          <cell r="H276" t="str">
            <v>Reparación de Fuga Artziniega</v>
          </cell>
          <cell r="I276" t="str">
            <v>Reparación de Fuga Artziniega</v>
          </cell>
          <cell r="J276" t="str">
            <v>Artziniega</v>
          </cell>
          <cell r="M276">
            <v>43.138378000000003</v>
          </cell>
          <cell r="N276">
            <v>-3.1126670000000001</v>
          </cell>
          <cell r="O276" t="b">
            <v>1</v>
          </cell>
          <cell r="Q276">
            <v>1</v>
          </cell>
          <cell r="R276">
            <v>1</v>
          </cell>
          <cell r="S276">
            <v>1</v>
          </cell>
        </row>
        <row r="277">
          <cell r="B277" t="str">
            <v>Depuración</v>
          </cell>
          <cell r="C277">
            <v>2</v>
          </cell>
          <cell r="D277">
            <v>3</v>
          </cell>
          <cell r="E277" t="str">
            <v>TP/0122</v>
          </cell>
          <cell r="F277">
            <v>45903</v>
          </cell>
          <cell r="G277">
            <v>45903</v>
          </cell>
          <cell r="H277" t="str">
            <v>Limpieza fosa en Arbígano (Ribera Alta)</v>
          </cell>
          <cell r="I277" t="str">
            <v>Limpieza fosa en Arbígano (Ribera Alta)</v>
          </cell>
          <cell r="J277" t="str">
            <v>Arbígano</v>
          </cell>
          <cell r="O277" t="b">
            <v>1</v>
          </cell>
          <cell r="Q277">
            <v>5</v>
          </cell>
          <cell r="R277">
            <v>5</v>
          </cell>
        </row>
        <row r="278">
          <cell r="B278" t="str">
            <v>Depuración</v>
          </cell>
          <cell r="C278">
            <v>2</v>
          </cell>
          <cell r="D278">
            <v>3</v>
          </cell>
          <cell r="E278" t="str">
            <v>TP/0123</v>
          </cell>
          <cell r="F278">
            <v>45903</v>
          </cell>
          <cell r="G278">
            <v>45903</v>
          </cell>
          <cell r="H278" t="str">
            <v>Limpieza Fosa en Larrimbe</v>
          </cell>
          <cell r="I278" t="str">
            <v>Limpieza Fosa en Larrimbe</v>
          </cell>
          <cell r="J278" t="str">
            <v>Larrinbe</v>
          </cell>
          <cell r="O278" t="b">
            <v>1</v>
          </cell>
          <cell r="Q278">
            <v>1</v>
          </cell>
          <cell r="R278">
            <v>1</v>
          </cell>
        </row>
        <row r="279">
          <cell r="B279" t="str">
            <v>Distribución</v>
          </cell>
          <cell r="C279">
            <v>1</v>
          </cell>
          <cell r="E279" t="str">
            <v>OT/0245</v>
          </cell>
          <cell r="F279">
            <v>45903</v>
          </cell>
          <cell r="G279">
            <v>45903</v>
          </cell>
          <cell r="H279" t="str">
            <v>Colocar tapón en Murga</v>
          </cell>
          <cell r="I279" t="str">
            <v>Colocar tapón en Murga</v>
          </cell>
          <cell r="J279" t="str">
            <v>Murga</v>
          </cell>
          <cell r="M279">
            <v>43.082523000000002</v>
          </cell>
          <cell r="N279">
            <v>-3.0119500000000001</v>
          </cell>
          <cell r="O279" t="b">
            <v>1</v>
          </cell>
          <cell r="Q279">
            <v>1</v>
          </cell>
          <cell r="R279">
            <v>1</v>
          </cell>
          <cell r="S279">
            <v>3</v>
          </cell>
        </row>
        <row r="280">
          <cell r="B280" t="str">
            <v>Depuración</v>
          </cell>
          <cell r="C280">
            <v>1</v>
          </cell>
          <cell r="E280" t="str">
            <v>OT/0246</v>
          </cell>
          <cell r="F280">
            <v>45904</v>
          </cell>
          <cell r="G280">
            <v>45904</v>
          </cell>
          <cell r="H280" t="str">
            <v>Reparacion fuga en Erbi</v>
          </cell>
          <cell r="I280" t="str">
            <v>Reparacion fuga en Erbi</v>
          </cell>
          <cell r="J280" t="str">
            <v>Erbi</v>
          </cell>
          <cell r="M280">
            <v>43.074505000000002</v>
          </cell>
          <cell r="N280">
            <v>-3.1131190000000002</v>
          </cell>
          <cell r="O280" t="b">
            <v>1</v>
          </cell>
          <cell r="Q280">
            <v>1</v>
          </cell>
          <cell r="R280">
            <v>1</v>
          </cell>
          <cell r="S280">
            <v>1</v>
          </cell>
        </row>
        <row r="281">
          <cell r="B281" t="str">
            <v>Distribución</v>
          </cell>
          <cell r="C281">
            <v>2</v>
          </cell>
          <cell r="D281">
            <v>10</v>
          </cell>
          <cell r="E281" t="str">
            <v>TP/0124</v>
          </cell>
          <cell r="F281">
            <v>45904</v>
          </cell>
          <cell r="G281">
            <v>45904</v>
          </cell>
          <cell r="H281" t="str">
            <v>Sustitución contador en Amurrio</v>
          </cell>
          <cell r="I281" t="str">
            <v>Sustitución contador en Amurrio</v>
          </cell>
          <cell r="J281" t="str">
            <v>Amurrio</v>
          </cell>
          <cell r="O281" t="b">
            <v>1</v>
          </cell>
          <cell r="Q281">
            <v>1</v>
          </cell>
          <cell r="R281">
            <v>1</v>
          </cell>
        </row>
        <row r="282">
          <cell r="B282" t="str">
            <v>Distribución</v>
          </cell>
          <cell r="C282">
            <v>2</v>
          </cell>
          <cell r="D282">
            <v>7</v>
          </cell>
          <cell r="E282" t="str">
            <v>TP/0125</v>
          </cell>
          <cell r="F282">
            <v>45904</v>
          </cell>
          <cell r="G282">
            <v>45904</v>
          </cell>
          <cell r="H282" t="str">
            <v>Localización fugas en abastecimiento en Llodio</v>
          </cell>
          <cell r="I282" t="str">
            <v>Localización fugas en abastecimiento en Llodio</v>
          </cell>
          <cell r="J282" t="str">
            <v>Llodio</v>
          </cell>
          <cell r="O282" t="b">
            <v>1</v>
          </cell>
          <cell r="Q282">
            <v>1</v>
          </cell>
          <cell r="R282">
            <v>1</v>
          </cell>
          <cell r="S282">
            <v>1</v>
          </cell>
        </row>
        <row r="283">
          <cell r="B283" t="str">
            <v>Saneamiento</v>
          </cell>
          <cell r="C283">
            <v>1</v>
          </cell>
          <cell r="E283" t="str">
            <v>OT/0247</v>
          </cell>
          <cell r="F283">
            <v>45904</v>
          </cell>
          <cell r="G283">
            <v>45904</v>
          </cell>
          <cell r="H283" t="str">
            <v>Desatascar colector de saneamiento en Anucita</v>
          </cell>
          <cell r="I283" t="str">
            <v>Desatascar colector de saneamiento en Anucita</v>
          </cell>
          <cell r="J283" t="str">
            <v>Anucita</v>
          </cell>
          <cell r="M283">
            <v>42.801546000000002</v>
          </cell>
          <cell r="N283">
            <v>-2.8993639999999998</v>
          </cell>
          <cell r="O283" t="b">
            <v>1</v>
          </cell>
          <cell r="Q283">
            <v>5</v>
          </cell>
          <cell r="R283">
            <v>41</v>
          </cell>
          <cell r="S283">
            <v>2</v>
          </cell>
        </row>
        <row r="284">
          <cell r="B284" t="str">
            <v>Depuración</v>
          </cell>
          <cell r="C284">
            <v>1</v>
          </cell>
          <cell r="E284" t="str">
            <v>OT/0248</v>
          </cell>
          <cell r="F284">
            <v>45902</v>
          </cell>
          <cell r="G284">
            <v>45902</v>
          </cell>
          <cell r="H284" t="str">
            <v>Reparación fuga acometida fuente en Arraya</v>
          </cell>
          <cell r="I284" t="str">
            <v>Reparación fuga acometida fuente en Maeztu</v>
          </cell>
          <cell r="J284" t="str">
            <v>Maeztu</v>
          </cell>
          <cell r="M284">
            <v>42.739490000000004</v>
          </cell>
          <cell r="N284">
            <v>-2.4466700000000001</v>
          </cell>
          <cell r="O284" t="b">
            <v>1</v>
          </cell>
          <cell r="Q284">
            <v>6</v>
          </cell>
          <cell r="R284">
            <v>6</v>
          </cell>
          <cell r="S284">
            <v>1</v>
          </cell>
        </row>
        <row r="285">
          <cell r="B285" t="str">
            <v>Saneamiento</v>
          </cell>
          <cell r="C285">
            <v>1</v>
          </cell>
          <cell r="E285" t="str">
            <v>OT/0249</v>
          </cell>
          <cell r="F285">
            <v>45901</v>
          </cell>
          <cell r="G285">
            <v>45908</v>
          </cell>
          <cell r="H285" t="str">
            <v>Reparación saneamiento y desatasco en Amurrio</v>
          </cell>
          <cell r="I285" t="str">
            <v>Reparación saneamiento fuga y desatasco en Aldai 38</v>
          </cell>
          <cell r="J285" t="str">
            <v>Amurrio</v>
          </cell>
          <cell r="M285">
            <v>43.046377</v>
          </cell>
          <cell r="N285">
            <v>-3.0043859999999998</v>
          </cell>
          <cell r="O285" t="b">
            <v>1</v>
          </cell>
          <cell r="Q285">
            <v>1</v>
          </cell>
          <cell r="R285">
            <v>1</v>
          </cell>
          <cell r="S285">
            <v>2</v>
          </cell>
        </row>
        <row r="286">
          <cell r="B286" t="str">
            <v>Distribución</v>
          </cell>
          <cell r="C286">
            <v>1</v>
          </cell>
          <cell r="E286" t="str">
            <v>OT/0250</v>
          </cell>
          <cell r="F286">
            <v>45901</v>
          </cell>
          <cell r="G286">
            <v>45901</v>
          </cell>
          <cell r="H286" t="str">
            <v>Reparacion de fuga en Amurrio</v>
          </cell>
          <cell r="I286" t="str">
            <v>Reparacion fuga en Aldai 38</v>
          </cell>
          <cell r="J286" t="str">
            <v>Amurrio</v>
          </cell>
          <cell r="M286">
            <v>43.046377</v>
          </cell>
          <cell r="N286">
            <v>-3.0043859999999998</v>
          </cell>
          <cell r="O286" t="b">
            <v>1</v>
          </cell>
          <cell r="Q286">
            <v>1</v>
          </cell>
          <cell r="R286">
            <v>1</v>
          </cell>
          <cell r="S286">
            <v>1</v>
          </cell>
        </row>
        <row r="287">
          <cell r="B287" t="str">
            <v>Distribución</v>
          </cell>
          <cell r="C287">
            <v>2</v>
          </cell>
          <cell r="D287">
            <v>8</v>
          </cell>
          <cell r="E287" t="str">
            <v>TP/0126</v>
          </cell>
          <cell r="F287">
            <v>45904</v>
          </cell>
          <cell r="G287">
            <v>45904</v>
          </cell>
          <cell r="H287" t="str">
            <v>Instalación contadores en Sabando</v>
          </cell>
          <cell r="I287" t="str">
            <v>Reparando bebederos del pueblo en Sabando</v>
          </cell>
          <cell r="J287" t="str">
            <v>Sabando</v>
          </cell>
          <cell r="O287" t="b">
            <v>1</v>
          </cell>
          <cell r="Q287">
            <v>6</v>
          </cell>
          <cell r="R287">
            <v>6</v>
          </cell>
        </row>
        <row r="288">
          <cell r="B288" t="str">
            <v>Saneamiento</v>
          </cell>
          <cell r="C288">
            <v>2</v>
          </cell>
          <cell r="D288">
            <v>3</v>
          </cell>
          <cell r="E288" t="str">
            <v>TP/0127</v>
          </cell>
          <cell r="F288">
            <v>45904</v>
          </cell>
          <cell r="G288">
            <v>45904</v>
          </cell>
          <cell r="H288" t="str">
            <v>Mantenimiento preventivo en saneamiento en Llodio</v>
          </cell>
          <cell r="I288" t="str">
            <v>Mantenimiento cadena al camión de saneamiento</v>
          </cell>
          <cell r="J288" t="str">
            <v>Llodio</v>
          </cell>
          <cell r="O288" t="b">
            <v>1</v>
          </cell>
          <cell r="Q288">
            <v>1</v>
          </cell>
          <cell r="R288">
            <v>4</v>
          </cell>
        </row>
        <row r="289">
          <cell r="B289" t="str">
            <v>Saneamiento</v>
          </cell>
          <cell r="C289">
            <v>1</v>
          </cell>
          <cell r="E289" t="str">
            <v>OT/0250</v>
          </cell>
          <cell r="F289">
            <v>45904</v>
          </cell>
          <cell r="G289">
            <v>45904</v>
          </cell>
          <cell r="H289" t="str">
            <v>Desatasco en Tuesta</v>
          </cell>
          <cell r="I289" t="str">
            <v>Desatasco en Tuesta</v>
          </cell>
          <cell r="J289" t="str">
            <v>Tuesta</v>
          </cell>
          <cell r="M289">
            <v>42.809202999999997</v>
          </cell>
          <cell r="N289">
            <v>-3.0253009999999998</v>
          </cell>
          <cell r="O289" t="b">
            <v>1</v>
          </cell>
          <cell r="Q289">
            <v>5</v>
          </cell>
          <cell r="R289">
            <v>44</v>
          </cell>
          <cell r="S289">
            <v>2</v>
          </cell>
        </row>
        <row r="290">
          <cell r="B290" t="str">
            <v>Depuración</v>
          </cell>
          <cell r="C290">
            <v>2</v>
          </cell>
          <cell r="D290">
            <v>3</v>
          </cell>
          <cell r="E290" t="str">
            <v>TP/0128</v>
          </cell>
          <cell r="F290">
            <v>45904</v>
          </cell>
          <cell r="G290">
            <v>45904</v>
          </cell>
          <cell r="H290" t="str">
            <v>Limpieza de Fosa en Mimeza (Redes)</v>
          </cell>
          <cell r="I290" t="str">
            <v>Limpieza de Fosa en Mimeza (Redes)</v>
          </cell>
          <cell r="J290" t="str">
            <v>Mimeza</v>
          </cell>
          <cell r="O290" t="b">
            <v>1</v>
          </cell>
          <cell r="Q290">
            <v>1</v>
          </cell>
          <cell r="R290">
            <v>1</v>
          </cell>
        </row>
        <row r="291">
          <cell r="B291" t="str">
            <v>Depuración</v>
          </cell>
          <cell r="C291">
            <v>2</v>
          </cell>
          <cell r="D291">
            <v>3</v>
          </cell>
          <cell r="E291" t="str">
            <v>TP/0129</v>
          </cell>
          <cell r="F291">
            <v>45908</v>
          </cell>
          <cell r="G291">
            <v>45908</v>
          </cell>
          <cell r="H291" t="str">
            <v>Limpieza Fosa de Gereñu</v>
          </cell>
          <cell r="I291" t="str">
            <v>Limpieza Fosa de Gereñu</v>
          </cell>
          <cell r="J291" t="str">
            <v>Gereñu</v>
          </cell>
          <cell r="O291" t="b">
            <v>1</v>
          </cell>
          <cell r="Q291">
            <v>3</v>
          </cell>
          <cell r="R291">
            <v>3</v>
          </cell>
        </row>
        <row r="292">
          <cell r="B292" t="str">
            <v>Depuración</v>
          </cell>
          <cell r="C292">
            <v>2</v>
          </cell>
          <cell r="D292">
            <v>3</v>
          </cell>
          <cell r="E292" t="str">
            <v>TP/0130</v>
          </cell>
          <cell r="F292">
            <v>45908</v>
          </cell>
          <cell r="G292">
            <v>45908</v>
          </cell>
          <cell r="H292" t="str">
            <v>Limpieza de Fosa en Durana</v>
          </cell>
          <cell r="I292" t="str">
            <v>Limpieza de Fosa en Durana</v>
          </cell>
          <cell r="J292" t="str">
            <v>Durana</v>
          </cell>
          <cell r="O292" t="b">
            <v>1</v>
          </cell>
          <cell r="Q292">
            <v>4</v>
          </cell>
          <cell r="R292">
            <v>4</v>
          </cell>
        </row>
        <row r="293">
          <cell r="B293" t="str">
            <v>Distribución</v>
          </cell>
          <cell r="C293">
            <v>2</v>
          </cell>
          <cell r="D293">
            <v>7</v>
          </cell>
          <cell r="E293" t="str">
            <v>TP/0131</v>
          </cell>
          <cell r="F293">
            <v>45909</v>
          </cell>
          <cell r="G293">
            <v>45909</v>
          </cell>
          <cell r="H293" t="str">
            <v>Localización de Fugas en abastecimiento en Respaldiza</v>
          </cell>
          <cell r="I293" t="str">
            <v>Localización de Fugas en abastecimiento en Respaldiza</v>
          </cell>
          <cell r="J293" t="str">
            <v>Respaldiza</v>
          </cell>
          <cell r="O293" t="b">
            <v>1</v>
          </cell>
          <cell r="Q293">
            <v>1</v>
          </cell>
          <cell r="R293">
            <v>1</v>
          </cell>
          <cell r="S293">
            <v>1</v>
          </cell>
        </row>
        <row r="294">
          <cell r="B294" t="str">
            <v>Depuración</v>
          </cell>
          <cell r="C294">
            <v>2</v>
          </cell>
          <cell r="D294">
            <v>3</v>
          </cell>
          <cell r="E294" t="str">
            <v>TP/0132</v>
          </cell>
          <cell r="F294">
            <v>45909</v>
          </cell>
          <cell r="G294">
            <v>45909</v>
          </cell>
          <cell r="H294" t="str">
            <v>Mantenimiento de Fosas en Arceniaga</v>
          </cell>
          <cell r="I294" t="str">
            <v>Mantenimiento de Fosas en Artzeniaga</v>
          </cell>
          <cell r="J294" t="str">
            <v>Artziniega</v>
          </cell>
          <cell r="O294" t="b">
            <v>1</v>
          </cell>
          <cell r="Q294">
            <v>1</v>
          </cell>
          <cell r="R294">
            <v>1</v>
          </cell>
        </row>
        <row r="295">
          <cell r="B295" t="str">
            <v>Distribución</v>
          </cell>
          <cell r="C295">
            <v>2</v>
          </cell>
          <cell r="D295">
            <v>7</v>
          </cell>
          <cell r="E295" t="str">
            <v>TP/0133</v>
          </cell>
          <cell r="F295">
            <v>45909</v>
          </cell>
          <cell r="G295">
            <v>45909</v>
          </cell>
          <cell r="H295" t="str">
            <v>Localización de Fugas en Isasi (Llodio)</v>
          </cell>
          <cell r="I295" t="str">
            <v>Localización de Fugas en Isasi</v>
          </cell>
          <cell r="J295" t="str">
            <v>Llodio</v>
          </cell>
          <cell r="O295" t="b">
            <v>1</v>
          </cell>
          <cell r="Q295">
            <v>1</v>
          </cell>
          <cell r="R295">
            <v>1</v>
          </cell>
          <cell r="S295">
            <v>1</v>
          </cell>
        </row>
        <row r="296">
          <cell r="B296" t="str">
            <v>Distribución</v>
          </cell>
          <cell r="C296">
            <v>1</v>
          </cell>
          <cell r="E296" t="str">
            <v>OT/0251</v>
          </cell>
          <cell r="F296">
            <v>45907</v>
          </cell>
          <cell r="G296">
            <v>45907</v>
          </cell>
          <cell r="H296" t="str">
            <v>Arreglar fuga en Santa Lucia - Bombeo</v>
          </cell>
          <cell r="I296" t="str">
            <v>Arreglar fuga en Santa Lucia - Bombeo</v>
          </cell>
          <cell r="J296" t="str">
            <v>Santa lucia</v>
          </cell>
          <cell r="M296">
            <v>43.168678</v>
          </cell>
          <cell r="N296">
            <v>-2.9810300000000001</v>
          </cell>
          <cell r="O296" t="b">
            <v>1</v>
          </cell>
          <cell r="Q296">
            <v>1</v>
          </cell>
          <cell r="R296">
            <v>1</v>
          </cell>
          <cell r="S296">
            <v>1</v>
          </cell>
        </row>
        <row r="297">
          <cell r="B297" t="str">
            <v>Distribución</v>
          </cell>
          <cell r="C297">
            <v>1</v>
          </cell>
          <cell r="E297" t="str">
            <v>OT/0252</v>
          </cell>
          <cell r="F297">
            <v>45907</v>
          </cell>
          <cell r="G297">
            <v>45907</v>
          </cell>
          <cell r="H297" t="str">
            <v>Arreglar Fuga en Estavillo</v>
          </cell>
          <cell r="I297" t="str">
            <v>Arreglar Fuga en Estavillo en arqueta</v>
          </cell>
          <cell r="J297" t="str">
            <v>Estabillo</v>
          </cell>
          <cell r="M297">
            <v>42.729059999999997</v>
          </cell>
          <cell r="N297">
            <v>-2.8579460000000001</v>
          </cell>
          <cell r="O297" t="b">
            <v>1</v>
          </cell>
          <cell r="Q297">
            <v>5</v>
          </cell>
          <cell r="R297">
            <v>5</v>
          </cell>
          <cell r="S297">
            <v>1</v>
          </cell>
        </row>
        <row r="298">
          <cell r="B298" t="str">
            <v>Saneamiento</v>
          </cell>
          <cell r="C298">
            <v>1</v>
          </cell>
          <cell r="E298" t="str">
            <v>OT/0253</v>
          </cell>
          <cell r="F298">
            <v>45906</v>
          </cell>
          <cell r="G298">
            <v>45906</v>
          </cell>
          <cell r="H298" t="str">
            <v>Atasco en avenida Ametzola en Artzeniaga</v>
          </cell>
          <cell r="I298" t="str">
            <v>Atasco en avenida Ametzola</v>
          </cell>
          <cell r="J298" t="str">
            <v>Artziniega</v>
          </cell>
          <cell r="M298">
            <v>43.120674000000001</v>
          </cell>
          <cell r="N298">
            <v>-3.1328330000000002</v>
          </cell>
          <cell r="O298" t="b">
            <v>1</v>
          </cell>
          <cell r="Q298">
            <v>1</v>
          </cell>
          <cell r="R298">
            <v>2</v>
          </cell>
          <cell r="S298">
            <v>2</v>
          </cell>
        </row>
        <row r="299">
          <cell r="B299" t="str">
            <v>Saneamiento</v>
          </cell>
          <cell r="C299">
            <v>1</v>
          </cell>
          <cell r="E299" t="str">
            <v>OT/0254</v>
          </cell>
          <cell r="F299">
            <v>45906</v>
          </cell>
          <cell r="G299">
            <v>45906</v>
          </cell>
          <cell r="H299" t="str">
            <v>Atasco en Tuesta</v>
          </cell>
          <cell r="I299" t="str">
            <v>Atasco en Tuesta</v>
          </cell>
          <cell r="J299" t="str">
            <v>Tuesta</v>
          </cell>
          <cell r="M299">
            <v>42.809202999999997</v>
          </cell>
          <cell r="N299">
            <v>-3.0253009999999998</v>
          </cell>
          <cell r="O299" t="b">
            <v>1</v>
          </cell>
          <cell r="Q299">
            <v>5</v>
          </cell>
          <cell r="R299">
            <v>44</v>
          </cell>
          <cell r="S299">
            <v>2</v>
          </cell>
        </row>
        <row r="300">
          <cell r="B300" t="str">
            <v>Distribución</v>
          </cell>
          <cell r="C300">
            <v>1</v>
          </cell>
          <cell r="E300" t="str">
            <v>OT/0255</v>
          </cell>
          <cell r="F300">
            <v>45906</v>
          </cell>
          <cell r="G300">
            <v>45906</v>
          </cell>
          <cell r="H300" t="str">
            <v>Fuga en ElBurgo</v>
          </cell>
          <cell r="I300" t="str">
            <v>Fuga en el Burgo</v>
          </cell>
          <cell r="J300" t="str">
            <v>Elburgo</v>
          </cell>
          <cell r="M300">
            <v>42.848739999999999</v>
          </cell>
          <cell r="N300">
            <v>-2.544238</v>
          </cell>
          <cell r="O300" t="b">
            <v>1</v>
          </cell>
          <cell r="Q300">
            <v>3</v>
          </cell>
          <cell r="R300">
            <v>3</v>
          </cell>
          <cell r="S300">
            <v>1</v>
          </cell>
        </row>
        <row r="301">
          <cell r="B301" t="str">
            <v>Distribución</v>
          </cell>
          <cell r="C301">
            <v>1</v>
          </cell>
          <cell r="E301" t="str">
            <v>OT/0256</v>
          </cell>
          <cell r="F301">
            <v>45906</v>
          </cell>
          <cell r="G301">
            <v>45906</v>
          </cell>
          <cell r="H301" t="str">
            <v>Fuga en Maroño</v>
          </cell>
          <cell r="I301" t="str">
            <v>Fuga en Maroño</v>
          </cell>
          <cell r="J301" t="str">
            <v>Maroño</v>
          </cell>
          <cell r="M301">
            <v>43.04186</v>
          </cell>
          <cell r="N301">
            <v>-3.0641379999999998</v>
          </cell>
          <cell r="O301" t="b">
            <v>1</v>
          </cell>
          <cell r="Q301">
            <v>1</v>
          </cell>
          <cell r="R301">
            <v>1</v>
          </cell>
          <cell r="S301">
            <v>1</v>
          </cell>
        </row>
        <row r="302">
          <cell r="B302" t="str">
            <v>Distribución</v>
          </cell>
          <cell r="C302">
            <v>1</v>
          </cell>
          <cell r="E302" t="str">
            <v>OT/0257</v>
          </cell>
          <cell r="F302">
            <v>45905</v>
          </cell>
          <cell r="G302">
            <v>45905</v>
          </cell>
          <cell r="H302" t="str">
            <v>Fuga en Etxegoien</v>
          </cell>
          <cell r="I302" t="str">
            <v>Fuga en Etxegoien</v>
          </cell>
          <cell r="J302" t="str">
            <v>Etxegoien</v>
          </cell>
          <cell r="M302">
            <v>43.043339000000003</v>
          </cell>
          <cell r="N302">
            <v>-3.0217200000000002</v>
          </cell>
          <cell r="O302" t="b">
            <v>1</v>
          </cell>
          <cell r="Q302">
            <v>1</v>
          </cell>
          <cell r="R302">
            <v>1</v>
          </cell>
          <cell r="S302">
            <v>1</v>
          </cell>
        </row>
        <row r="303">
          <cell r="B303" t="str">
            <v>Distribución</v>
          </cell>
          <cell r="C303">
            <v>1</v>
          </cell>
          <cell r="E303" t="str">
            <v>OT/0348</v>
          </cell>
          <cell r="F303">
            <v>45905</v>
          </cell>
          <cell r="G303">
            <v>45905</v>
          </cell>
          <cell r="H303" t="str">
            <v>Fuga en Espejo</v>
          </cell>
          <cell r="I303" t="str">
            <v>Fuga en Espejo</v>
          </cell>
          <cell r="J303" t="str">
            <v>Espejo</v>
          </cell>
          <cell r="O303" t="b">
            <v>1</v>
          </cell>
          <cell r="Q303">
            <v>5</v>
          </cell>
          <cell r="R303">
            <v>5</v>
          </cell>
          <cell r="S303">
            <v>1</v>
          </cell>
        </row>
        <row r="304">
          <cell r="B304" t="str">
            <v>Aducción</v>
          </cell>
          <cell r="C304">
            <v>2</v>
          </cell>
          <cell r="D304">
            <v>2</v>
          </cell>
          <cell r="E304" t="str">
            <v>TP/0134</v>
          </cell>
          <cell r="F304">
            <v>45905</v>
          </cell>
          <cell r="G304">
            <v>45905</v>
          </cell>
          <cell r="H304" t="str">
            <v>Limpiezas captaciones en Llanteno</v>
          </cell>
          <cell r="I304" t="str">
            <v>Limpiezas captaciones en Llanteno</v>
          </cell>
          <cell r="J304" t="str">
            <v>Llanteno</v>
          </cell>
          <cell r="O304" t="b">
            <v>1</v>
          </cell>
          <cell r="Q304">
            <v>1</v>
          </cell>
          <cell r="R304">
            <v>1</v>
          </cell>
        </row>
        <row r="305">
          <cell r="B305" t="str">
            <v>Distribución</v>
          </cell>
          <cell r="C305">
            <v>1</v>
          </cell>
          <cell r="E305" t="str">
            <v>OT/0258</v>
          </cell>
          <cell r="F305">
            <v>45905</v>
          </cell>
          <cell r="G305">
            <v>45905</v>
          </cell>
          <cell r="H305" t="str">
            <v>Fuga en Sabanto</v>
          </cell>
          <cell r="I305" t="str">
            <v>Fuga en Sabando</v>
          </cell>
          <cell r="J305" t="str">
            <v>Sabando</v>
          </cell>
          <cell r="M305">
            <v>42.749721999999998</v>
          </cell>
          <cell r="N305">
            <v>-2.4021710000000001</v>
          </cell>
          <cell r="O305" t="b">
            <v>1</v>
          </cell>
          <cell r="Q305">
            <v>6</v>
          </cell>
          <cell r="R305">
            <v>6</v>
          </cell>
          <cell r="S305">
            <v>1</v>
          </cell>
        </row>
        <row r="306">
          <cell r="B306" t="str">
            <v>Distribución</v>
          </cell>
          <cell r="C306">
            <v>2</v>
          </cell>
          <cell r="D306">
            <v>8</v>
          </cell>
          <cell r="E306" t="str">
            <v>TP/0135</v>
          </cell>
          <cell r="F306">
            <v>45910</v>
          </cell>
          <cell r="G306">
            <v>45910</v>
          </cell>
          <cell r="H306" t="str">
            <v>Cambio de contador en Tuesta</v>
          </cell>
          <cell r="I306" t="str">
            <v>Cambio de contador en Tuesta</v>
          </cell>
          <cell r="J306" t="str">
            <v>Tuesta</v>
          </cell>
          <cell r="O306" t="b">
            <v>1</v>
          </cell>
          <cell r="Q306">
            <v>5</v>
          </cell>
          <cell r="R306">
            <v>5</v>
          </cell>
        </row>
        <row r="307">
          <cell r="B307" t="str">
            <v>Distribución</v>
          </cell>
          <cell r="C307">
            <v>2</v>
          </cell>
          <cell r="D307">
            <v>8</v>
          </cell>
          <cell r="E307" t="str">
            <v>TP/0136</v>
          </cell>
          <cell r="F307">
            <v>45910</v>
          </cell>
          <cell r="G307">
            <v>45910</v>
          </cell>
          <cell r="H307" t="str">
            <v>Cambio de contador en Ribabellosa</v>
          </cell>
          <cell r="I307" t="str">
            <v>Cambio de contador en Ribabellosa en la residencia</v>
          </cell>
          <cell r="J307" t="str">
            <v>Ribabellosa</v>
          </cell>
          <cell r="O307" t="b">
            <v>1</v>
          </cell>
          <cell r="Q307">
            <v>5</v>
          </cell>
          <cell r="R307">
            <v>5</v>
          </cell>
        </row>
        <row r="308">
          <cell r="B308" t="str">
            <v>Distribución</v>
          </cell>
          <cell r="C308">
            <v>1</v>
          </cell>
          <cell r="E308" t="str">
            <v>OT/0259</v>
          </cell>
          <cell r="F308">
            <v>45910</v>
          </cell>
          <cell r="G308">
            <v>45925</v>
          </cell>
          <cell r="H308" t="str">
            <v>Reparacion de fuga en Berantevilla</v>
          </cell>
          <cell r="I308" t="str">
            <v>Reparacion de fuga en Berantevilla</v>
          </cell>
          <cell r="J308" t="str">
            <v>Berantevilla</v>
          </cell>
          <cell r="M308">
            <v>42.683829000000003</v>
          </cell>
          <cell r="N308">
            <v>-2.8609059999999999</v>
          </cell>
          <cell r="O308" t="b">
            <v>1</v>
          </cell>
          <cell r="Q308">
            <v>5</v>
          </cell>
          <cell r="R308">
            <v>5</v>
          </cell>
          <cell r="S308">
            <v>1</v>
          </cell>
        </row>
        <row r="309">
          <cell r="B309" t="str">
            <v>Depuración</v>
          </cell>
          <cell r="C309">
            <v>2</v>
          </cell>
          <cell r="D309">
            <v>3</v>
          </cell>
          <cell r="E309" t="str">
            <v>TP/0137</v>
          </cell>
          <cell r="F309">
            <v>45905</v>
          </cell>
          <cell r="G309">
            <v>45905</v>
          </cell>
          <cell r="H309" t="str">
            <v>Mantenimiento de fosas septicas en Dulantzi-Usategui</v>
          </cell>
          <cell r="I309" t="str">
            <v>Mantenimiento de fosas septicas en Dulantzi</v>
          </cell>
          <cell r="J309" t="str">
            <v>Dulantzi</v>
          </cell>
          <cell r="O309" t="b">
            <v>1</v>
          </cell>
          <cell r="Q309">
            <v>3</v>
          </cell>
          <cell r="R309">
            <v>3</v>
          </cell>
        </row>
        <row r="310">
          <cell r="B310" t="str">
            <v>Saneamiento</v>
          </cell>
          <cell r="C310">
            <v>2</v>
          </cell>
          <cell r="D310">
            <v>5</v>
          </cell>
          <cell r="E310" t="str">
            <v>TP/0138</v>
          </cell>
          <cell r="F310">
            <v>45905</v>
          </cell>
          <cell r="G310">
            <v>45905</v>
          </cell>
          <cell r="H310" t="str">
            <v>Cartografia red saneamiento inventario en P.I.Usategui</v>
          </cell>
          <cell r="I310" t="str">
            <v>Cartografia red saneamiento inventario</v>
          </cell>
          <cell r="J310" t="str">
            <v>Dulantzi</v>
          </cell>
          <cell r="O310" t="b">
            <v>1</v>
          </cell>
          <cell r="Q310">
            <v>3</v>
          </cell>
          <cell r="R310">
            <v>21</v>
          </cell>
        </row>
        <row r="311">
          <cell r="B311" t="str">
            <v>Distribución</v>
          </cell>
          <cell r="C311">
            <v>2</v>
          </cell>
          <cell r="D311">
            <v>7</v>
          </cell>
          <cell r="E311" t="str">
            <v>TP/0139</v>
          </cell>
          <cell r="F311">
            <v>45908</v>
          </cell>
          <cell r="G311">
            <v>45908</v>
          </cell>
          <cell r="H311" t="str">
            <v>Localización de fugas en Elburgo</v>
          </cell>
          <cell r="I311" t="str">
            <v>Localización de fugas en Elburgo</v>
          </cell>
          <cell r="J311" t="str">
            <v>Elburgo</v>
          </cell>
          <cell r="O311" t="b">
            <v>1</v>
          </cell>
          <cell r="Q311">
            <v>3</v>
          </cell>
          <cell r="R311">
            <v>3</v>
          </cell>
          <cell r="S311">
            <v>1</v>
          </cell>
        </row>
        <row r="312">
          <cell r="B312" t="str">
            <v>Distribución</v>
          </cell>
          <cell r="C312">
            <v>2</v>
          </cell>
          <cell r="D312">
            <v>7</v>
          </cell>
          <cell r="E312" t="str">
            <v>TP/0140</v>
          </cell>
          <cell r="F312">
            <v>45908</v>
          </cell>
          <cell r="G312">
            <v>45908</v>
          </cell>
          <cell r="H312" t="str">
            <v>Localización de fugas en Berantevilla</v>
          </cell>
          <cell r="I312" t="str">
            <v>Localización de fugas en Berantevilla</v>
          </cell>
          <cell r="J312" t="str">
            <v>Berantevilla</v>
          </cell>
          <cell r="O312" t="b">
            <v>1</v>
          </cell>
          <cell r="Q312">
            <v>5</v>
          </cell>
          <cell r="R312">
            <v>5</v>
          </cell>
          <cell r="S312">
            <v>1</v>
          </cell>
        </row>
        <row r="313">
          <cell r="B313" t="str">
            <v>Depuración</v>
          </cell>
          <cell r="C313">
            <v>2</v>
          </cell>
          <cell r="D313">
            <v>3</v>
          </cell>
          <cell r="E313" t="str">
            <v>TP/0141</v>
          </cell>
          <cell r="F313">
            <v>45908</v>
          </cell>
          <cell r="G313">
            <v>45908</v>
          </cell>
          <cell r="H313" t="str">
            <v>Mantenimiento de fosas en Corro</v>
          </cell>
          <cell r="I313" t="str">
            <v>Mantenimiento de fosas en Corro</v>
          </cell>
          <cell r="J313" t="str">
            <v>Corro</v>
          </cell>
          <cell r="O313" t="b">
            <v>1</v>
          </cell>
          <cell r="Q313">
            <v>5</v>
          </cell>
          <cell r="R313">
            <v>5</v>
          </cell>
        </row>
        <row r="314">
          <cell r="B314" t="str">
            <v>Distribución</v>
          </cell>
          <cell r="C314">
            <v>2</v>
          </cell>
          <cell r="D314">
            <v>7</v>
          </cell>
          <cell r="E314" t="str">
            <v>TP/0142</v>
          </cell>
          <cell r="F314">
            <v>45908</v>
          </cell>
          <cell r="G314">
            <v>45908</v>
          </cell>
          <cell r="H314" t="str">
            <v>Localización de fugas  en Respaldiza</v>
          </cell>
          <cell r="I314" t="str">
            <v>Localización de fugas  en Respaldiza</v>
          </cell>
          <cell r="J314" t="str">
            <v>Respaldiza</v>
          </cell>
          <cell r="O314" t="b">
            <v>1</v>
          </cell>
          <cell r="Q314">
            <v>1</v>
          </cell>
          <cell r="R314">
            <v>1</v>
          </cell>
          <cell r="S314">
            <v>1</v>
          </cell>
        </row>
        <row r="315">
          <cell r="B315" t="str">
            <v>Distribución</v>
          </cell>
          <cell r="C315">
            <v>2</v>
          </cell>
          <cell r="D315">
            <v>8</v>
          </cell>
          <cell r="E315" t="str">
            <v>TP/0143</v>
          </cell>
          <cell r="F315">
            <v>45910</v>
          </cell>
          <cell r="G315">
            <v>45910</v>
          </cell>
          <cell r="H315" t="str">
            <v>Instalacion de contadores en Alegria - Dulantzi</v>
          </cell>
          <cell r="I315" t="str">
            <v>Instalacion de contadores en Txoznas</v>
          </cell>
          <cell r="J315" t="str">
            <v>Alegría</v>
          </cell>
          <cell r="O315" t="b">
            <v>1</v>
          </cell>
          <cell r="Q315">
            <v>3</v>
          </cell>
          <cell r="R315">
            <v>3</v>
          </cell>
        </row>
        <row r="316">
          <cell r="B316" t="str">
            <v>Distribución</v>
          </cell>
          <cell r="C316">
            <v>2</v>
          </cell>
          <cell r="D316">
            <v>8</v>
          </cell>
          <cell r="E316" t="str">
            <v>TP/0144</v>
          </cell>
          <cell r="F316">
            <v>45910</v>
          </cell>
          <cell r="G316">
            <v>45910</v>
          </cell>
          <cell r="H316" t="str">
            <v>Sustitución de contadores en Alegria - Dulantzi</v>
          </cell>
          <cell r="I316" t="str">
            <v>Sustitución de contadores en Alegria</v>
          </cell>
          <cell r="J316" t="str">
            <v>Alegría</v>
          </cell>
          <cell r="O316" t="b">
            <v>1</v>
          </cell>
          <cell r="Q316">
            <v>3</v>
          </cell>
          <cell r="R316">
            <v>3</v>
          </cell>
        </row>
        <row r="317">
          <cell r="B317" t="str">
            <v>Distribución</v>
          </cell>
          <cell r="C317">
            <v>2</v>
          </cell>
          <cell r="D317">
            <v>8</v>
          </cell>
          <cell r="E317" t="str">
            <v>TP/0145</v>
          </cell>
          <cell r="F317">
            <v>45910</v>
          </cell>
          <cell r="G317">
            <v>45910</v>
          </cell>
          <cell r="H317" t="str">
            <v>Cambio de contador en Alegria - Dulantzi</v>
          </cell>
          <cell r="I317" t="str">
            <v>Cambio de contador en Alegria - Dulantzi</v>
          </cell>
          <cell r="J317" t="str">
            <v>Dulantzi</v>
          </cell>
          <cell r="O317" t="b">
            <v>1</v>
          </cell>
          <cell r="Q317">
            <v>3</v>
          </cell>
          <cell r="R317">
            <v>3</v>
          </cell>
        </row>
        <row r="318">
          <cell r="B318" t="str">
            <v>Depuración</v>
          </cell>
          <cell r="C318">
            <v>2</v>
          </cell>
          <cell r="D318">
            <v>3</v>
          </cell>
          <cell r="E318" t="str">
            <v>TP/0146</v>
          </cell>
          <cell r="F318">
            <v>45910</v>
          </cell>
          <cell r="G318">
            <v>45910</v>
          </cell>
          <cell r="H318" t="str">
            <v>Limpiezas de Fosa en Elburgo</v>
          </cell>
          <cell r="I318" t="str">
            <v>Limpiezas de Fosa en Elburgo</v>
          </cell>
          <cell r="J318" t="str">
            <v>Elburgo</v>
          </cell>
          <cell r="O318" t="b">
            <v>1</v>
          </cell>
          <cell r="Q318">
            <v>3</v>
          </cell>
          <cell r="R318">
            <v>3</v>
          </cell>
        </row>
        <row r="319">
          <cell r="B319" t="str">
            <v>Distribución</v>
          </cell>
          <cell r="C319">
            <v>2</v>
          </cell>
          <cell r="D319">
            <v>8</v>
          </cell>
          <cell r="E319" t="str">
            <v>TP/0147</v>
          </cell>
          <cell r="F319">
            <v>45910</v>
          </cell>
          <cell r="G319">
            <v>45910</v>
          </cell>
          <cell r="H319" t="str">
            <v>Cambio juntas de contador en Menagaray</v>
          </cell>
          <cell r="I319" t="str">
            <v>Cambio juntas de contador en Menagaray</v>
          </cell>
          <cell r="J319" t="str">
            <v>Menagaray</v>
          </cell>
          <cell r="O319" t="b">
            <v>1</v>
          </cell>
          <cell r="Q319">
            <v>1</v>
          </cell>
          <cell r="R319">
            <v>1</v>
          </cell>
        </row>
        <row r="320">
          <cell r="B320" t="str">
            <v>Distribución</v>
          </cell>
          <cell r="C320">
            <v>1</v>
          </cell>
          <cell r="E320" t="str">
            <v>OT/0260</v>
          </cell>
          <cell r="F320">
            <v>45910</v>
          </cell>
          <cell r="G320">
            <v>45910</v>
          </cell>
          <cell r="H320" t="str">
            <v>Reparacion de acometida en fuente calle Vitoria en Areta</v>
          </cell>
          <cell r="I320" t="str">
            <v>Reparacion de acometida en fuente calle Vitoria en Areta</v>
          </cell>
          <cell r="J320" t="str">
            <v>Areta</v>
          </cell>
          <cell r="M320">
            <v>43.145808000000002</v>
          </cell>
          <cell r="N320">
            <v>-2.9425490000000001</v>
          </cell>
          <cell r="O320" t="b">
            <v>1</v>
          </cell>
          <cell r="Q320">
            <v>1</v>
          </cell>
          <cell r="R320">
            <v>1</v>
          </cell>
          <cell r="S320">
            <v>1</v>
          </cell>
        </row>
        <row r="321">
          <cell r="B321" t="str">
            <v>Distribución</v>
          </cell>
          <cell r="C321">
            <v>1</v>
          </cell>
          <cell r="E321" t="str">
            <v>OT/0261</v>
          </cell>
          <cell r="F321">
            <v>45911</v>
          </cell>
          <cell r="G321">
            <v>45911</v>
          </cell>
          <cell r="H321" t="str">
            <v>Corte de agua en Llodio</v>
          </cell>
          <cell r="I321" t="str">
            <v>Corte de agua en Amurrio en Avda de Zumalakarregui 36</v>
          </cell>
          <cell r="J321" t="str">
            <v>llodio</v>
          </cell>
          <cell r="M321">
            <v>43.143256999999998</v>
          </cell>
          <cell r="N321">
            <v>-2.963193</v>
          </cell>
          <cell r="O321" t="b">
            <v>1</v>
          </cell>
          <cell r="Q321">
            <v>1</v>
          </cell>
          <cell r="R321">
            <v>1</v>
          </cell>
          <cell r="S321">
            <v>3</v>
          </cell>
        </row>
        <row r="322">
          <cell r="B322" t="str">
            <v>Saneamiento</v>
          </cell>
          <cell r="C322">
            <v>2</v>
          </cell>
          <cell r="D322">
            <v>3</v>
          </cell>
          <cell r="E322" t="str">
            <v>TP/0148</v>
          </cell>
          <cell r="F322">
            <v>45911</v>
          </cell>
          <cell r="G322">
            <v>45911</v>
          </cell>
          <cell r="H322" t="str">
            <v>Mantenimiento saneamiento en Llodio</v>
          </cell>
          <cell r="I322" t="str">
            <v>Limpiar arqueta de saneamiento en Llodio</v>
          </cell>
          <cell r="J322" t="str">
            <v>Llodio</v>
          </cell>
          <cell r="O322" t="b">
            <v>1</v>
          </cell>
          <cell r="Q322">
            <v>1</v>
          </cell>
          <cell r="R322">
            <v>4</v>
          </cell>
        </row>
        <row r="323">
          <cell r="B323" t="str">
            <v>Saneamiento</v>
          </cell>
          <cell r="C323">
            <v>1</v>
          </cell>
          <cell r="E323" t="str">
            <v>OT/0262</v>
          </cell>
          <cell r="F323">
            <v>45912</v>
          </cell>
          <cell r="G323">
            <v>45912</v>
          </cell>
          <cell r="H323" t="str">
            <v>Limpiar tamizes en Artziniega</v>
          </cell>
          <cell r="I323" t="str">
            <v>Limpiar tamizes en Artziniega</v>
          </cell>
          <cell r="J323" t="str">
            <v>Artziniega</v>
          </cell>
          <cell r="O323" t="b">
            <v>1</v>
          </cell>
          <cell r="Q323">
            <v>1</v>
          </cell>
          <cell r="R323">
            <v>2</v>
          </cell>
          <cell r="S323">
            <v>2</v>
          </cell>
        </row>
        <row r="324">
          <cell r="B324" t="str">
            <v>Saneamiento</v>
          </cell>
          <cell r="C324">
            <v>1</v>
          </cell>
          <cell r="E324" t="str">
            <v>OT/0263</v>
          </cell>
          <cell r="F324">
            <v>45911</v>
          </cell>
          <cell r="G324">
            <v>45911</v>
          </cell>
          <cell r="H324" t="str">
            <v>Revision posible atasco en Plaza Lezarraga (Amurrio)</v>
          </cell>
          <cell r="I324" t="str">
            <v>Revision posible atasco en Plaza Lezarraga (Amurrio)</v>
          </cell>
          <cell r="J324" t="str">
            <v>Amurrio</v>
          </cell>
          <cell r="M324">
            <v>43.053054000000003</v>
          </cell>
          <cell r="N324">
            <v>-3.0060120000000001</v>
          </cell>
          <cell r="O324" t="b">
            <v>1</v>
          </cell>
          <cell r="Q324">
            <v>1</v>
          </cell>
          <cell r="R324">
            <v>1</v>
          </cell>
          <cell r="S324">
            <v>2</v>
          </cell>
        </row>
        <row r="325">
          <cell r="B325" t="str">
            <v>Distribución</v>
          </cell>
          <cell r="C325">
            <v>2</v>
          </cell>
          <cell r="D325">
            <v>8</v>
          </cell>
          <cell r="E325" t="str">
            <v>TP/0149</v>
          </cell>
          <cell r="F325">
            <v>45912</v>
          </cell>
          <cell r="G325">
            <v>45912</v>
          </cell>
          <cell r="H325" t="str">
            <v>Cambio de contador en Ferrocarriles Amurrio</v>
          </cell>
          <cell r="I325" t="str">
            <v>Cambio de contador en Ferrocarriles Amurrioq</v>
          </cell>
          <cell r="J325" t="str">
            <v>Amurrio</v>
          </cell>
          <cell r="O325" t="b">
            <v>1</v>
          </cell>
          <cell r="Q325">
            <v>1</v>
          </cell>
          <cell r="R325">
            <v>1</v>
          </cell>
        </row>
        <row r="326">
          <cell r="B326" t="str">
            <v>Saneamiento</v>
          </cell>
          <cell r="C326">
            <v>1</v>
          </cell>
          <cell r="E326" t="str">
            <v>OT/0264</v>
          </cell>
          <cell r="F326">
            <v>45912</v>
          </cell>
          <cell r="G326">
            <v>45912</v>
          </cell>
          <cell r="H326" t="str">
            <v>Desatasco en Artziniega</v>
          </cell>
          <cell r="I326" t="str">
            <v>Desatasco en Artziniega</v>
          </cell>
          <cell r="J326" t="str">
            <v>Artziniega</v>
          </cell>
          <cell r="M326">
            <v>43.119529</v>
          </cell>
          <cell r="N326">
            <v>-3.1326429999999998</v>
          </cell>
          <cell r="O326" t="b">
            <v>1</v>
          </cell>
          <cell r="Q326">
            <v>1</v>
          </cell>
          <cell r="R326">
            <v>2</v>
          </cell>
          <cell r="S326">
            <v>2</v>
          </cell>
        </row>
        <row r="327">
          <cell r="B327" t="str">
            <v>Distribución</v>
          </cell>
          <cell r="C327">
            <v>1</v>
          </cell>
          <cell r="E327" t="str">
            <v>OT/0265</v>
          </cell>
          <cell r="F327">
            <v>45910</v>
          </cell>
          <cell r="G327">
            <v>45910</v>
          </cell>
          <cell r="H327" t="str">
            <v>Reparación de fuga en Goienuri (Llodio)</v>
          </cell>
          <cell r="I327" t="str">
            <v>Reparación de fuga en Goienuri (Llodio)</v>
          </cell>
          <cell r="J327" t="str">
            <v>Llodio</v>
          </cell>
          <cell r="M327">
            <v>43.149082999999997</v>
          </cell>
          <cell r="N327">
            <v>-2.97098</v>
          </cell>
          <cell r="O327" t="b">
            <v>1</v>
          </cell>
          <cell r="Q327">
            <v>1</v>
          </cell>
          <cell r="R327">
            <v>1</v>
          </cell>
          <cell r="S327">
            <v>1</v>
          </cell>
        </row>
        <row r="328">
          <cell r="B328" t="str">
            <v>Distribución</v>
          </cell>
          <cell r="C328">
            <v>1</v>
          </cell>
          <cell r="E328" t="str">
            <v>OT/0266</v>
          </cell>
          <cell r="F328">
            <v>45909</v>
          </cell>
          <cell r="G328">
            <v>45909</v>
          </cell>
          <cell r="H328" t="str">
            <v>Reparación de fuga en calle Vitoria en Llodio</v>
          </cell>
          <cell r="I328" t="str">
            <v>Reparación de fuga en la fuente de calle Vitoria en Llodio</v>
          </cell>
          <cell r="J328" t="str">
            <v>Llodio</v>
          </cell>
          <cell r="M328">
            <v>43.145808000000002</v>
          </cell>
          <cell r="N328">
            <v>-2.9425490000000001</v>
          </cell>
          <cell r="O328" t="b">
            <v>1</v>
          </cell>
          <cell r="Q328">
            <v>1</v>
          </cell>
          <cell r="R328">
            <v>1</v>
          </cell>
          <cell r="S328">
            <v>1</v>
          </cell>
        </row>
        <row r="329">
          <cell r="B329" t="str">
            <v>Distribución</v>
          </cell>
          <cell r="C329">
            <v>1</v>
          </cell>
          <cell r="E329" t="str">
            <v>OT/0267</v>
          </cell>
          <cell r="F329">
            <v>45911</v>
          </cell>
          <cell r="G329">
            <v>45911</v>
          </cell>
          <cell r="H329" t="str">
            <v>Reparación de fuga en Larraño</v>
          </cell>
          <cell r="I329" t="str">
            <v>Reparación de fuga en Larraño (Llodio)</v>
          </cell>
          <cell r="J329" t="str">
            <v>Llodio</v>
          </cell>
          <cell r="M329">
            <v>43.145961</v>
          </cell>
          <cell r="N329">
            <v>-2.9733339999999999</v>
          </cell>
          <cell r="O329" t="b">
            <v>1</v>
          </cell>
          <cell r="Q329">
            <v>1</v>
          </cell>
          <cell r="R329">
            <v>1</v>
          </cell>
          <cell r="S329">
            <v>1</v>
          </cell>
        </row>
        <row r="330">
          <cell r="B330" t="str">
            <v>Saneamiento</v>
          </cell>
          <cell r="C330">
            <v>1</v>
          </cell>
          <cell r="E330" t="str">
            <v>OT/0316</v>
          </cell>
          <cell r="F330">
            <v>45917</v>
          </cell>
          <cell r="G330">
            <v>45917</v>
          </cell>
          <cell r="H330" t="str">
            <v>Sustitución de Tapas en Artziniega</v>
          </cell>
          <cell r="I330" t="str">
            <v>Sustitución de Tapas en Artziniega</v>
          </cell>
          <cell r="J330" t="str">
            <v>Artziniega</v>
          </cell>
          <cell r="O330" t="b">
            <v>1</v>
          </cell>
          <cell r="Q330">
            <v>1</v>
          </cell>
          <cell r="R330">
            <v>2</v>
          </cell>
          <cell r="S330">
            <v>3</v>
          </cell>
        </row>
        <row r="331">
          <cell r="B331" t="str">
            <v>Distribución</v>
          </cell>
          <cell r="C331">
            <v>1</v>
          </cell>
          <cell r="E331" t="str">
            <v>OT/0268</v>
          </cell>
          <cell r="F331">
            <v>45915</v>
          </cell>
          <cell r="G331">
            <v>45915</v>
          </cell>
          <cell r="H331" t="str">
            <v>Sustitución de válvulas en Puentelarra</v>
          </cell>
          <cell r="I331" t="str">
            <v>Sustitución de válvulas en Puentelarra</v>
          </cell>
          <cell r="J331" t="str">
            <v>Puentelarra</v>
          </cell>
          <cell r="M331">
            <v>42.751179</v>
          </cell>
          <cell r="N331">
            <v>-3.0480879999999999</v>
          </cell>
          <cell r="O331" t="b">
            <v>1</v>
          </cell>
          <cell r="Q331">
            <v>5</v>
          </cell>
          <cell r="R331">
            <v>5</v>
          </cell>
          <cell r="S331">
            <v>3</v>
          </cell>
        </row>
        <row r="332">
          <cell r="B332" t="str">
            <v>Distribución</v>
          </cell>
          <cell r="C332">
            <v>1</v>
          </cell>
          <cell r="E332" t="str">
            <v>OT/0269</v>
          </cell>
          <cell r="F332">
            <v>45915</v>
          </cell>
          <cell r="G332">
            <v>45915</v>
          </cell>
          <cell r="H332" t="str">
            <v>Reparación de fuga en Zambrana</v>
          </cell>
          <cell r="I332" t="str">
            <v>Reparación de fuga en Zambrana</v>
          </cell>
          <cell r="J332" t="str">
            <v>Zambrana</v>
          </cell>
          <cell r="M332">
            <v>42.660992</v>
          </cell>
          <cell r="N332">
            <v>-2.8798509999999999</v>
          </cell>
          <cell r="O332" t="b">
            <v>1</v>
          </cell>
          <cell r="Q332">
            <v>5</v>
          </cell>
          <cell r="R332">
            <v>5</v>
          </cell>
          <cell r="S332">
            <v>1</v>
          </cell>
        </row>
        <row r="333">
          <cell r="B333" t="str">
            <v>Distribución</v>
          </cell>
          <cell r="C333">
            <v>1</v>
          </cell>
          <cell r="E333" t="str">
            <v>OT/0270</v>
          </cell>
          <cell r="F333">
            <v>45915</v>
          </cell>
          <cell r="G333">
            <v>45915</v>
          </cell>
          <cell r="H333" t="str">
            <v>Reparación de fuga en Espejo</v>
          </cell>
          <cell r="I333" t="str">
            <v>Reparación de fuga junto armario de contadores en Espejo</v>
          </cell>
          <cell r="J333" t="str">
            <v>Espejo</v>
          </cell>
          <cell r="M333">
            <v>42.809638999999997</v>
          </cell>
          <cell r="N333">
            <v>-3.0466500000000001</v>
          </cell>
          <cell r="O333" t="b">
            <v>1</v>
          </cell>
          <cell r="Q333">
            <v>5</v>
          </cell>
          <cell r="R333">
            <v>5</v>
          </cell>
          <cell r="S333">
            <v>1</v>
          </cell>
        </row>
        <row r="334">
          <cell r="B334" t="str">
            <v>Distribución</v>
          </cell>
          <cell r="C334">
            <v>2</v>
          </cell>
          <cell r="D334">
            <v>10</v>
          </cell>
          <cell r="E334" t="str">
            <v>TP/0150</v>
          </cell>
          <cell r="F334">
            <v>45915</v>
          </cell>
          <cell r="G334">
            <v>45915</v>
          </cell>
          <cell r="H334" t="str">
            <v>Sustitución de contador en Espejo</v>
          </cell>
          <cell r="I334" t="str">
            <v>Cambio de contador en Espejo</v>
          </cell>
          <cell r="J334" t="str">
            <v>Espejo</v>
          </cell>
          <cell r="O334" t="b">
            <v>1</v>
          </cell>
          <cell r="Q334">
            <v>5</v>
          </cell>
          <cell r="R334">
            <v>5</v>
          </cell>
        </row>
        <row r="335">
          <cell r="B335" t="str">
            <v>Distribución</v>
          </cell>
          <cell r="C335">
            <v>2</v>
          </cell>
          <cell r="D335">
            <v>10</v>
          </cell>
          <cell r="E335" t="str">
            <v>TP/0151</v>
          </cell>
          <cell r="F335">
            <v>45915</v>
          </cell>
          <cell r="G335">
            <v>45915</v>
          </cell>
          <cell r="H335" t="str">
            <v>Sustitución de contador en Espejo</v>
          </cell>
          <cell r="I335" t="str">
            <v>Cambio de contador en Espejo</v>
          </cell>
          <cell r="J335" t="str">
            <v>Espejo</v>
          </cell>
          <cell r="O335" t="b">
            <v>1</v>
          </cell>
          <cell r="Q335">
            <v>5</v>
          </cell>
          <cell r="R335">
            <v>5</v>
          </cell>
        </row>
        <row r="336">
          <cell r="B336" t="str">
            <v>Distribución</v>
          </cell>
          <cell r="C336">
            <v>2</v>
          </cell>
          <cell r="D336">
            <v>8</v>
          </cell>
          <cell r="E336" t="str">
            <v>TP/0152</v>
          </cell>
          <cell r="F336">
            <v>45915</v>
          </cell>
          <cell r="G336">
            <v>45915</v>
          </cell>
          <cell r="H336" t="str">
            <v>Sustitución de contador en Villanañe</v>
          </cell>
          <cell r="I336" t="str">
            <v>Cambio de contador en Villanañe</v>
          </cell>
          <cell r="J336" t="str">
            <v>Villanañe</v>
          </cell>
          <cell r="O336" t="b">
            <v>1</v>
          </cell>
          <cell r="Q336">
            <v>5</v>
          </cell>
          <cell r="R336">
            <v>5</v>
          </cell>
        </row>
        <row r="337">
          <cell r="B337" t="str">
            <v>Distribución</v>
          </cell>
          <cell r="C337">
            <v>2</v>
          </cell>
          <cell r="D337">
            <v>8</v>
          </cell>
          <cell r="E337" t="str">
            <v>TP/0153</v>
          </cell>
          <cell r="F337">
            <v>45915</v>
          </cell>
          <cell r="G337">
            <v>45915</v>
          </cell>
          <cell r="H337" t="str">
            <v>Sustitución de contador en Villanañe</v>
          </cell>
          <cell r="I337" t="str">
            <v>Sustitución de contador en Villanañe</v>
          </cell>
          <cell r="J337" t="str">
            <v>Villanañe</v>
          </cell>
          <cell r="O337" t="b">
            <v>1</v>
          </cell>
          <cell r="Q337">
            <v>5</v>
          </cell>
          <cell r="R337">
            <v>5</v>
          </cell>
        </row>
        <row r="338">
          <cell r="B338" t="str">
            <v>Distribución</v>
          </cell>
          <cell r="C338">
            <v>2</v>
          </cell>
          <cell r="D338">
            <v>8</v>
          </cell>
          <cell r="E338" t="str">
            <v>TP/0154</v>
          </cell>
          <cell r="F338">
            <v>45915</v>
          </cell>
          <cell r="G338">
            <v>45915</v>
          </cell>
          <cell r="H338" t="str">
            <v>Sustitución de contador en Villanañe</v>
          </cell>
          <cell r="I338" t="str">
            <v>Sustitución de contador en Villanañe</v>
          </cell>
          <cell r="J338" t="str">
            <v>Villanañe</v>
          </cell>
          <cell r="O338" t="b">
            <v>1</v>
          </cell>
          <cell r="Q338">
            <v>5</v>
          </cell>
          <cell r="R338">
            <v>5</v>
          </cell>
        </row>
        <row r="339">
          <cell r="B339" t="str">
            <v>Distribución</v>
          </cell>
          <cell r="C339">
            <v>2</v>
          </cell>
          <cell r="D339">
            <v>8</v>
          </cell>
          <cell r="E339" t="str">
            <v>TP/0155</v>
          </cell>
          <cell r="F339">
            <v>45915</v>
          </cell>
          <cell r="G339">
            <v>45915</v>
          </cell>
          <cell r="H339" t="str">
            <v>Sustitución de contador en Villanañe</v>
          </cell>
          <cell r="I339" t="str">
            <v>Sustitución de contador en Villanañe</v>
          </cell>
          <cell r="J339" t="str">
            <v>Villanañe</v>
          </cell>
          <cell r="O339" t="b">
            <v>1</v>
          </cell>
          <cell r="Q339">
            <v>5</v>
          </cell>
          <cell r="R339">
            <v>5</v>
          </cell>
        </row>
        <row r="340">
          <cell r="B340" t="str">
            <v>Distribución</v>
          </cell>
          <cell r="C340">
            <v>2</v>
          </cell>
          <cell r="D340">
            <v>8</v>
          </cell>
          <cell r="E340" t="str">
            <v>TP/0156</v>
          </cell>
          <cell r="F340">
            <v>45912</v>
          </cell>
          <cell r="G340">
            <v>45912</v>
          </cell>
          <cell r="H340" t="str">
            <v>Sustitución de contador en Antezana de la Ribera</v>
          </cell>
          <cell r="I340" t="str">
            <v>Sustitución de contador en Antezana de la Ribera</v>
          </cell>
          <cell r="J340" t="str">
            <v>Antezana de la Ribera</v>
          </cell>
          <cell r="O340" t="b">
            <v>1</v>
          </cell>
          <cell r="Q340">
            <v>5</v>
          </cell>
          <cell r="R340">
            <v>5</v>
          </cell>
        </row>
        <row r="341">
          <cell r="B341" t="str">
            <v>Distribución</v>
          </cell>
          <cell r="C341">
            <v>2</v>
          </cell>
          <cell r="D341">
            <v>8</v>
          </cell>
          <cell r="E341" t="str">
            <v>TP/0157</v>
          </cell>
          <cell r="F341">
            <v>45915</v>
          </cell>
          <cell r="G341">
            <v>45915</v>
          </cell>
          <cell r="H341" t="str">
            <v>Sustitución de contador en Villanañe</v>
          </cell>
          <cell r="I341" t="str">
            <v>Sustitución de contador en Villanañe</v>
          </cell>
          <cell r="J341" t="str">
            <v>Villanañe</v>
          </cell>
          <cell r="O341" t="b">
            <v>1</v>
          </cell>
          <cell r="Q341">
            <v>5</v>
          </cell>
          <cell r="R341">
            <v>5</v>
          </cell>
        </row>
        <row r="342">
          <cell r="B342" t="str">
            <v>Distribución</v>
          </cell>
          <cell r="C342">
            <v>1</v>
          </cell>
          <cell r="E342" t="str">
            <v>OT/0271</v>
          </cell>
          <cell r="F342">
            <v>45909</v>
          </cell>
          <cell r="G342">
            <v>45909</v>
          </cell>
          <cell r="H342" t="str">
            <v>Fuga en Espejo</v>
          </cell>
          <cell r="I342" t="str">
            <v>Fuga en Espejo</v>
          </cell>
          <cell r="J342" t="str">
            <v>Espejo</v>
          </cell>
          <cell r="M342">
            <v>42.807507999999999</v>
          </cell>
          <cell r="N342">
            <v>-3.0481959999999999</v>
          </cell>
          <cell r="O342" t="b">
            <v>1</v>
          </cell>
          <cell r="Q342">
            <v>5</v>
          </cell>
          <cell r="R342">
            <v>5</v>
          </cell>
          <cell r="S342">
            <v>1</v>
          </cell>
        </row>
        <row r="343">
          <cell r="B343" t="str">
            <v>Distribución</v>
          </cell>
          <cell r="C343">
            <v>1</v>
          </cell>
          <cell r="E343" t="str">
            <v>OT/0272</v>
          </cell>
          <cell r="F343">
            <v>45908</v>
          </cell>
          <cell r="G343">
            <v>45908</v>
          </cell>
          <cell r="H343" t="str">
            <v>Fuga en Etxegoien</v>
          </cell>
          <cell r="I343" t="str">
            <v>Fuga en Etxegoien</v>
          </cell>
          <cell r="J343" t="str">
            <v>Etxegoien</v>
          </cell>
          <cell r="M343">
            <v>43.043398000000003</v>
          </cell>
          <cell r="N343">
            <v>-3.0213649999999999</v>
          </cell>
          <cell r="O343" t="b">
            <v>1</v>
          </cell>
          <cell r="Q343">
            <v>1</v>
          </cell>
          <cell r="R343">
            <v>1</v>
          </cell>
          <cell r="S343">
            <v>1</v>
          </cell>
        </row>
        <row r="344">
          <cell r="B344" t="str">
            <v>Distribución</v>
          </cell>
          <cell r="C344">
            <v>1</v>
          </cell>
          <cell r="E344" t="str">
            <v>OT/0273</v>
          </cell>
          <cell r="F344">
            <v>45908</v>
          </cell>
          <cell r="G344">
            <v>45908</v>
          </cell>
          <cell r="H344" t="str">
            <v>Fuga Larrimbe</v>
          </cell>
          <cell r="I344" t="str">
            <v>Fuga Larrimbe</v>
          </cell>
          <cell r="J344" t="str">
            <v>Larrinbe</v>
          </cell>
          <cell r="O344" t="b">
            <v>1</v>
          </cell>
          <cell r="Q344">
            <v>1</v>
          </cell>
          <cell r="R344">
            <v>1</v>
          </cell>
          <cell r="S344">
            <v>1</v>
          </cell>
        </row>
        <row r="345">
          <cell r="B345" t="str">
            <v>Distribución</v>
          </cell>
          <cell r="C345">
            <v>1</v>
          </cell>
          <cell r="E345" t="str">
            <v>OT/0274</v>
          </cell>
          <cell r="F345">
            <v>45908</v>
          </cell>
          <cell r="G345">
            <v>45908</v>
          </cell>
          <cell r="H345" t="str">
            <v>Fuga en Iperrega en Baranbio</v>
          </cell>
          <cell r="I345" t="str">
            <v>Fuga en Iperrega en Baranbio</v>
          </cell>
          <cell r="J345" t="str">
            <v>Iperrega-Baranbio</v>
          </cell>
          <cell r="M345">
            <v>43.051223999999998</v>
          </cell>
          <cell r="N345">
            <v>-2.922641</v>
          </cell>
          <cell r="O345" t="b">
            <v>1</v>
          </cell>
          <cell r="Q345">
            <v>1</v>
          </cell>
          <cell r="R345">
            <v>1</v>
          </cell>
          <cell r="S345">
            <v>1</v>
          </cell>
        </row>
        <row r="346">
          <cell r="B346" t="str">
            <v>Saneamiento</v>
          </cell>
          <cell r="C346">
            <v>2</v>
          </cell>
          <cell r="D346">
            <v>3</v>
          </cell>
          <cell r="E346" t="str">
            <v>TP/0158</v>
          </cell>
          <cell r="F346">
            <v>45909</v>
          </cell>
          <cell r="G346">
            <v>45909</v>
          </cell>
          <cell r="H346" t="str">
            <v>Saneamiento en Artziniega</v>
          </cell>
          <cell r="I346" t="str">
            <v>Saneamiento en Artziniega</v>
          </cell>
          <cell r="J346" t="str">
            <v>Artziniega</v>
          </cell>
          <cell r="O346" t="b">
            <v>1</v>
          </cell>
          <cell r="Q346">
            <v>1</v>
          </cell>
          <cell r="R346">
            <v>2</v>
          </cell>
        </row>
        <row r="347">
          <cell r="B347" t="str">
            <v>Distribución</v>
          </cell>
          <cell r="C347">
            <v>1</v>
          </cell>
          <cell r="E347" t="str">
            <v>OT/0275</v>
          </cell>
          <cell r="F347">
            <v>45910</v>
          </cell>
          <cell r="G347">
            <v>45910</v>
          </cell>
          <cell r="H347" t="str">
            <v>Fuga Quejana</v>
          </cell>
          <cell r="I347" t="str">
            <v>Fuga Quejana</v>
          </cell>
          <cell r="J347" t="str">
            <v>Quejana</v>
          </cell>
          <cell r="O347" t="b">
            <v>1</v>
          </cell>
          <cell r="Q347">
            <v>1</v>
          </cell>
          <cell r="R347">
            <v>1</v>
          </cell>
          <cell r="S347">
            <v>1</v>
          </cell>
        </row>
        <row r="348">
          <cell r="B348" t="str">
            <v>Distribución</v>
          </cell>
          <cell r="C348">
            <v>1</v>
          </cell>
          <cell r="E348" t="str">
            <v>OT/0276</v>
          </cell>
          <cell r="F348">
            <v>45910</v>
          </cell>
          <cell r="G348">
            <v>45910</v>
          </cell>
          <cell r="H348" t="str">
            <v>Fuga en Barrio</v>
          </cell>
          <cell r="I348" t="str">
            <v>Fuga en Barrio</v>
          </cell>
          <cell r="J348" t="str">
            <v>Barrio</v>
          </cell>
          <cell r="O348" t="b">
            <v>1</v>
          </cell>
          <cell r="Q348">
            <v>5</v>
          </cell>
          <cell r="R348">
            <v>5</v>
          </cell>
          <cell r="S348">
            <v>1</v>
          </cell>
        </row>
        <row r="349">
          <cell r="B349" t="str">
            <v>Distribución</v>
          </cell>
          <cell r="C349">
            <v>1</v>
          </cell>
          <cell r="E349" t="str">
            <v>OT/0277</v>
          </cell>
          <cell r="F349">
            <v>45911</v>
          </cell>
          <cell r="G349">
            <v>45911</v>
          </cell>
          <cell r="H349" t="str">
            <v>Fuga en Oreitia</v>
          </cell>
          <cell r="I349" t="str">
            <v>Fuga en Oreitia</v>
          </cell>
          <cell r="J349" t="str">
            <v>Oreitia</v>
          </cell>
          <cell r="M349">
            <v>42.857737</v>
          </cell>
          <cell r="N349">
            <v>-2.55864</v>
          </cell>
          <cell r="O349" t="b">
            <v>1</v>
          </cell>
          <cell r="Q349">
            <v>9</v>
          </cell>
          <cell r="R349">
            <v>9</v>
          </cell>
          <cell r="S349">
            <v>1</v>
          </cell>
        </row>
        <row r="350">
          <cell r="B350" t="str">
            <v>Distribución</v>
          </cell>
          <cell r="C350">
            <v>1</v>
          </cell>
          <cell r="E350" t="str">
            <v>OT/0278</v>
          </cell>
          <cell r="F350">
            <v>45911</v>
          </cell>
          <cell r="G350">
            <v>45911</v>
          </cell>
          <cell r="H350" t="str">
            <v>Fuga en Respaldiza en Zerrabe Ausoa  n4</v>
          </cell>
          <cell r="I350" t="str">
            <v>Fuga en Respaldiza en Zerrabe Ausoa n4</v>
          </cell>
          <cell r="J350" t="str">
            <v>Respaldiza</v>
          </cell>
          <cell r="M350">
            <v>43.106321999999999</v>
          </cell>
          <cell r="N350">
            <v>-3.0451920000000001</v>
          </cell>
          <cell r="O350" t="b">
            <v>1</v>
          </cell>
          <cell r="Q350">
            <v>1</v>
          </cell>
          <cell r="R350">
            <v>1</v>
          </cell>
          <cell r="S350">
            <v>1</v>
          </cell>
        </row>
        <row r="351">
          <cell r="B351" t="str">
            <v>Distribución</v>
          </cell>
          <cell r="C351">
            <v>2</v>
          </cell>
          <cell r="D351">
            <v>17</v>
          </cell>
          <cell r="E351" t="str">
            <v>TP/0159</v>
          </cell>
          <cell r="F351">
            <v>45911</v>
          </cell>
          <cell r="G351">
            <v>45911</v>
          </cell>
          <cell r="H351" t="str">
            <v>Limpieza de Red en Aresketamendi (Amurrio)</v>
          </cell>
          <cell r="I351" t="str">
            <v>Limpieza de Red en Aresketamendi (Amurrio)</v>
          </cell>
          <cell r="J351" t="str">
            <v>Amurrio</v>
          </cell>
          <cell r="O351" t="b">
            <v>1</v>
          </cell>
          <cell r="Q351">
            <v>1</v>
          </cell>
          <cell r="R351">
            <v>1</v>
          </cell>
        </row>
        <row r="352">
          <cell r="B352" t="str">
            <v>Distribución</v>
          </cell>
          <cell r="C352">
            <v>1</v>
          </cell>
          <cell r="E352" t="str">
            <v>OT/0279</v>
          </cell>
          <cell r="F352">
            <v>45911</v>
          </cell>
          <cell r="G352">
            <v>45911</v>
          </cell>
          <cell r="H352" t="str">
            <v>Aviso por fuga en montante en Avda.Zumalakarregui n36</v>
          </cell>
          <cell r="I352" t="str">
            <v>Aviso por fuga en montante en Avda.Zumalakarregui 36</v>
          </cell>
          <cell r="J352" t="str">
            <v>Llodio</v>
          </cell>
          <cell r="M352">
            <v>43.143473999999998</v>
          </cell>
          <cell r="N352">
            <v>-2.9629180000000002</v>
          </cell>
          <cell r="O352" t="b">
            <v>1</v>
          </cell>
          <cell r="Q352">
            <v>1</v>
          </cell>
          <cell r="R352">
            <v>1</v>
          </cell>
          <cell r="S352">
            <v>1</v>
          </cell>
        </row>
        <row r="353">
          <cell r="B353" t="str">
            <v>Aducción</v>
          </cell>
          <cell r="C353">
            <v>2</v>
          </cell>
          <cell r="D353">
            <v>2</v>
          </cell>
          <cell r="E353" t="str">
            <v>TP/0160</v>
          </cell>
          <cell r="F353">
            <v>45912</v>
          </cell>
          <cell r="G353">
            <v>45912</v>
          </cell>
          <cell r="H353" t="str">
            <v>Limpieza capataciones en Araia ( Agurain)</v>
          </cell>
          <cell r="I353" t="str">
            <v>Limpieza capataciones</v>
          </cell>
          <cell r="J353" t="str">
            <v>Araia</v>
          </cell>
          <cell r="O353" t="b">
            <v>1</v>
          </cell>
          <cell r="Q353">
            <v>3</v>
          </cell>
          <cell r="R353">
            <v>3</v>
          </cell>
        </row>
        <row r="354">
          <cell r="B354" t="str">
            <v>Distribución</v>
          </cell>
          <cell r="C354">
            <v>1</v>
          </cell>
          <cell r="E354" t="str">
            <v>OT/0280</v>
          </cell>
          <cell r="F354">
            <v>45912</v>
          </cell>
          <cell r="G354">
            <v>45912</v>
          </cell>
          <cell r="H354" t="str">
            <v>Fuga en Berantevilla</v>
          </cell>
          <cell r="I354" t="str">
            <v>Fuga en Berantevilla</v>
          </cell>
          <cell r="J354" t="str">
            <v>Berantevilla</v>
          </cell>
          <cell r="M354">
            <v>42.683407000000003</v>
          </cell>
          <cell r="N354">
            <v>-2.8591500000000001</v>
          </cell>
          <cell r="O354" t="b">
            <v>1</v>
          </cell>
          <cell r="Q354">
            <v>5</v>
          </cell>
          <cell r="R354">
            <v>5</v>
          </cell>
          <cell r="S354">
            <v>1</v>
          </cell>
        </row>
        <row r="355">
          <cell r="B355" t="str">
            <v>Distribución</v>
          </cell>
          <cell r="C355">
            <v>1</v>
          </cell>
          <cell r="E355" t="str">
            <v>OT/0281</v>
          </cell>
          <cell r="F355">
            <v>45913</v>
          </cell>
          <cell r="G355">
            <v>45913</v>
          </cell>
          <cell r="H355" t="str">
            <v>Fuga en Zambrana</v>
          </cell>
          <cell r="I355" t="str">
            <v>Fuga en Zambrana</v>
          </cell>
          <cell r="J355" t="str">
            <v>Zambrana</v>
          </cell>
          <cell r="M355">
            <v>42.664059000000002</v>
          </cell>
          <cell r="N355">
            <v>-2.8802940000000001</v>
          </cell>
          <cell r="O355" t="b">
            <v>1</v>
          </cell>
          <cell r="Q355">
            <v>5</v>
          </cell>
          <cell r="R355">
            <v>5</v>
          </cell>
          <cell r="S355">
            <v>1</v>
          </cell>
        </row>
        <row r="356">
          <cell r="B356" t="str">
            <v>Distribución</v>
          </cell>
          <cell r="C356">
            <v>1</v>
          </cell>
          <cell r="E356" t="str">
            <v>OT/0282</v>
          </cell>
          <cell r="F356">
            <v>45913</v>
          </cell>
          <cell r="G356">
            <v>45913</v>
          </cell>
          <cell r="H356" t="str">
            <v>Fuga Erbi</v>
          </cell>
          <cell r="I356" t="str">
            <v>Fuga Erbi</v>
          </cell>
          <cell r="J356" t="str">
            <v>Erbi-Ayala</v>
          </cell>
          <cell r="M356">
            <v>43.07443</v>
          </cell>
          <cell r="N356">
            <v>-3.112962</v>
          </cell>
          <cell r="O356" t="b">
            <v>1</v>
          </cell>
          <cell r="Q356">
            <v>1</v>
          </cell>
          <cell r="R356">
            <v>1</v>
          </cell>
          <cell r="S356">
            <v>1</v>
          </cell>
        </row>
        <row r="357">
          <cell r="B357" t="str">
            <v>Saneamiento</v>
          </cell>
          <cell r="C357">
            <v>1</v>
          </cell>
          <cell r="E357" t="str">
            <v>OT/0283</v>
          </cell>
          <cell r="F357">
            <v>45913</v>
          </cell>
          <cell r="G357">
            <v>45913</v>
          </cell>
          <cell r="H357" t="str">
            <v>Atasco en Agurain</v>
          </cell>
          <cell r="I357" t="str">
            <v>Atasco en Agurain</v>
          </cell>
          <cell r="J357" t="str">
            <v>Agurain</v>
          </cell>
          <cell r="M357">
            <v>42.847745000000003</v>
          </cell>
          <cell r="N357">
            <v>-2.3949020000000001</v>
          </cell>
          <cell r="O357" t="b">
            <v>1</v>
          </cell>
          <cell r="Q357">
            <v>3</v>
          </cell>
          <cell r="R357">
            <v>26</v>
          </cell>
          <cell r="S357">
            <v>2</v>
          </cell>
        </row>
        <row r="358">
          <cell r="B358" t="str">
            <v>Distribución</v>
          </cell>
          <cell r="C358">
            <v>1</v>
          </cell>
          <cell r="E358" t="str">
            <v>OT/0284</v>
          </cell>
          <cell r="F358">
            <v>45913</v>
          </cell>
          <cell r="G358">
            <v>45913</v>
          </cell>
          <cell r="H358" t="str">
            <v>Abonado sin agua en C/Virgen del carmen n27</v>
          </cell>
          <cell r="I358" t="str">
            <v>Abonado sin agua en C/Virgen del carmen n27</v>
          </cell>
          <cell r="J358" t="str">
            <v>Llodio</v>
          </cell>
          <cell r="M358">
            <v>43.145232</v>
          </cell>
          <cell r="N358">
            <v>-2.9590049999999999</v>
          </cell>
          <cell r="O358" t="b">
            <v>1</v>
          </cell>
          <cell r="Q358">
            <v>1</v>
          </cell>
          <cell r="R358">
            <v>1</v>
          </cell>
          <cell r="S358">
            <v>3</v>
          </cell>
        </row>
        <row r="359">
          <cell r="B359" t="str">
            <v>Saneamiento</v>
          </cell>
          <cell r="C359">
            <v>1</v>
          </cell>
          <cell r="E359" t="str">
            <v>OT/0285</v>
          </cell>
          <cell r="F359">
            <v>45914</v>
          </cell>
          <cell r="G359">
            <v>45914</v>
          </cell>
          <cell r="H359" t="str">
            <v>Atasco en Artziniega en Bajada Resbalon</v>
          </cell>
          <cell r="I359" t="str">
            <v>Atasco en Artziniega en Bajada Resbalon</v>
          </cell>
          <cell r="J359" t="str">
            <v>Artziniega</v>
          </cell>
          <cell r="M359">
            <v>43.121208000000003</v>
          </cell>
          <cell r="N359">
            <v>-3.1301480000000002</v>
          </cell>
          <cell r="O359" t="b">
            <v>1</v>
          </cell>
          <cell r="Q359">
            <v>1</v>
          </cell>
          <cell r="R359">
            <v>2</v>
          </cell>
          <cell r="S359">
            <v>2</v>
          </cell>
        </row>
        <row r="360">
          <cell r="B360" t="str">
            <v>Distribución</v>
          </cell>
          <cell r="C360">
            <v>1</v>
          </cell>
          <cell r="E360" t="str">
            <v>OT/0286</v>
          </cell>
          <cell r="F360">
            <v>45914</v>
          </cell>
          <cell r="G360">
            <v>45914</v>
          </cell>
          <cell r="H360" t="str">
            <v>Abonado sin agua en Agurain</v>
          </cell>
          <cell r="I360" t="str">
            <v>Abonado sin agua en Agurain</v>
          </cell>
          <cell r="J360" t="str">
            <v>Agurain</v>
          </cell>
          <cell r="M360">
            <v>42.849446999999998</v>
          </cell>
          <cell r="N360">
            <v>-2.38856</v>
          </cell>
          <cell r="O360" t="b">
            <v>1</v>
          </cell>
          <cell r="Q360">
            <v>3</v>
          </cell>
          <cell r="R360">
            <v>3</v>
          </cell>
          <cell r="S360">
            <v>3</v>
          </cell>
        </row>
        <row r="361">
          <cell r="B361" t="str">
            <v>Distribución</v>
          </cell>
          <cell r="C361">
            <v>1</v>
          </cell>
          <cell r="E361" t="str">
            <v>OT/0287</v>
          </cell>
          <cell r="F361">
            <v>45916</v>
          </cell>
          <cell r="G361">
            <v>45926</v>
          </cell>
          <cell r="H361" t="str">
            <v>Reparación de Fuga en C/Maskuribai</v>
          </cell>
          <cell r="I361" t="str">
            <v>Reparación de Fuga en C/Maskuribai</v>
          </cell>
          <cell r="J361" t="str">
            <v>Amurrio</v>
          </cell>
          <cell r="M361">
            <v>43.050845000000002</v>
          </cell>
          <cell r="N361">
            <v>-2.9999449999999999</v>
          </cell>
          <cell r="O361" t="b">
            <v>1</v>
          </cell>
          <cell r="Q361">
            <v>1</v>
          </cell>
          <cell r="R361">
            <v>1</v>
          </cell>
          <cell r="S361">
            <v>1</v>
          </cell>
        </row>
        <row r="362">
          <cell r="B362" t="str">
            <v>Distribución</v>
          </cell>
          <cell r="C362">
            <v>1</v>
          </cell>
          <cell r="E362" t="str">
            <v>OT/0288</v>
          </cell>
          <cell r="F362">
            <v>45916</v>
          </cell>
          <cell r="G362">
            <v>45916</v>
          </cell>
          <cell r="H362" t="str">
            <v>Reparación de Fuga en Menoio</v>
          </cell>
          <cell r="I362" t="str">
            <v>Reparación de Fuga en Menoio</v>
          </cell>
          <cell r="J362" t="str">
            <v>Menoio</v>
          </cell>
          <cell r="M362">
            <v>43.069093000000002</v>
          </cell>
          <cell r="N362">
            <v>-3.073315</v>
          </cell>
          <cell r="O362" t="b">
            <v>1</v>
          </cell>
          <cell r="Q362">
            <v>1</v>
          </cell>
          <cell r="R362">
            <v>1</v>
          </cell>
          <cell r="S362">
            <v>1</v>
          </cell>
        </row>
        <row r="363">
          <cell r="B363" t="str">
            <v>Saneamiento</v>
          </cell>
          <cell r="C363">
            <v>1</v>
          </cell>
          <cell r="E363" t="str">
            <v>OT/0289</v>
          </cell>
          <cell r="F363">
            <v>45916</v>
          </cell>
          <cell r="G363">
            <v>45916</v>
          </cell>
          <cell r="H363" t="str">
            <v>Desatasco en Luiando C/Padura n7</v>
          </cell>
          <cell r="I363" t="str">
            <v>Desatasco en Luiando C/Padura n7</v>
          </cell>
          <cell r="J363" t="str">
            <v>Luiando</v>
          </cell>
          <cell r="M363">
            <v>43.093139999999998</v>
          </cell>
          <cell r="N363">
            <v>-3.0023629999999999</v>
          </cell>
          <cell r="O363" t="b">
            <v>1</v>
          </cell>
          <cell r="Q363">
            <v>1</v>
          </cell>
          <cell r="R363">
            <v>3</v>
          </cell>
          <cell r="S363">
            <v>2</v>
          </cell>
        </row>
        <row r="364">
          <cell r="B364" t="str">
            <v>Saneamiento</v>
          </cell>
          <cell r="C364">
            <v>1</v>
          </cell>
          <cell r="E364" t="str">
            <v>OT/0290</v>
          </cell>
          <cell r="F364">
            <v>45916</v>
          </cell>
          <cell r="G364">
            <v>45917</v>
          </cell>
          <cell r="H364" t="str">
            <v>Reparación saneamiento en Anucita</v>
          </cell>
          <cell r="I364" t="str">
            <v>Reparación saneamiento en Anucita</v>
          </cell>
          <cell r="J364" t="str">
            <v>Anucita</v>
          </cell>
          <cell r="M364">
            <v>42.801546000000002</v>
          </cell>
          <cell r="N364">
            <v>-2.8993639999999998</v>
          </cell>
          <cell r="O364" t="b">
            <v>1</v>
          </cell>
          <cell r="Q364">
            <v>5</v>
          </cell>
          <cell r="R364">
            <v>41</v>
          </cell>
          <cell r="S364">
            <v>3</v>
          </cell>
        </row>
        <row r="365">
          <cell r="B365" t="str">
            <v>Saneamiento</v>
          </cell>
          <cell r="C365">
            <v>1</v>
          </cell>
          <cell r="E365" t="str">
            <v>OT/0370</v>
          </cell>
          <cell r="F365">
            <v>45915</v>
          </cell>
          <cell r="G365">
            <v>45916</v>
          </cell>
          <cell r="H365" t="str">
            <v>Desatasco en fabrica de Ribabellosa</v>
          </cell>
          <cell r="I365" t="str">
            <v>Desatasco en fabrica de Ribabellosa</v>
          </cell>
          <cell r="J365" t="str">
            <v>Ribabellosa</v>
          </cell>
          <cell r="O365" t="b">
            <v>1</v>
          </cell>
          <cell r="Q365">
            <v>5</v>
          </cell>
          <cell r="R365">
            <v>41</v>
          </cell>
          <cell r="S365">
            <v>2</v>
          </cell>
        </row>
        <row r="366">
          <cell r="B366" t="str">
            <v>Distribución</v>
          </cell>
          <cell r="C366">
            <v>2</v>
          </cell>
          <cell r="D366">
            <v>8</v>
          </cell>
          <cell r="E366" t="str">
            <v>TP/0161</v>
          </cell>
          <cell r="F366">
            <v>45912</v>
          </cell>
          <cell r="G366">
            <v>45912</v>
          </cell>
          <cell r="H366" t="str">
            <v>Instalación de contador en Agurain</v>
          </cell>
          <cell r="I366" t="str">
            <v>Instalación de contador en Agurain</v>
          </cell>
          <cell r="J366" t="str">
            <v>Agurain</v>
          </cell>
          <cell r="O366" t="b">
            <v>1</v>
          </cell>
          <cell r="Q366">
            <v>3</v>
          </cell>
          <cell r="R366">
            <v>3</v>
          </cell>
        </row>
        <row r="367">
          <cell r="B367" t="str">
            <v>Distribución</v>
          </cell>
          <cell r="C367">
            <v>2</v>
          </cell>
          <cell r="D367">
            <v>9</v>
          </cell>
          <cell r="E367" t="str">
            <v>TP/0162</v>
          </cell>
          <cell r="F367">
            <v>45912</v>
          </cell>
          <cell r="G367">
            <v>45912</v>
          </cell>
          <cell r="H367" t="str">
            <v>Retirada de contador en Amurrio</v>
          </cell>
          <cell r="I367" t="str">
            <v>Retirada de contador en Amurrio</v>
          </cell>
          <cell r="J367" t="str">
            <v>Amurrio</v>
          </cell>
          <cell r="O367" t="b">
            <v>1</v>
          </cell>
          <cell r="Q367">
            <v>1</v>
          </cell>
          <cell r="R367">
            <v>1</v>
          </cell>
        </row>
        <row r="368">
          <cell r="B368" t="str">
            <v>Distribución</v>
          </cell>
          <cell r="C368">
            <v>2</v>
          </cell>
          <cell r="D368">
            <v>10</v>
          </cell>
          <cell r="E368" t="str">
            <v>TP/0163</v>
          </cell>
          <cell r="F368">
            <v>45912</v>
          </cell>
          <cell r="G368">
            <v>45912</v>
          </cell>
          <cell r="H368" t="str">
            <v>Sustitución de contador en Alegria</v>
          </cell>
          <cell r="I368" t="str">
            <v>Sustitución de contador en Alegria</v>
          </cell>
          <cell r="J368" t="str">
            <v>Alegría</v>
          </cell>
          <cell r="O368" t="b">
            <v>1</v>
          </cell>
          <cell r="Q368">
            <v>3</v>
          </cell>
          <cell r="R368">
            <v>3</v>
          </cell>
        </row>
        <row r="369">
          <cell r="B369" t="str">
            <v>Distribución</v>
          </cell>
          <cell r="C369">
            <v>2</v>
          </cell>
          <cell r="D369">
            <v>8</v>
          </cell>
          <cell r="E369" t="str">
            <v>TP/0164</v>
          </cell>
          <cell r="F369">
            <v>45915</v>
          </cell>
          <cell r="G369">
            <v>45915</v>
          </cell>
          <cell r="H369" t="str">
            <v>Instalación contador en Anuntzibai N5 (Llodio)</v>
          </cell>
          <cell r="I369" t="str">
            <v>Instalación contador en Anuntzibai N5 (Llodio)</v>
          </cell>
          <cell r="J369" t="str">
            <v>Llodio</v>
          </cell>
          <cell r="O369" t="b">
            <v>1</v>
          </cell>
          <cell r="Q369">
            <v>1</v>
          </cell>
          <cell r="R369">
            <v>1</v>
          </cell>
        </row>
        <row r="370">
          <cell r="B370" t="str">
            <v>Distribución</v>
          </cell>
          <cell r="C370">
            <v>2</v>
          </cell>
          <cell r="D370">
            <v>10</v>
          </cell>
          <cell r="E370" t="str">
            <v>TP/0165</v>
          </cell>
          <cell r="F370">
            <v>45911</v>
          </cell>
          <cell r="G370">
            <v>45911</v>
          </cell>
          <cell r="H370" t="str">
            <v>Sustitución de contadores en Ribabellosa</v>
          </cell>
          <cell r="I370" t="str">
            <v>Sustitución de contador en Ribabellosa</v>
          </cell>
          <cell r="J370" t="str">
            <v>Ribabellosa</v>
          </cell>
          <cell r="O370" t="b">
            <v>1</v>
          </cell>
          <cell r="Q370">
            <v>5</v>
          </cell>
          <cell r="R370">
            <v>5</v>
          </cell>
        </row>
        <row r="371">
          <cell r="B371" t="str">
            <v>Distribución</v>
          </cell>
          <cell r="C371">
            <v>2</v>
          </cell>
          <cell r="D371">
            <v>10</v>
          </cell>
          <cell r="E371" t="str">
            <v>TP/0166</v>
          </cell>
          <cell r="F371">
            <v>45915</v>
          </cell>
          <cell r="G371">
            <v>45915</v>
          </cell>
          <cell r="H371" t="str">
            <v>Sustitución de contador en Espejo C/Las arenas n8</v>
          </cell>
          <cell r="I371" t="str">
            <v>Sustitución de contador en Espejo C/Las arenas n8</v>
          </cell>
          <cell r="J371" t="str">
            <v>Espejo</v>
          </cell>
          <cell r="O371" t="b">
            <v>1</v>
          </cell>
          <cell r="Q371">
            <v>5</v>
          </cell>
          <cell r="R371">
            <v>5</v>
          </cell>
        </row>
        <row r="372">
          <cell r="B372" t="str">
            <v>Distribución</v>
          </cell>
          <cell r="C372">
            <v>2</v>
          </cell>
          <cell r="D372">
            <v>8</v>
          </cell>
          <cell r="E372" t="str">
            <v>TP/0167</v>
          </cell>
          <cell r="F372">
            <v>45915</v>
          </cell>
          <cell r="G372">
            <v>45915</v>
          </cell>
          <cell r="H372" t="str">
            <v>Instalación de contador en Agurain</v>
          </cell>
          <cell r="I372" t="str">
            <v>Instalación de contador en Agurain</v>
          </cell>
          <cell r="J372" t="str">
            <v>Agurain</v>
          </cell>
          <cell r="O372" t="b">
            <v>1</v>
          </cell>
          <cell r="Q372">
            <v>3</v>
          </cell>
          <cell r="R372">
            <v>3</v>
          </cell>
        </row>
        <row r="373">
          <cell r="B373" t="str">
            <v>Distribución</v>
          </cell>
          <cell r="C373">
            <v>2</v>
          </cell>
          <cell r="D373">
            <v>8</v>
          </cell>
          <cell r="E373" t="str">
            <v>TP/0168</v>
          </cell>
          <cell r="F373">
            <v>45915</v>
          </cell>
          <cell r="G373">
            <v>45915</v>
          </cell>
          <cell r="H373" t="str">
            <v>Instalación de contador en Llodio C/Plaza Ostagieta n7</v>
          </cell>
          <cell r="I373" t="str">
            <v>Instalación de contador en Llodio C/Plaza Ostagieta n7</v>
          </cell>
          <cell r="J373" t="str">
            <v>Llodio</v>
          </cell>
          <cell r="O373" t="b">
            <v>1</v>
          </cell>
          <cell r="Q373">
            <v>1</v>
          </cell>
          <cell r="R373">
            <v>1</v>
          </cell>
        </row>
        <row r="374">
          <cell r="B374" t="str">
            <v>Distribución</v>
          </cell>
          <cell r="C374">
            <v>2</v>
          </cell>
          <cell r="D374">
            <v>10</v>
          </cell>
          <cell r="E374" t="str">
            <v>TP/0169</v>
          </cell>
          <cell r="F374">
            <v>45915</v>
          </cell>
          <cell r="G374">
            <v>45915</v>
          </cell>
          <cell r="H374" t="str">
            <v>Sustitución de contador en Menoio</v>
          </cell>
          <cell r="I374" t="str">
            <v>Sustitución de contador en Menoio</v>
          </cell>
          <cell r="J374" t="str">
            <v>Menoio</v>
          </cell>
          <cell r="O374" t="b">
            <v>1</v>
          </cell>
          <cell r="Q374">
            <v>1</v>
          </cell>
          <cell r="R374">
            <v>1</v>
          </cell>
        </row>
        <row r="375">
          <cell r="B375" t="str">
            <v>Distribución</v>
          </cell>
          <cell r="C375">
            <v>2</v>
          </cell>
          <cell r="D375">
            <v>8</v>
          </cell>
          <cell r="E375" t="str">
            <v>TP/0170</v>
          </cell>
          <cell r="F375">
            <v>45915</v>
          </cell>
          <cell r="G375">
            <v>45915</v>
          </cell>
          <cell r="H375" t="str">
            <v>Instalación de contador en Maestu C/Corres n2</v>
          </cell>
          <cell r="I375" t="str">
            <v>Instalación de contador en Maestu C/Corres n2</v>
          </cell>
          <cell r="J375" t="str">
            <v>Maeztu</v>
          </cell>
          <cell r="O375" t="b">
            <v>1</v>
          </cell>
          <cell r="Q375">
            <v>6</v>
          </cell>
          <cell r="R375">
            <v>6</v>
          </cell>
        </row>
        <row r="376">
          <cell r="B376" t="str">
            <v>Distribución</v>
          </cell>
          <cell r="C376">
            <v>2</v>
          </cell>
          <cell r="D376">
            <v>10</v>
          </cell>
          <cell r="E376" t="str">
            <v>TP/0171</v>
          </cell>
          <cell r="F376">
            <v>45915</v>
          </cell>
          <cell r="G376">
            <v>45915</v>
          </cell>
          <cell r="H376" t="str">
            <v>Sustitución de contador en Respaldiza</v>
          </cell>
          <cell r="I376" t="str">
            <v>Sustitución de contador en Respaldiza</v>
          </cell>
          <cell r="J376" t="str">
            <v>Respaldiza</v>
          </cell>
          <cell r="O376" t="b">
            <v>1</v>
          </cell>
          <cell r="Q376">
            <v>1</v>
          </cell>
          <cell r="R376">
            <v>1</v>
          </cell>
        </row>
        <row r="377">
          <cell r="B377" t="str">
            <v>Distribución</v>
          </cell>
          <cell r="C377">
            <v>2</v>
          </cell>
          <cell r="D377">
            <v>10</v>
          </cell>
          <cell r="E377" t="str">
            <v>TP/0172</v>
          </cell>
          <cell r="F377">
            <v>45915</v>
          </cell>
          <cell r="G377">
            <v>45915</v>
          </cell>
          <cell r="H377" t="str">
            <v>Sustitución de contador en Villanañe</v>
          </cell>
          <cell r="I377" t="str">
            <v>Sustitución de contador en Villanañe (varios contadores)</v>
          </cell>
          <cell r="J377" t="str">
            <v>Villanañe</v>
          </cell>
          <cell r="O377" t="b">
            <v>1</v>
          </cell>
          <cell r="Q377">
            <v>5</v>
          </cell>
          <cell r="R377">
            <v>5</v>
          </cell>
        </row>
        <row r="378">
          <cell r="B378" t="str">
            <v>Distribución</v>
          </cell>
          <cell r="C378">
            <v>1</v>
          </cell>
          <cell r="E378" t="str">
            <v>OT/0300</v>
          </cell>
          <cell r="F378">
            <v>45917</v>
          </cell>
          <cell r="G378">
            <v>45917</v>
          </cell>
          <cell r="H378" t="str">
            <v>Reparación de Fuga en Maroño</v>
          </cell>
          <cell r="I378" t="str">
            <v>Reparación de Fuga en Maroño</v>
          </cell>
          <cell r="J378" t="str">
            <v>Maroño</v>
          </cell>
          <cell r="M378">
            <v>43.035575000000001</v>
          </cell>
          <cell r="N378">
            <v>-3.072336</v>
          </cell>
          <cell r="O378" t="b">
            <v>1</v>
          </cell>
          <cell r="Q378">
            <v>1</v>
          </cell>
          <cell r="R378">
            <v>1</v>
          </cell>
          <cell r="S378">
            <v>1</v>
          </cell>
        </row>
        <row r="379">
          <cell r="B379" t="str">
            <v>Distribución</v>
          </cell>
          <cell r="C379">
            <v>1</v>
          </cell>
          <cell r="E379" t="str">
            <v>OT/0301</v>
          </cell>
          <cell r="F379">
            <v>45917</v>
          </cell>
          <cell r="G379">
            <v>45917</v>
          </cell>
          <cell r="H379" t="str">
            <v>Reparación de Fuga en Esquina de Abajo/Respaldiza</v>
          </cell>
          <cell r="I379" t="str">
            <v>Reparación de Fuga en Esquina de Abajo/Respaldiza</v>
          </cell>
          <cell r="J379" t="str">
            <v>Esquina Abajo/Respaldiza</v>
          </cell>
          <cell r="M379">
            <v>43.087997000000001</v>
          </cell>
          <cell r="N379">
            <v>-3.044206</v>
          </cell>
          <cell r="O379" t="b">
            <v>1</v>
          </cell>
          <cell r="Q379">
            <v>1</v>
          </cell>
          <cell r="R379">
            <v>1</v>
          </cell>
          <cell r="S379">
            <v>1</v>
          </cell>
        </row>
        <row r="380">
          <cell r="B380" t="str">
            <v>Distribución</v>
          </cell>
          <cell r="C380">
            <v>1</v>
          </cell>
          <cell r="E380" t="str">
            <v>OT/0302</v>
          </cell>
          <cell r="F380">
            <v>45917</v>
          </cell>
          <cell r="G380">
            <v>45917</v>
          </cell>
          <cell r="H380" t="str">
            <v>Reparación de albañilería y catas por fuga Facsa (Salinas de Añana)</v>
          </cell>
          <cell r="I380" t="str">
            <v>Reparación de albañilería y catas por fuga Facsa (Salinas de Añana)</v>
          </cell>
          <cell r="J380" t="str">
            <v>Salinas de Añana</v>
          </cell>
          <cell r="O380" t="b">
            <v>1</v>
          </cell>
          <cell r="Q380">
            <v>5</v>
          </cell>
          <cell r="R380">
            <v>5</v>
          </cell>
          <cell r="S380">
            <v>1</v>
          </cell>
        </row>
        <row r="381">
          <cell r="B381" t="str">
            <v>Distribución</v>
          </cell>
          <cell r="C381">
            <v>2</v>
          </cell>
          <cell r="D381">
            <v>18</v>
          </cell>
          <cell r="E381" t="str">
            <v>TP/0176</v>
          </cell>
          <cell r="F381">
            <v>45917</v>
          </cell>
          <cell r="G381">
            <v>45917</v>
          </cell>
          <cell r="H381" t="str">
            <v>Ejecución de nueva acometida Inausa (Amurrio)</v>
          </cell>
          <cell r="I381" t="str">
            <v>Ejecución de nueva acometida INAUSA (Amurrio)</v>
          </cell>
          <cell r="J381" t="str">
            <v>Amurrio</v>
          </cell>
          <cell r="O381" t="b">
            <v>1</v>
          </cell>
          <cell r="Q381">
            <v>1</v>
          </cell>
          <cell r="R381">
            <v>1</v>
          </cell>
        </row>
        <row r="382">
          <cell r="E382" t="str">
            <v>OT/0304</v>
          </cell>
          <cell r="O382" t="b">
            <v>1</v>
          </cell>
          <cell r="Q382">
            <v>10</v>
          </cell>
          <cell r="R382">
            <v>10</v>
          </cell>
          <cell r="S382">
            <v>3</v>
          </cell>
        </row>
        <row r="383">
          <cell r="B383" t="str">
            <v>Distribución</v>
          </cell>
          <cell r="C383">
            <v>2</v>
          </cell>
          <cell r="D383">
            <v>10</v>
          </cell>
          <cell r="E383" t="str">
            <v>TP/0173</v>
          </cell>
          <cell r="F383">
            <v>45917</v>
          </cell>
          <cell r="G383">
            <v>45917</v>
          </cell>
          <cell r="H383" t="str">
            <v>Sustitución de contadores en Opacua</v>
          </cell>
          <cell r="I383" t="str">
            <v>Sustitución de contadores en Opacua</v>
          </cell>
          <cell r="J383" t="str">
            <v>Opacua</v>
          </cell>
          <cell r="O383" t="b">
            <v>1</v>
          </cell>
          <cell r="Q383">
            <v>3</v>
          </cell>
          <cell r="R383">
            <v>3</v>
          </cell>
        </row>
        <row r="384">
          <cell r="B384" t="str">
            <v>Distribución</v>
          </cell>
          <cell r="C384">
            <v>2</v>
          </cell>
          <cell r="D384">
            <v>8</v>
          </cell>
          <cell r="E384" t="str">
            <v>TP/0174</v>
          </cell>
          <cell r="F384">
            <v>45917</v>
          </cell>
          <cell r="G384">
            <v>45917</v>
          </cell>
          <cell r="H384" t="str">
            <v>Instalación de contador en riego en Llodio</v>
          </cell>
          <cell r="I384" t="str">
            <v>Instalación de contador en riego en Llodio</v>
          </cell>
          <cell r="J384" t="str">
            <v>Llodio</v>
          </cell>
          <cell r="O384" t="b">
            <v>1</v>
          </cell>
          <cell r="Q384">
            <v>1</v>
          </cell>
          <cell r="R384">
            <v>1</v>
          </cell>
        </row>
        <row r="385">
          <cell r="B385" t="str">
            <v>Saneamiento</v>
          </cell>
          <cell r="C385">
            <v>2</v>
          </cell>
          <cell r="D385">
            <v>3</v>
          </cell>
          <cell r="E385" t="str">
            <v>TP/0175</v>
          </cell>
          <cell r="F385">
            <v>45917</v>
          </cell>
          <cell r="G385">
            <v>45917</v>
          </cell>
          <cell r="H385" t="str">
            <v>Mantenimiento preventivo saneamiento en Agurain</v>
          </cell>
          <cell r="I385" t="str">
            <v>Mangtenimiento preventivo saneamiento en Agurain</v>
          </cell>
          <cell r="J385" t="str">
            <v>Agurain</v>
          </cell>
          <cell r="O385" t="b">
            <v>1</v>
          </cell>
          <cell r="Q385">
            <v>3</v>
          </cell>
          <cell r="R385">
            <v>26</v>
          </cell>
        </row>
        <row r="386">
          <cell r="B386" t="str">
            <v>Distribución</v>
          </cell>
          <cell r="C386">
            <v>1</v>
          </cell>
          <cell r="E386" t="str">
            <v>OT/0303</v>
          </cell>
          <cell r="F386">
            <v>45917</v>
          </cell>
          <cell r="G386">
            <v>45917</v>
          </cell>
          <cell r="H386" t="str">
            <v>Reparación de fuga en Areta (Llodio)</v>
          </cell>
          <cell r="I386" t="str">
            <v>Reparación de fuga en Areta (Llodio)</v>
          </cell>
          <cell r="J386" t="str">
            <v>Llodio</v>
          </cell>
          <cell r="M386">
            <v>43.146928000000003</v>
          </cell>
          <cell r="N386">
            <v>-2.9433020000000001</v>
          </cell>
          <cell r="O386" t="b">
            <v>1</v>
          </cell>
          <cell r="Q386">
            <v>1</v>
          </cell>
          <cell r="R386">
            <v>1</v>
          </cell>
          <cell r="S386">
            <v>1</v>
          </cell>
        </row>
        <row r="387">
          <cell r="B387" t="str">
            <v>Distribución</v>
          </cell>
          <cell r="C387">
            <v>1</v>
          </cell>
          <cell r="E387" t="str">
            <v>OT/0305</v>
          </cell>
          <cell r="F387">
            <v>45918</v>
          </cell>
          <cell r="G387">
            <v>45918</v>
          </cell>
          <cell r="H387" t="str">
            <v>Reparación de fuga en Izoria</v>
          </cell>
          <cell r="I387" t="str">
            <v>Reparación de fuga en Izoria</v>
          </cell>
          <cell r="J387" t="str">
            <v>Llodio</v>
          </cell>
          <cell r="M387">
            <v>43.145001000000001</v>
          </cell>
          <cell r="N387">
            <v>-2.9599709999999999</v>
          </cell>
          <cell r="O387" t="b">
            <v>1</v>
          </cell>
          <cell r="Q387">
            <v>1</v>
          </cell>
          <cell r="R387">
            <v>1</v>
          </cell>
          <cell r="S387">
            <v>1</v>
          </cell>
        </row>
        <row r="388">
          <cell r="B388" t="str">
            <v>Distribución</v>
          </cell>
          <cell r="C388">
            <v>1</v>
          </cell>
          <cell r="E388" t="str">
            <v>OT/0306</v>
          </cell>
          <cell r="F388">
            <v>45918</v>
          </cell>
          <cell r="G388">
            <v>45918</v>
          </cell>
          <cell r="H388" t="str">
            <v>Reparación de fuga en el Parque Lamuza (Llodio)</v>
          </cell>
          <cell r="I388" t="str">
            <v>Reparación de fuga en el Parque Lamuza</v>
          </cell>
          <cell r="J388" t="str">
            <v>Llodio</v>
          </cell>
          <cell r="M388">
            <v>43.144979999999997</v>
          </cell>
          <cell r="N388">
            <v>-2.965023</v>
          </cell>
          <cell r="O388" t="b">
            <v>1</v>
          </cell>
          <cell r="Q388">
            <v>1</v>
          </cell>
          <cell r="R388">
            <v>1</v>
          </cell>
          <cell r="S388">
            <v>1</v>
          </cell>
        </row>
        <row r="389">
          <cell r="B389" t="str">
            <v>Aducción</v>
          </cell>
          <cell r="C389">
            <v>1</v>
          </cell>
          <cell r="E389" t="str">
            <v>OT/0307</v>
          </cell>
          <cell r="F389">
            <v>45918</v>
          </cell>
          <cell r="G389">
            <v>45918</v>
          </cell>
          <cell r="H389" t="str">
            <v>Reparar fuga VRP de Arbaiza</v>
          </cell>
          <cell r="I389" t="str">
            <v>Reparar fuga VRP de Arbaiza</v>
          </cell>
          <cell r="J389" t="str">
            <v>Amurrio</v>
          </cell>
          <cell r="O389" t="b">
            <v>1</v>
          </cell>
          <cell r="Q389">
            <v>1</v>
          </cell>
          <cell r="R389">
            <v>1</v>
          </cell>
          <cell r="S389">
            <v>1</v>
          </cell>
        </row>
        <row r="390">
          <cell r="B390" t="str">
            <v>Distribución</v>
          </cell>
          <cell r="C390">
            <v>1</v>
          </cell>
          <cell r="E390" t="str">
            <v>OT/0308</v>
          </cell>
          <cell r="F390">
            <v>45918</v>
          </cell>
          <cell r="G390">
            <v>45918</v>
          </cell>
          <cell r="H390" t="str">
            <v>Reparación de fuga en Elburgo</v>
          </cell>
          <cell r="I390" t="str">
            <v>Reparación de fuga en Elburgo</v>
          </cell>
          <cell r="J390" t="str">
            <v>Elburgo</v>
          </cell>
          <cell r="M390">
            <v>42.850552</v>
          </cell>
          <cell r="N390">
            <v>-2.5389360000000001</v>
          </cell>
          <cell r="O390" t="b">
            <v>1</v>
          </cell>
          <cell r="Q390">
            <v>3</v>
          </cell>
          <cell r="R390">
            <v>3</v>
          </cell>
          <cell r="S390">
            <v>1</v>
          </cell>
        </row>
        <row r="391">
          <cell r="B391" t="str">
            <v>Saneamiento</v>
          </cell>
          <cell r="C391">
            <v>2</v>
          </cell>
          <cell r="D391">
            <v>3</v>
          </cell>
          <cell r="E391" t="str">
            <v>TP/0177</v>
          </cell>
          <cell r="F391">
            <v>45918</v>
          </cell>
          <cell r="G391">
            <v>45918</v>
          </cell>
          <cell r="H391" t="str">
            <v>Mantenimiento de saneamiento en Agurain</v>
          </cell>
          <cell r="I391" t="str">
            <v>Mantenimiento de saneamiento en Agurain</v>
          </cell>
          <cell r="J391" t="str">
            <v>Agurain</v>
          </cell>
          <cell r="O391" t="b">
            <v>1</v>
          </cell>
          <cell r="Q391">
            <v>3</v>
          </cell>
          <cell r="R391">
            <v>26</v>
          </cell>
        </row>
        <row r="392">
          <cell r="B392" t="str">
            <v>Distribución</v>
          </cell>
          <cell r="C392">
            <v>2</v>
          </cell>
          <cell r="D392">
            <v>10</v>
          </cell>
          <cell r="E392" t="str">
            <v>TP/0178</v>
          </cell>
          <cell r="F392">
            <v>45918</v>
          </cell>
          <cell r="G392">
            <v>45918</v>
          </cell>
          <cell r="H392" t="str">
            <v>Sustitución contadores en Alegria</v>
          </cell>
          <cell r="I392" t="str">
            <v>Sustitución contadores en Alegria</v>
          </cell>
          <cell r="J392" t="str">
            <v>Alegría</v>
          </cell>
          <cell r="O392" t="b">
            <v>1</v>
          </cell>
          <cell r="Q392">
            <v>3</v>
          </cell>
          <cell r="R392">
            <v>3</v>
          </cell>
        </row>
        <row r="393">
          <cell r="B393" t="str">
            <v>Distribución</v>
          </cell>
          <cell r="C393">
            <v>2</v>
          </cell>
          <cell r="D393">
            <v>12</v>
          </cell>
          <cell r="E393" t="str">
            <v>TP/0179</v>
          </cell>
          <cell r="F393">
            <v>45912</v>
          </cell>
          <cell r="G393">
            <v>45912</v>
          </cell>
          <cell r="H393" t="str">
            <v>Corte de Agua en Urumea n4 (Llodio)</v>
          </cell>
          <cell r="I393" t="str">
            <v>Corte de Agua en Urumea n4 (Llodio)</v>
          </cell>
          <cell r="J393" t="str">
            <v>Llodio</v>
          </cell>
          <cell r="O393" t="b">
            <v>1</v>
          </cell>
          <cell r="Q393">
            <v>1</v>
          </cell>
          <cell r="R393">
            <v>1</v>
          </cell>
        </row>
        <row r="394">
          <cell r="B394" t="str">
            <v>Distribución</v>
          </cell>
          <cell r="C394">
            <v>1</v>
          </cell>
          <cell r="E394" t="str">
            <v>OT/0309</v>
          </cell>
          <cell r="F394">
            <v>45916</v>
          </cell>
          <cell r="G394">
            <v>45916</v>
          </cell>
          <cell r="H394" t="str">
            <v>Aviso de Fuga en la estación de Amurrio</v>
          </cell>
          <cell r="I394" t="str">
            <v>Aviso de Fuga en la estación de Amurrio</v>
          </cell>
          <cell r="J394" t="str">
            <v>Amurrio</v>
          </cell>
          <cell r="M394">
            <v>43.049000999999997</v>
          </cell>
          <cell r="N394">
            <v>-3.002075</v>
          </cell>
          <cell r="O394" t="b">
            <v>1</v>
          </cell>
          <cell r="Q394">
            <v>1</v>
          </cell>
          <cell r="R394">
            <v>1</v>
          </cell>
          <cell r="S394">
            <v>1</v>
          </cell>
        </row>
        <row r="395">
          <cell r="B395" t="str">
            <v>Saneamiento</v>
          </cell>
          <cell r="C395">
            <v>1</v>
          </cell>
          <cell r="E395" t="str">
            <v>OT/0310</v>
          </cell>
          <cell r="F395">
            <v>45918</v>
          </cell>
          <cell r="G395">
            <v>45919</v>
          </cell>
          <cell r="H395" t="str">
            <v>Desatasco en Artziniega</v>
          </cell>
          <cell r="I395" t="str">
            <v>Desatasco en Artziniega</v>
          </cell>
          <cell r="J395" t="str">
            <v>Artziniega</v>
          </cell>
          <cell r="M395">
            <v>43.121026999999998</v>
          </cell>
          <cell r="N395">
            <v>-3.1297959999999998</v>
          </cell>
          <cell r="O395" t="b">
            <v>1</v>
          </cell>
          <cell r="Q395">
            <v>1</v>
          </cell>
          <cell r="R395">
            <v>2</v>
          </cell>
          <cell r="S395">
            <v>2</v>
          </cell>
        </row>
        <row r="396">
          <cell r="B396" t="str">
            <v>Distribución</v>
          </cell>
          <cell r="C396">
            <v>1</v>
          </cell>
          <cell r="E396" t="str">
            <v>OT/0311</v>
          </cell>
          <cell r="F396">
            <v>45908</v>
          </cell>
          <cell r="G396">
            <v>45908</v>
          </cell>
          <cell r="H396" t="str">
            <v>Fuga en Elburgo</v>
          </cell>
          <cell r="I396" t="str">
            <v>Fuga en Elburgo</v>
          </cell>
          <cell r="J396" t="str">
            <v>Elburgo</v>
          </cell>
          <cell r="M396">
            <v>42.849178000000002</v>
          </cell>
          <cell r="N396">
            <v>-2.5460240000000001</v>
          </cell>
          <cell r="O396" t="b">
            <v>1</v>
          </cell>
          <cell r="Q396">
            <v>3</v>
          </cell>
          <cell r="R396">
            <v>3</v>
          </cell>
          <cell r="S396">
            <v>1</v>
          </cell>
        </row>
        <row r="397">
          <cell r="B397" t="str">
            <v>Distribución</v>
          </cell>
          <cell r="C397">
            <v>1</v>
          </cell>
          <cell r="E397" t="str">
            <v>OT/0312</v>
          </cell>
          <cell r="F397">
            <v>45915</v>
          </cell>
          <cell r="G397">
            <v>45915</v>
          </cell>
          <cell r="H397" t="str">
            <v>Reparacion de fuga en Larrimbe</v>
          </cell>
          <cell r="I397" t="str">
            <v>Reparacion de fuga en Larrimbe</v>
          </cell>
          <cell r="J397" t="str">
            <v>Larrinbe</v>
          </cell>
          <cell r="O397" t="b">
            <v>1</v>
          </cell>
          <cell r="Q397">
            <v>1</v>
          </cell>
          <cell r="R397">
            <v>1</v>
          </cell>
          <cell r="S397">
            <v>1</v>
          </cell>
        </row>
        <row r="398">
          <cell r="B398" t="str">
            <v>Saneamiento</v>
          </cell>
          <cell r="C398">
            <v>1</v>
          </cell>
          <cell r="E398" t="str">
            <v>OT/0313</v>
          </cell>
          <cell r="F398">
            <v>45915</v>
          </cell>
          <cell r="G398">
            <v>45915</v>
          </cell>
          <cell r="H398" t="str">
            <v>Desatasco en Anucita</v>
          </cell>
          <cell r="I398" t="str">
            <v>Desatasco en Anucita</v>
          </cell>
          <cell r="J398" t="str">
            <v>Anucita</v>
          </cell>
          <cell r="O398" t="b">
            <v>1</v>
          </cell>
          <cell r="Q398">
            <v>5</v>
          </cell>
          <cell r="R398">
            <v>41</v>
          </cell>
          <cell r="S398">
            <v>2</v>
          </cell>
        </row>
        <row r="399">
          <cell r="B399" t="str">
            <v>Distribución</v>
          </cell>
          <cell r="C399">
            <v>1</v>
          </cell>
          <cell r="E399" t="str">
            <v>OT/0314</v>
          </cell>
          <cell r="F399">
            <v>45915</v>
          </cell>
          <cell r="G399">
            <v>45915</v>
          </cell>
          <cell r="H399" t="str">
            <v>Fuga en Llodio</v>
          </cell>
          <cell r="I399" t="str">
            <v>Fuga en Llodio</v>
          </cell>
          <cell r="J399" t="str">
            <v>Llodio</v>
          </cell>
          <cell r="O399" t="b">
            <v>1</v>
          </cell>
          <cell r="Q399">
            <v>1</v>
          </cell>
          <cell r="R399">
            <v>1</v>
          </cell>
          <cell r="S399">
            <v>1</v>
          </cell>
        </row>
        <row r="400">
          <cell r="B400" t="str">
            <v>Aducción</v>
          </cell>
          <cell r="C400">
            <v>1</v>
          </cell>
          <cell r="E400" t="str">
            <v>OT/0315</v>
          </cell>
          <cell r="F400">
            <v>45916</v>
          </cell>
          <cell r="G400">
            <v>45916</v>
          </cell>
          <cell r="H400" t="str">
            <v>Fuga de Iperrega (Amurrio)</v>
          </cell>
          <cell r="I400" t="str">
            <v>Fuga de Iperrega</v>
          </cell>
          <cell r="J400" t="str">
            <v>Iperrega-Baranbio</v>
          </cell>
          <cell r="O400" t="b">
            <v>1</v>
          </cell>
          <cell r="Q400">
            <v>1</v>
          </cell>
          <cell r="R400">
            <v>1</v>
          </cell>
          <cell r="S400">
            <v>1</v>
          </cell>
        </row>
        <row r="401">
          <cell r="B401" t="str">
            <v>Saneamiento</v>
          </cell>
          <cell r="C401">
            <v>1</v>
          </cell>
          <cell r="E401" t="str">
            <v>OT/0317</v>
          </cell>
          <cell r="F401">
            <v>45918</v>
          </cell>
          <cell r="G401">
            <v>45918</v>
          </cell>
          <cell r="H401" t="str">
            <v>Desatasco en Zuaza (Campa)</v>
          </cell>
          <cell r="I401" t="str">
            <v>Desatasco en Zuaza (Campa)</v>
          </cell>
          <cell r="J401" t="str">
            <v>Zuaza</v>
          </cell>
          <cell r="O401" t="b">
            <v>1</v>
          </cell>
          <cell r="Q401">
            <v>1</v>
          </cell>
          <cell r="R401">
            <v>3</v>
          </cell>
          <cell r="S401">
            <v>2</v>
          </cell>
        </row>
        <row r="402">
          <cell r="B402" t="str">
            <v>Distribución</v>
          </cell>
          <cell r="C402">
            <v>1</v>
          </cell>
          <cell r="E402" t="str">
            <v>OT/0318</v>
          </cell>
          <cell r="F402">
            <v>45918</v>
          </cell>
          <cell r="G402">
            <v>45919</v>
          </cell>
          <cell r="H402" t="str">
            <v>Reparacion de fuga en la calle Galburu (Alegria)</v>
          </cell>
          <cell r="I402" t="str">
            <v>Reparacion de fuga en la calle Galburu (Alegria)</v>
          </cell>
          <cell r="J402" t="str">
            <v>Alegría</v>
          </cell>
          <cell r="O402" t="b">
            <v>1</v>
          </cell>
          <cell r="Q402">
            <v>3</v>
          </cell>
          <cell r="R402">
            <v>3</v>
          </cell>
          <cell r="S402">
            <v>1</v>
          </cell>
        </row>
        <row r="403">
          <cell r="B403" t="str">
            <v>Aducción</v>
          </cell>
          <cell r="C403">
            <v>1</v>
          </cell>
          <cell r="E403" t="str">
            <v>OT/0319</v>
          </cell>
          <cell r="F403">
            <v>45918</v>
          </cell>
          <cell r="G403">
            <v>45919</v>
          </cell>
          <cell r="H403" t="str">
            <v>Reparacion de fuga en Iperrega (Baranbio)</v>
          </cell>
          <cell r="I403" t="str">
            <v>Reparacion de fuga en Iperrega (Baranbio)</v>
          </cell>
          <cell r="J403" t="str">
            <v>Iperrega-Baranbio</v>
          </cell>
          <cell r="O403" t="b">
            <v>1</v>
          </cell>
          <cell r="Q403">
            <v>1</v>
          </cell>
          <cell r="R403">
            <v>1</v>
          </cell>
          <cell r="S403">
            <v>1</v>
          </cell>
        </row>
        <row r="404">
          <cell r="B404" t="str">
            <v>Aducción</v>
          </cell>
          <cell r="C404">
            <v>2</v>
          </cell>
          <cell r="D404">
            <v>2</v>
          </cell>
          <cell r="E404" t="str">
            <v>TP/0180</v>
          </cell>
          <cell r="F404">
            <v>45919</v>
          </cell>
          <cell r="G404">
            <v>45919</v>
          </cell>
          <cell r="H404" t="str">
            <v>Limpieza de captaciones en Aiara</v>
          </cell>
          <cell r="I404" t="str">
            <v>Limpieza de captaciones en Aiara</v>
          </cell>
          <cell r="J404" t="str">
            <v>Aiaraldea</v>
          </cell>
          <cell r="O404" t="b">
            <v>1</v>
          </cell>
          <cell r="Q404">
            <v>1</v>
          </cell>
          <cell r="R404">
            <v>1</v>
          </cell>
        </row>
        <row r="405">
          <cell r="B405" t="str">
            <v>Distribución</v>
          </cell>
          <cell r="C405">
            <v>1</v>
          </cell>
          <cell r="E405" t="str">
            <v>OT/0320</v>
          </cell>
          <cell r="F405">
            <v>45919</v>
          </cell>
          <cell r="G405">
            <v>45925</v>
          </cell>
          <cell r="H405" t="str">
            <v>Reparacion fuga acometida Agurain</v>
          </cell>
          <cell r="I405" t="str">
            <v>Reparacion fuga acometida Agurain</v>
          </cell>
          <cell r="J405" t="str">
            <v>Agurain</v>
          </cell>
          <cell r="O405" t="b">
            <v>1</v>
          </cell>
          <cell r="Q405">
            <v>3</v>
          </cell>
          <cell r="R405">
            <v>3</v>
          </cell>
          <cell r="S405">
            <v>1</v>
          </cell>
        </row>
        <row r="406">
          <cell r="B406" t="str">
            <v>Distribución</v>
          </cell>
          <cell r="C406">
            <v>1</v>
          </cell>
          <cell r="E406" t="str">
            <v>OT/0321</v>
          </cell>
          <cell r="F406">
            <v>45920</v>
          </cell>
          <cell r="G406">
            <v>45920</v>
          </cell>
          <cell r="H406" t="str">
            <v>Fuga en Erbi</v>
          </cell>
          <cell r="I406" t="str">
            <v>Fuga en Erbi</v>
          </cell>
          <cell r="J406" t="str">
            <v>Erbi</v>
          </cell>
          <cell r="O406" t="b">
            <v>1</v>
          </cell>
          <cell r="Q406">
            <v>1</v>
          </cell>
          <cell r="R406">
            <v>1</v>
          </cell>
          <cell r="S406">
            <v>1</v>
          </cell>
        </row>
        <row r="407">
          <cell r="B407" t="str">
            <v>Distribución</v>
          </cell>
          <cell r="C407">
            <v>1</v>
          </cell>
          <cell r="E407" t="str">
            <v>OT/0322</v>
          </cell>
          <cell r="F407">
            <v>45920</v>
          </cell>
          <cell r="G407">
            <v>45920</v>
          </cell>
          <cell r="H407" t="str">
            <v>Abonado sin agua en Estabillo</v>
          </cell>
          <cell r="I407" t="str">
            <v>Abonado sin agua en Estabillo</v>
          </cell>
          <cell r="J407" t="str">
            <v>Estabillo</v>
          </cell>
          <cell r="O407" t="b">
            <v>1</v>
          </cell>
          <cell r="Q407">
            <v>5</v>
          </cell>
          <cell r="R407">
            <v>5</v>
          </cell>
          <cell r="S407">
            <v>3</v>
          </cell>
        </row>
        <row r="408">
          <cell r="B408" t="str">
            <v>Saneamiento</v>
          </cell>
          <cell r="C408">
            <v>1</v>
          </cell>
          <cell r="E408" t="str">
            <v>OT/0323</v>
          </cell>
          <cell r="F408">
            <v>45920</v>
          </cell>
          <cell r="G408">
            <v>45920</v>
          </cell>
          <cell r="H408" t="str">
            <v>Atasco en Alegria C/Larrainza</v>
          </cell>
          <cell r="I408" t="str">
            <v>Atasco en Alegria C/Larrainza</v>
          </cell>
          <cell r="J408" t="str">
            <v>Alegría</v>
          </cell>
          <cell r="O408" t="b">
            <v>1</v>
          </cell>
          <cell r="Q408">
            <v>3</v>
          </cell>
          <cell r="R408">
            <v>21</v>
          </cell>
          <cell r="S408">
            <v>2</v>
          </cell>
        </row>
        <row r="409">
          <cell r="B409" t="str">
            <v>Saneamiento</v>
          </cell>
          <cell r="C409">
            <v>1</v>
          </cell>
          <cell r="E409" t="str">
            <v>OT/0324</v>
          </cell>
          <cell r="F409">
            <v>45920</v>
          </cell>
          <cell r="G409">
            <v>45920</v>
          </cell>
          <cell r="H409" t="str">
            <v>Atasco en Artziniega (Calle Abajo)</v>
          </cell>
          <cell r="I409" t="str">
            <v>Atasco en Artziniega (Calle Abajo)</v>
          </cell>
          <cell r="J409" t="str">
            <v>Artziniega</v>
          </cell>
          <cell r="O409" t="b">
            <v>1</v>
          </cell>
          <cell r="Q409">
            <v>1</v>
          </cell>
          <cell r="R409">
            <v>2</v>
          </cell>
          <cell r="S409">
            <v>2</v>
          </cell>
        </row>
        <row r="410">
          <cell r="B410" t="str">
            <v>Distribución</v>
          </cell>
          <cell r="C410">
            <v>1</v>
          </cell>
          <cell r="E410" t="str">
            <v>OT/0325</v>
          </cell>
          <cell r="F410">
            <v>45920</v>
          </cell>
          <cell r="G410">
            <v>45920</v>
          </cell>
          <cell r="H410" t="str">
            <v>Fuga en Murga</v>
          </cell>
          <cell r="I410" t="str">
            <v>Fuga en Murga</v>
          </cell>
          <cell r="J410" t="str">
            <v>Murga</v>
          </cell>
          <cell r="O410" t="b">
            <v>1</v>
          </cell>
          <cell r="Q410">
            <v>1</v>
          </cell>
          <cell r="R410">
            <v>1</v>
          </cell>
          <cell r="S410">
            <v>1</v>
          </cell>
        </row>
        <row r="411">
          <cell r="B411" t="str">
            <v>Distribución</v>
          </cell>
          <cell r="C411">
            <v>1</v>
          </cell>
          <cell r="E411" t="str">
            <v>OT/0326</v>
          </cell>
          <cell r="F411">
            <v>45921</v>
          </cell>
          <cell r="G411">
            <v>45921</v>
          </cell>
          <cell r="H411" t="str">
            <v>Fuga en Quintana</v>
          </cell>
          <cell r="I411" t="str">
            <v>Fuga en Quintana</v>
          </cell>
          <cell r="J411" t="str">
            <v>Quintana</v>
          </cell>
          <cell r="O411" t="b">
            <v>1</v>
          </cell>
          <cell r="Q411">
            <v>6</v>
          </cell>
          <cell r="R411">
            <v>6</v>
          </cell>
          <cell r="S411">
            <v>1</v>
          </cell>
        </row>
        <row r="412">
          <cell r="B412" t="str">
            <v>Saneamiento</v>
          </cell>
          <cell r="C412">
            <v>1</v>
          </cell>
          <cell r="E412" t="str">
            <v>OT/0327</v>
          </cell>
          <cell r="F412">
            <v>45921</v>
          </cell>
          <cell r="G412">
            <v>45921</v>
          </cell>
          <cell r="H412" t="str">
            <v>Atasco en Goikolarra(Amurrio)</v>
          </cell>
          <cell r="I412" t="str">
            <v>Atasco en Goikolarra(Amurrio)</v>
          </cell>
          <cell r="J412" t="str">
            <v>Amurrio</v>
          </cell>
          <cell r="O412" t="b">
            <v>1</v>
          </cell>
          <cell r="Q412">
            <v>1</v>
          </cell>
          <cell r="R412">
            <v>1</v>
          </cell>
          <cell r="S412">
            <v>2</v>
          </cell>
        </row>
        <row r="413">
          <cell r="B413" t="str">
            <v>Distribución</v>
          </cell>
          <cell r="C413">
            <v>2</v>
          </cell>
          <cell r="D413">
            <v>8</v>
          </cell>
          <cell r="E413" t="str">
            <v>TP/0181</v>
          </cell>
          <cell r="F413">
            <v>45912</v>
          </cell>
          <cell r="G413">
            <v>45912</v>
          </cell>
          <cell r="H413" t="str">
            <v>Instalación de contadores Plaza de Abastos (Llodio)</v>
          </cell>
          <cell r="I413" t="str">
            <v>Instalación de contadores Plaza de Abastos (Llodio)</v>
          </cell>
          <cell r="J413" t="str">
            <v>Llodio</v>
          </cell>
          <cell r="O413" t="b">
            <v>1</v>
          </cell>
          <cell r="Q413">
            <v>1</v>
          </cell>
          <cell r="R413">
            <v>1</v>
          </cell>
        </row>
        <row r="414">
          <cell r="B414" t="str">
            <v>Distribución</v>
          </cell>
          <cell r="C414">
            <v>1</v>
          </cell>
          <cell r="E414" t="str">
            <v>OT/0328</v>
          </cell>
          <cell r="F414">
            <v>45921</v>
          </cell>
          <cell r="G414">
            <v>45924</v>
          </cell>
          <cell r="H414" t="str">
            <v>Reparaciones de Fuga en Ugarte (Llodio)</v>
          </cell>
          <cell r="I414" t="str">
            <v>Reparaciones de Fuga en Ugarte (Llodio)</v>
          </cell>
          <cell r="J414" t="str">
            <v>Llodio</v>
          </cell>
          <cell r="O414" t="b">
            <v>1</v>
          </cell>
          <cell r="Q414">
            <v>1</v>
          </cell>
          <cell r="R414">
            <v>1</v>
          </cell>
          <cell r="S414">
            <v>1</v>
          </cell>
        </row>
        <row r="415">
          <cell r="B415" t="str">
            <v>Distribución</v>
          </cell>
          <cell r="C415">
            <v>1</v>
          </cell>
          <cell r="E415" t="str">
            <v>OT/0329</v>
          </cell>
          <cell r="F415">
            <v>45919</v>
          </cell>
          <cell r="G415">
            <v>45919</v>
          </cell>
          <cell r="H415" t="str">
            <v>Reparación de fuga en Pozoportillo</v>
          </cell>
          <cell r="I415" t="str">
            <v>Reparación de fuga en Pozoportillo</v>
          </cell>
          <cell r="J415" t="str">
            <v>Pozoportillo-Ozeka</v>
          </cell>
          <cell r="M415">
            <v>43.067357000000001</v>
          </cell>
          <cell r="N415">
            <v>-3.0980099999999999</v>
          </cell>
          <cell r="O415" t="b">
            <v>1</v>
          </cell>
          <cell r="Q415">
            <v>1</v>
          </cell>
          <cell r="R415">
            <v>1</v>
          </cell>
          <cell r="S415">
            <v>1</v>
          </cell>
        </row>
        <row r="416">
          <cell r="B416" t="str">
            <v>Distribución</v>
          </cell>
          <cell r="C416">
            <v>2</v>
          </cell>
          <cell r="D416">
            <v>8</v>
          </cell>
          <cell r="E416" t="str">
            <v>TP/0182</v>
          </cell>
          <cell r="F416">
            <v>45919</v>
          </cell>
          <cell r="G416">
            <v>45919</v>
          </cell>
          <cell r="H416" t="str">
            <v>Instalación de contador en Luiando</v>
          </cell>
          <cell r="I416" t="str">
            <v>Instalación de contador en Luiando</v>
          </cell>
          <cell r="J416" t="str">
            <v>Luiando</v>
          </cell>
          <cell r="O416" t="b">
            <v>1</v>
          </cell>
          <cell r="Q416">
            <v>1</v>
          </cell>
          <cell r="R416">
            <v>1</v>
          </cell>
        </row>
        <row r="417">
          <cell r="B417" t="str">
            <v>Distribución</v>
          </cell>
          <cell r="C417">
            <v>1</v>
          </cell>
          <cell r="E417" t="str">
            <v>OT/0330</v>
          </cell>
          <cell r="F417">
            <v>45919</v>
          </cell>
          <cell r="G417">
            <v>45925</v>
          </cell>
          <cell r="H417" t="str">
            <v>Aviso poca presión en Zuaza</v>
          </cell>
          <cell r="I417" t="str">
            <v>Aviso poca presión en Zuaza (Panaderia)(esta en mal estado)</v>
          </cell>
          <cell r="J417" t="str">
            <v>Zuaza</v>
          </cell>
          <cell r="O417" t="b">
            <v>1</v>
          </cell>
          <cell r="Q417">
            <v>1</v>
          </cell>
          <cell r="R417">
            <v>1</v>
          </cell>
          <cell r="S417">
            <v>3</v>
          </cell>
        </row>
        <row r="418">
          <cell r="B418" t="str">
            <v>Distribución</v>
          </cell>
          <cell r="C418">
            <v>1</v>
          </cell>
          <cell r="E418" t="str">
            <v>OT/0331</v>
          </cell>
          <cell r="F418">
            <v>45920</v>
          </cell>
          <cell r="G418">
            <v>45920</v>
          </cell>
          <cell r="H418" t="str">
            <v>Reparación de fuga en Murga 41</v>
          </cell>
          <cell r="I418" t="str">
            <v>Reparación de fuga en Murga 41</v>
          </cell>
          <cell r="J418" t="str">
            <v>Murga</v>
          </cell>
          <cell r="O418" t="b">
            <v>1</v>
          </cell>
          <cell r="Q418">
            <v>1</v>
          </cell>
          <cell r="R418">
            <v>1</v>
          </cell>
          <cell r="S418">
            <v>1</v>
          </cell>
        </row>
        <row r="419">
          <cell r="B419" t="str">
            <v>Saneamiento</v>
          </cell>
          <cell r="C419">
            <v>1</v>
          </cell>
          <cell r="E419" t="str">
            <v>OT/0332</v>
          </cell>
          <cell r="F419">
            <v>45920</v>
          </cell>
          <cell r="G419">
            <v>45920</v>
          </cell>
          <cell r="H419" t="str">
            <v>Desatascar lineas de saneamiento en Alegria</v>
          </cell>
          <cell r="I419" t="str">
            <v>Desatascar lineas de saneamiento en Alegria</v>
          </cell>
          <cell r="J419" t="str">
            <v>Alegría</v>
          </cell>
          <cell r="O419" t="b">
            <v>1</v>
          </cell>
          <cell r="Q419">
            <v>3</v>
          </cell>
          <cell r="R419">
            <v>21</v>
          </cell>
          <cell r="S419">
            <v>2</v>
          </cell>
        </row>
        <row r="420">
          <cell r="B420" t="str">
            <v>Depuración</v>
          </cell>
          <cell r="C420">
            <v>2</v>
          </cell>
          <cell r="D420">
            <v>3</v>
          </cell>
          <cell r="E420" t="str">
            <v>TP/0183</v>
          </cell>
          <cell r="F420">
            <v>45922</v>
          </cell>
          <cell r="G420">
            <v>45922</v>
          </cell>
          <cell r="H420" t="str">
            <v>Mantenimiento de fosas sépticas en Antoñana</v>
          </cell>
          <cell r="I420" t="str">
            <v>Mantenimiento de fosas sépticas en Antoñana</v>
          </cell>
          <cell r="J420" t="str">
            <v>Antoñana</v>
          </cell>
          <cell r="O420" t="b">
            <v>1</v>
          </cell>
          <cell r="Q420">
            <v>6</v>
          </cell>
          <cell r="R420">
            <v>6</v>
          </cell>
        </row>
        <row r="421">
          <cell r="B421" t="str">
            <v>Distribución</v>
          </cell>
          <cell r="C421">
            <v>1</v>
          </cell>
          <cell r="E421" t="str">
            <v>OT/0333</v>
          </cell>
          <cell r="F421">
            <v>45922</v>
          </cell>
          <cell r="G421">
            <v>45922</v>
          </cell>
          <cell r="H421" t="str">
            <v>Aviso por fuga en Aldai n38 (Amurrio)</v>
          </cell>
          <cell r="I421" t="str">
            <v>Aviso por fuga en Aldai n38 (Amurrio)</v>
          </cell>
          <cell r="J421" t="str">
            <v>Amurrio</v>
          </cell>
          <cell r="O421" t="b">
            <v>1</v>
          </cell>
          <cell r="Q421">
            <v>1</v>
          </cell>
          <cell r="R421">
            <v>1</v>
          </cell>
          <cell r="S421">
            <v>1</v>
          </cell>
        </row>
        <row r="422">
          <cell r="B422" t="str">
            <v>Saneamiento</v>
          </cell>
          <cell r="C422">
            <v>1</v>
          </cell>
          <cell r="E422" t="str">
            <v>OT/0334</v>
          </cell>
          <cell r="F422">
            <v>45923</v>
          </cell>
          <cell r="G422">
            <v>45923</v>
          </cell>
          <cell r="H422" t="str">
            <v>Reparación colector saneamiento Artziniega</v>
          </cell>
          <cell r="I422" t="str">
            <v>Reparación colector saneamiento Artziniega</v>
          </cell>
          <cell r="J422" t="str">
            <v>Artziniega</v>
          </cell>
          <cell r="O422" t="b">
            <v>1</v>
          </cell>
          <cell r="Q422">
            <v>1</v>
          </cell>
          <cell r="R422">
            <v>2</v>
          </cell>
          <cell r="S422">
            <v>3</v>
          </cell>
        </row>
        <row r="423">
          <cell r="B423" t="str">
            <v>Saneamiento</v>
          </cell>
          <cell r="C423">
            <v>1</v>
          </cell>
          <cell r="E423" t="str">
            <v>OT/0335</v>
          </cell>
          <cell r="F423">
            <v>45923</v>
          </cell>
          <cell r="G423">
            <v>45923</v>
          </cell>
          <cell r="H423" t="str">
            <v>Localización de fugas y revisión de arquetas de pluviales y saneamiento en Atxeta</v>
          </cell>
          <cell r="I423" t="str">
            <v>Localización de fugas y revisión de arquetas de pluviales y saneamiento en Atxeta</v>
          </cell>
          <cell r="J423" t="str">
            <v>Llodio</v>
          </cell>
          <cell r="O423" t="b">
            <v>1</v>
          </cell>
          <cell r="Q423">
            <v>1</v>
          </cell>
          <cell r="R423">
            <v>4</v>
          </cell>
          <cell r="S423">
            <v>1</v>
          </cell>
        </row>
        <row r="424">
          <cell r="B424" t="str">
            <v>Saneamiento</v>
          </cell>
          <cell r="C424">
            <v>1</v>
          </cell>
          <cell r="E424" t="str">
            <v>OT/0336</v>
          </cell>
          <cell r="F424">
            <v>45923</v>
          </cell>
          <cell r="G424">
            <v>45926</v>
          </cell>
          <cell r="H424" t="str">
            <v>Reparación y desatasco colector pluviales en Ribabellosa</v>
          </cell>
          <cell r="I424" t="str">
            <v>Reparación y desatasco colector pluviales en Ribabellosa</v>
          </cell>
          <cell r="J424" t="str">
            <v>Ribabellosa</v>
          </cell>
          <cell r="O424" t="b">
            <v>1</v>
          </cell>
          <cell r="Q424">
            <v>5</v>
          </cell>
          <cell r="R424">
            <v>41</v>
          </cell>
          <cell r="S424">
            <v>2</v>
          </cell>
        </row>
        <row r="425">
          <cell r="B425" t="str">
            <v>Distribución</v>
          </cell>
          <cell r="C425">
            <v>1</v>
          </cell>
          <cell r="E425" t="str">
            <v>OT/0337</v>
          </cell>
          <cell r="F425">
            <v>45923</v>
          </cell>
          <cell r="H425" t="str">
            <v>Reparación y sustitución valvulas acometida C/Jose Matia (Llodio)</v>
          </cell>
          <cell r="I425" t="str">
            <v>Reparación y sustitución valvulas acometida C/Jose Matia (Llodio)</v>
          </cell>
          <cell r="J425" t="str">
            <v>Llodio</v>
          </cell>
          <cell r="O425" t="b">
            <v>0</v>
          </cell>
          <cell r="Q425">
            <v>1</v>
          </cell>
          <cell r="R425">
            <v>1</v>
          </cell>
          <cell r="S425">
            <v>3</v>
          </cell>
        </row>
        <row r="426">
          <cell r="B426" t="str">
            <v>Distribución</v>
          </cell>
          <cell r="C426">
            <v>2</v>
          </cell>
          <cell r="D426">
            <v>9</v>
          </cell>
          <cell r="E426" t="str">
            <v>TP/0184</v>
          </cell>
          <cell r="F426">
            <v>45923</v>
          </cell>
          <cell r="G426">
            <v>45923</v>
          </cell>
          <cell r="H426" t="str">
            <v>Retirada de contador en Anucita</v>
          </cell>
          <cell r="I426" t="str">
            <v>Retirada de contador en Anucita</v>
          </cell>
          <cell r="J426" t="str">
            <v>Anucita</v>
          </cell>
          <cell r="O426" t="b">
            <v>1</v>
          </cell>
          <cell r="Q426">
            <v>5</v>
          </cell>
          <cell r="R426">
            <v>5</v>
          </cell>
        </row>
        <row r="427">
          <cell r="B427" t="str">
            <v>Distribución</v>
          </cell>
          <cell r="C427">
            <v>2</v>
          </cell>
          <cell r="D427">
            <v>8</v>
          </cell>
          <cell r="E427" t="str">
            <v>TP/0185</v>
          </cell>
          <cell r="F427">
            <v>45923</v>
          </cell>
          <cell r="G427">
            <v>45923</v>
          </cell>
          <cell r="H427" t="str">
            <v>Instalación contador en Oteo</v>
          </cell>
          <cell r="I427" t="str">
            <v>Instalación contador en Oteo</v>
          </cell>
          <cell r="J427" t="str">
            <v>Oteo</v>
          </cell>
          <cell r="O427" t="b">
            <v>1</v>
          </cell>
          <cell r="Q427">
            <v>6</v>
          </cell>
          <cell r="R427">
            <v>6</v>
          </cell>
        </row>
        <row r="428">
          <cell r="B428" t="str">
            <v>Saneamiento</v>
          </cell>
          <cell r="C428">
            <v>1</v>
          </cell>
          <cell r="E428" t="str">
            <v>OT/0338</v>
          </cell>
          <cell r="F428">
            <v>45924</v>
          </cell>
          <cell r="H428" t="str">
            <v>Reparación saneamiento Artziniega</v>
          </cell>
          <cell r="I428" t="str">
            <v>Reparación saneamiento Artziniega</v>
          </cell>
          <cell r="J428" t="str">
            <v>Artziniega</v>
          </cell>
          <cell r="O428" t="b">
            <v>0</v>
          </cell>
          <cell r="Q428">
            <v>1</v>
          </cell>
          <cell r="R428">
            <v>2</v>
          </cell>
          <cell r="S428">
            <v>3</v>
          </cell>
        </row>
        <row r="429">
          <cell r="B429" t="str">
            <v>Distribución</v>
          </cell>
          <cell r="C429">
            <v>2</v>
          </cell>
          <cell r="D429">
            <v>8</v>
          </cell>
          <cell r="E429" t="str">
            <v>TP/0186</v>
          </cell>
          <cell r="F429">
            <v>45901</v>
          </cell>
          <cell r="G429">
            <v>45901</v>
          </cell>
          <cell r="H429" t="str">
            <v>Instalación contador C/Virgen del Carmen n35 (Llodio)</v>
          </cell>
          <cell r="I429" t="str">
            <v>Instalación contador C/Virgen del Carmen n35 (Llodio)</v>
          </cell>
          <cell r="J429" t="str">
            <v>Llodio</v>
          </cell>
          <cell r="O429" t="b">
            <v>1</v>
          </cell>
          <cell r="Q429">
            <v>1</v>
          </cell>
          <cell r="R429">
            <v>1</v>
          </cell>
        </row>
        <row r="430">
          <cell r="B430" t="str">
            <v>Distribución</v>
          </cell>
          <cell r="C430">
            <v>1</v>
          </cell>
          <cell r="E430" t="str">
            <v>OT/0339</v>
          </cell>
          <cell r="F430">
            <v>45922</v>
          </cell>
          <cell r="G430">
            <v>45922</v>
          </cell>
          <cell r="H430" t="str">
            <v>Restablecer sector centro norte (Llodio)</v>
          </cell>
          <cell r="I430" t="str">
            <v>Restablecer sector centro norte (Llodio)</v>
          </cell>
          <cell r="J430" t="str">
            <v>Llodio</v>
          </cell>
          <cell r="O430" t="b">
            <v>1</v>
          </cell>
          <cell r="Q430">
            <v>1</v>
          </cell>
          <cell r="R430">
            <v>1</v>
          </cell>
          <cell r="S430">
            <v>3</v>
          </cell>
        </row>
        <row r="431">
          <cell r="B431" t="str">
            <v>Distribución</v>
          </cell>
          <cell r="C431">
            <v>1</v>
          </cell>
          <cell r="E431" t="str">
            <v>OT/0340</v>
          </cell>
          <cell r="F431">
            <v>45922</v>
          </cell>
          <cell r="G431">
            <v>45922</v>
          </cell>
          <cell r="H431" t="str">
            <v>Restablecer sector Bañoleibar (Amurrio)</v>
          </cell>
          <cell r="I431" t="str">
            <v>Restablecer sector Bañoleibar (Amurrio)</v>
          </cell>
          <cell r="J431" t="str">
            <v>Amurrio</v>
          </cell>
          <cell r="M431">
            <v>43.048881999999999</v>
          </cell>
          <cell r="N431">
            <v>-2.9951479999999999</v>
          </cell>
          <cell r="O431" t="b">
            <v>1</v>
          </cell>
          <cell r="Q431">
            <v>1</v>
          </cell>
          <cell r="R431">
            <v>1</v>
          </cell>
          <cell r="S431">
            <v>3</v>
          </cell>
        </row>
        <row r="432">
          <cell r="B432" t="str">
            <v>Distribución</v>
          </cell>
          <cell r="C432">
            <v>2</v>
          </cell>
          <cell r="D432">
            <v>13</v>
          </cell>
          <cell r="E432" t="str">
            <v>TP/0187</v>
          </cell>
          <cell r="F432">
            <v>45923</v>
          </cell>
          <cell r="G432">
            <v>45923</v>
          </cell>
          <cell r="H432" t="str">
            <v>Asistencia a Urbide y Ayto Llodio obra Lamuza</v>
          </cell>
          <cell r="I432" t="str">
            <v>Asistencia a Urbide y Ayto Llodio obra Lamuza</v>
          </cell>
          <cell r="J432" t="str">
            <v>Llodio</v>
          </cell>
          <cell r="O432" t="b">
            <v>1</v>
          </cell>
          <cell r="Q432">
            <v>1</v>
          </cell>
          <cell r="R432">
            <v>1</v>
          </cell>
        </row>
        <row r="433">
          <cell r="B433" t="str">
            <v>Saneamiento</v>
          </cell>
          <cell r="C433">
            <v>2</v>
          </cell>
          <cell r="D433">
            <v>1</v>
          </cell>
          <cell r="E433" t="str">
            <v>TP/0188</v>
          </cell>
          <cell r="F433">
            <v>45924</v>
          </cell>
          <cell r="G433">
            <v>45924</v>
          </cell>
          <cell r="H433" t="str">
            <v>Mantenimiento preventivo saneamiento Alegría</v>
          </cell>
          <cell r="I433" t="str">
            <v>Mantenimiento preventivo saneamiento Alegría</v>
          </cell>
          <cell r="J433" t="str">
            <v>Alegría</v>
          </cell>
          <cell r="O433" t="b">
            <v>1</v>
          </cell>
          <cell r="Q433">
            <v>3</v>
          </cell>
          <cell r="R433">
            <v>21</v>
          </cell>
        </row>
        <row r="434">
          <cell r="B434" t="str">
            <v>Distribución</v>
          </cell>
          <cell r="C434">
            <v>2</v>
          </cell>
          <cell r="D434">
            <v>13</v>
          </cell>
          <cell r="E434" t="str">
            <v>TP/0189</v>
          </cell>
          <cell r="F434">
            <v>45922</v>
          </cell>
          <cell r="G434">
            <v>45922</v>
          </cell>
          <cell r="H434" t="str">
            <v>Asistencia Técnica a Obra de Maroño</v>
          </cell>
          <cell r="I434" t="str">
            <v>Asistencia Técnica a Obra de Maroño</v>
          </cell>
          <cell r="J434" t="str">
            <v>Maroño</v>
          </cell>
          <cell r="O434" t="b">
            <v>1</v>
          </cell>
          <cell r="Q434">
            <v>1</v>
          </cell>
          <cell r="R434">
            <v>1</v>
          </cell>
        </row>
        <row r="435">
          <cell r="B435" t="str">
            <v>Distribución</v>
          </cell>
          <cell r="C435">
            <v>1</v>
          </cell>
          <cell r="E435" t="str">
            <v>OT/0341</v>
          </cell>
          <cell r="F435">
            <v>45924</v>
          </cell>
          <cell r="G435">
            <v>45924</v>
          </cell>
          <cell r="H435" t="str">
            <v>Reparación de fuga en Zuaza</v>
          </cell>
          <cell r="I435" t="str">
            <v>Reparación de fuga en Zuaza</v>
          </cell>
          <cell r="J435" t="str">
            <v>Zuaza</v>
          </cell>
          <cell r="O435" t="b">
            <v>1</v>
          </cell>
          <cell r="Q435">
            <v>1</v>
          </cell>
          <cell r="R435">
            <v>1</v>
          </cell>
          <cell r="S435">
            <v>1</v>
          </cell>
        </row>
        <row r="436">
          <cell r="B436" t="str">
            <v>Saneamiento</v>
          </cell>
          <cell r="C436">
            <v>1</v>
          </cell>
          <cell r="E436" t="str">
            <v>OT/0342</v>
          </cell>
          <cell r="F436">
            <v>45926</v>
          </cell>
          <cell r="G436">
            <v>45926</v>
          </cell>
          <cell r="H436" t="str">
            <v>Desatasco de saneamiento en Luiando</v>
          </cell>
          <cell r="I436" t="str">
            <v>Desatasco de saneamiento en Luiando</v>
          </cell>
          <cell r="J436" t="str">
            <v>Luiando</v>
          </cell>
          <cell r="O436" t="b">
            <v>1</v>
          </cell>
          <cell r="Q436">
            <v>1</v>
          </cell>
          <cell r="R436">
            <v>3</v>
          </cell>
          <cell r="S436">
            <v>2</v>
          </cell>
        </row>
        <row r="437">
          <cell r="B437" t="str">
            <v>Distribución</v>
          </cell>
          <cell r="C437">
            <v>2</v>
          </cell>
          <cell r="D437">
            <v>8</v>
          </cell>
          <cell r="E437" t="str">
            <v>TP/0190</v>
          </cell>
          <cell r="F437">
            <v>45924</v>
          </cell>
          <cell r="G437">
            <v>45924</v>
          </cell>
          <cell r="H437" t="str">
            <v>Instalación contador en Anuncibai (Llodio)</v>
          </cell>
          <cell r="I437" t="str">
            <v>Instalación contador en Anuncibai (Llodio)</v>
          </cell>
          <cell r="J437" t="str">
            <v>Llodio</v>
          </cell>
          <cell r="O437" t="b">
            <v>1</v>
          </cell>
          <cell r="Q437">
            <v>1</v>
          </cell>
          <cell r="R437">
            <v>1</v>
          </cell>
        </row>
        <row r="438">
          <cell r="B438" t="str">
            <v>Distribución</v>
          </cell>
          <cell r="C438">
            <v>2</v>
          </cell>
          <cell r="D438">
            <v>10</v>
          </cell>
          <cell r="E438" t="str">
            <v>TP/0191</v>
          </cell>
          <cell r="F438">
            <v>45924</v>
          </cell>
          <cell r="G438">
            <v>45924</v>
          </cell>
          <cell r="H438" t="str">
            <v>Sustitución de contadores en C/Avenida Gernica n6 (Artziniega)</v>
          </cell>
          <cell r="I438" t="str">
            <v>Sustitución de contadores en C/Avenida Gernica n6 (Artziniega)</v>
          </cell>
          <cell r="J438" t="str">
            <v>Artziniega</v>
          </cell>
          <cell r="O438" t="b">
            <v>1</v>
          </cell>
          <cell r="Q438">
            <v>1</v>
          </cell>
          <cell r="R438">
            <v>1</v>
          </cell>
        </row>
        <row r="439">
          <cell r="B439" t="str">
            <v>Distribución</v>
          </cell>
          <cell r="C439">
            <v>2</v>
          </cell>
          <cell r="D439">
            <v>12</v>
          </cell>
          <cell r="E439" t="str">
            <v>TP/0192</v>
          </cell>
          <cell r="F439">
            <v>45924</v>
          </cell>
          <cell r="G439">
            <v>45924</v>
          </cell>
          <cell r="H439" t="str">
            <v>Corte de agua.Colocación avisos en C/Zabaleko n8 (Amurrio)</v>
          </cell>
          <cell r="I439" t="str">
            <v>Corte de agua.Colocación avisos en C/Zabaleko n8 (Amurrio)</v>
          </cell>
          <cell r="J439" t="str">
            <v>Amurrio</v>
          </cell>
          <cell r="O439" t="b">
            <v>1</v>
          </cell>
          <cell r="Q439">
            <v>1</v>
          </cell>
          <cell r="R439">
            <v>1</v>
          </cell>
        </row>
        <row r="440">
          <cell r="B440" t="str">
            <v>Distribución</v>
          </cell>
          <cell r="C440">
            <v>2</v>
          </cell>
          <cell r="D440">
            <v>8</v>
          </cell>
          <cell r="E440" t="str">
            <v>TP/0193</v>
          </cell>
          <cell r="F440">
            <v>45923</v>
          </cell>
          <cell r="G440">
            <v>45923</v>
          </cell>
          <cell r="H440" t="str">
            <v>Instalación contadores Oteo</v>
          </cell>
          <cell r="I440" t="str">
            <v>Instalación contadores Oteo</v>
          </cell>
          <cell r="J440" t="str">
            <v>Oteo</v>
          </cell>
          <cell r="O440" t="b">
            <v>1</v>
          </cell>
          <cell r="Q440">
            <v>6</v>
          </cell>
          <cell r="R440">
            <v>6</v>
          </cell>
        </row>
        <row r="441">
          <cell r="B441" t="str">
            <v>Distribución</v>
          </cell>
          <cell r="C441">
            <v>2</v>
          </cell>
          <cell r="D441">
            <v>7</v>
          </cell>
          <cell r="E441" t="str">
            <v>TP/0194</v>
          </cell>
          <cell r="F441">
            <v>45923</v>
          </cell>
          <cell r="G441">
            <v>45923</v>
          </cell>
          <cell r="H441" t="str">
            <v>Localización de fugas en Agurain</v>
          </cell>
          <cell r="I441" t="str">
            <v>Localización de fugas en Agurain</v>
          </cell>
          <cell r="J441" t="str">
            <v>Agurain</v>
          </cell>
          <cell r="O441" t="b">
            <v>1</v>
          </cell>
          <cell r="Q441">
            <v>3</v>
          </cell>
          <cell r="R441">
            <v>3</v>
          </cell>
          <cell r="S441">
            <v>1</v>
          </cell>
        </row>
        <row r="442">
          <cell r="B442" t="str">
            <v>Saneamiento</v>
          </cell>
          <cell r="C442">
            <v>1</v>
          </cell>
          <cell r="E442" t="str">
            <v>OT/0343</v>
          </cell>
          <cell r="F442">
            <v>45925</v>
          </cell>
          <cell r="G442">
            <v>45925</v>
          </cell>
          <cell r="H442" t="str">
            <v>Revisión de saneamiento por filtraciones en garajes en Agurain</v>
          </cell>
          <cell r="I442" t="str">
            <v>Revisión de saneamiento por filtraciones en garajes en Agurain</v>
          </cell>
          <cell r="J442" t="str">
            <v>Agurain</v>
          </cell>
          <cell r="O442" t="b">
            <v>1</v>
          </cell>
          <cell r="Q442">
            <v>3</v>
          </cell>
          <cell r="R442">
            <v>26</v>
          </cell>
          <cell r="S442">
            <v>1</v>
          </cell>
        </row>
        <row r="443">
          <cell r="B443" t="str">
            <v>Saneamiento</v>
          </cell>
          <cell r="C443">
            <v>2</v>
          </cell>
          <cell r="D443">
            <v>1</v>
          </cell>
          <cell r="E443" t="str">
            <v>TP/0195</v>
          </cell>
          <cell r="F443">
            <v>45915</v>
          </cell>
          <cell r="G443">
            <v>45918</v>
          </cell>
          <cell r="H443" t="str">
            <v>Localización de redes saneamiento en Agurain</v>
          </cell>
          <cell r="I443" t="str">
            <v>Localización de redes saneamiento en Agurain</v>
          </cell>
          <cell r="J443" t="str">
            <v>Agurain</v>
          </cell>
          <cell r="O443" t="b">
            <v>1</v>
          </cell>
          <cell r="Q443">
            <v>3</v>
          </cell>
          <cell r="R443">
            <v>26</v>
          </cell>
        </row>
        <row r="444">
          <cell r="B444" t="str">
            <v>Saneamiento</v>
          </cell>
          <cell r="C444">
            <v>2</v>
          </cell>
          <cell r="D444">
            <v>1</v>
          </cell>
          <cell r="E444" t="str">
            <v>TP/0196</v>
          </cell>
          <cell r="F444">
            <v>45916</v>
          </cell>
          <cell r="G444">
            <v>45916</v>
          </cell>
          <cell r="H444" t="str">
            <v>Revisión de red saneamiento Ribabellosa</v>
          </cell>
          <cell r="I444" t="str">
            <v>Revisión de red saneamiento Ribabellosa</v>
          </cell>
          <cell r="J444" t="str">
            <v>Ribabellosa</v>
          </cell>
          <cell r="O444" t="b">
            <v>1</v>
          </cell>
          <cell r="Q444">
            <v>5</v>
          </cell>
          <cell r="R444">
            <v>41</v>
          </cell>
        </row>
        <row r="445">
          <cell r="B445" t="str">
            <v>Distribución</v>
          </cell>
          <cell r="C445">
            <v>1</v>
          </cell>
          <cell r="E445" t="str">
            <v>OT/0344</v>
          </cell>
          <cell r="F445">
            <v>45919</v>
          </cell>
          <cell r="G445">
            <v>45922</v>
          </cell>
          <cell r="H445" t="str">
            <v>Reparación de fuga en Murga</v>
          </cell>
          <cell r="I445" t="str">
            <v>Reparación de fuga en Murga</v>
          </cell>
          <cell r="J445" t="str">
            <v>Murga</v>
          </cell>
          <cell r="O445" t="b">
            <v>1</v>
          </cell>
          <cell r="Q445">
            <v>1</v>
          </cell>
          <cell r="R445">
            <v>1</v>
          </cell>
          <cell r="S445">
            <v>1</v>
          </cell>
        </row>
        <row r="446">
          <cell r="B446" t="str">
            <v>Saneamiento</v>
          </cell>
          <cell r="C446">
            <v>1</v>
          </cell>
          <cell r="E446" t="str">
            <v>OT/0345</v>
          </cell>
          <cell r="F446">
            <v>45922</v>
          </cell>
          <cell r="G446">
            <v>45925</v>
          </cell>
          <cell r="H446" t="str">
            <v>Reparación de entrada a la fosa de Antoñana</v>
          </cell>
          <cell r="I446" t="str">
            <v>Reparación de entrada a la fosa de Antoñana</v>
          </cell>
          <cell r="J446" t="str">
            <v>Antoñana</v>
          </cell>
          <cell r="M446">
            <v>42.694142999999997</v>
          </cell>
          <cell r="N446">
            <v>-2.3979650000000001</v>
          </cell>
          <cell r="O446" t="b">
            <v>1</v>
          </cell>
          <cell r="Q446">
            <v>6</v>
          </cell>
          <cell r="R446">
            <v>48</v>
          </cell>
          <cell r="S446">
            <v>3</v>
          </cell>
        </row>
        <row r="447">
          <cell r="B447" t="str">
            <v>Distribución</v>
          </cell>
          <cell r="C447">
            <v>2</v>
          </cell>
          <cell r="D447">
            <v>10</v>
          </cell>
          <cell r="E447" t="str">
            <v>TP/0197</v>
          </cell>
          <cell r="F447">
            <v>45925</v>
          </cell>
          <cell r="G447">
            <v>45925</v>
          </cell>
          <cell r="H447" t="str">
            <v>Sustitución de contador en C/ molino en Berantevilla</v>
          </cell>
          <cell r="I447" t="str">
            <v>Insatalación de contador en Berantevilla</v>
          </cell>
          <cell r="J447" t="str">
            <v>Berantevilla</v>
          </cell>
          <cell r="O447" t="b">
            <v>1</v>
          </cell>
          <cell r="Q447">
            <v>5</v>
          </cell>
          <cell r="R447">
            <v>5</v>
          </cell>
        </row>
        <row r="448">
          <cell r="B448" t="str">
            <v>Distribución</v>
          </cell>
          <cell r="C448">
            <v>1</v>
          </cell>
          <cell r="E448" t="str">
            <v>OT/0346</v>
          </cell>
          <cell r="F448">
            <v>45925</v>
          </cell>
          <cell r="G448">
            <v>45926</v>
          </cell>
          <cell r="H448" t="str">
            <v>Reparación de fuga en Espejo</v>
          </cell>
          <cell r="I448" t="str">
            <v>Reparación de fuga en Espejo</v>
          </cell>
          <cell r="J448" t="str">
            <v>Espejo</v>
          </cell>
          <cell r="O448" t="b">
            <v>1</v>
          </cell>
          <cell r="Q448">
            <v>5</v>
          </cell>
          <cell r="R448">
            <v>5</v>
          </cell>
          <cell r="S448">
            <v>1</v>
          </cell>
        </row>
        <row r="449">
          <cell r="B449" t="str">
            <v>Distribución</v>
          </cell>
          <cell r="C449">
            <v>1</v>
          </cell>
          <cell r="E449" t="str">
            <v>OT/0347</v>
          </cell>
          <cell r="F449">
            <v>45922</v>
          </cell>
          <cell r="G449">
            <v>45925</v>
          </cell>
          <cell r="H449" t="str">
            <v>Reparación de fuga en Erbi</v>
          </cell>
          <cell r="I449" t="str">
            <v>Reparación de fuga en Erbi</v>
          </cell>
          <cell r="J449" t="str">
            <v>Erbi</v>
          </cell>
          <cell r="O449" t="b">
            <v>1</v>
          </cell>
          <cell r="Q449">
            <v>1</v>
          </cell>
          <cell r="R449">
            <v>1</v>
          </cell>
          <cell r="S449">
            <v>1</v>
          </cell>
        </row>
        <row r="450">
          <cell r="B450" t="str">
            <v>Saneamiento</v>
          </cell>
          <cell r="C450">
            <v>2</v>
          </cell>
          <cell r="D450">
            <v>1</v>
          </cell>
          <cell r="E450" t="str">
            <v>TP/0198</v>
          </cell>
          <cell r="F450">
            <v>45925</v>
          </cell>
          <cell r="G450">
            <v>45925</v>
          </cell>
          <cell r="H450" t="str">
            <v>Limpieza de colector de pluviales en Alegría</v>
          </cell>
          <cell r="I450" t="str">
            <v>Limpieza de colector de pluviales en Alegría</v>
          </cell>
          <cell r="J450" t="str">
            <v>Alegría</v>
          </cell>
          <cell r="O450" t="b">
            <v>1</v>
          </cell>
          <cell r="Q450">
            <v>3</v>
          </cell>
          <cell r="R450">
            <v>21</v>
          </cell>
        </row>
        <row r="451">
          <cell r="B451" t="str">
            <v>Distribución</v>
          </cell>
          <cell r="C451">
            <v>2</v>
          </cell>
          <cell r="D451">
            <v>10</v>
          </cell>
          <cell r="E451" t="str">
            <v>TP/0199</v>
          </cell>
          <cell r="F451">
            <v>45925</v>
          </cell>
          <cell r="G451">
            <v>45925</v>
          </cell>
          <cell r="H451" t="str">
            <v>Sustitución de contador en C/Rio Ayuda n47 en Berantevilla</v>
          </cell>
          <cell r="I451" t="str">
            <v>Sustitución de contador en C/Rio Ayuda n47 en Berantevilla</v>
          </cell>
          <cell r="J451" t="str">
            <v>Berantevilla</v>
          </cell>
          <cell r="O451" t="b">
            <v>1</v>
          </cell>
          <cell r="Q451">
            <v>5</v>
          </cell>
          <cell r="R451">
            <v>5</v>
          </cell>
        </row>
        <row r="452">
          <cell r="B452" t="str">
            <v>Distribución</v>
          </cell>
          <cell r="C452">
            <v>2</v>
          </cell>
          <cell r="D452">
            <v>10</v>
          </cell>
          <cell r="E452" t="str">
            <v>TP/0200</v>
          </cell>
          <cell r="F452">
            <v>45925</v>
          </cell>
          <cell r="G452">
            <v>45925</v>
          </cell>
          <cell r="H452" t="str">
            <v>Sustitución de contador en C/La Venta n2 en Ribabellosa</v>
          </cell>
          <cell r="I452" t="str">
            <v>Sustitución de contador en C/La Venta n2 en Ribabellosa</v>
          </cell>
          <cell r="J452" t="str">
            <v>Ribabellosa</v>
          </cell>
          <cell r="O452" t="b">
            <v>1</v>
          </cell>
          <cell r="Q452">
            <v>5</v>
          </cell>
          <cell r="R452">
            <v>5</v>
          </cell>
        </row>
        <row r="453">
          <cell r="B453" t="str">
            <v>Distribución</v>
          </cell>
          <cell r="C453">
            <v>2</v>
          </cell>
          <cell r="D453">
            <v>7</v>
          </cell>
          <cell r="E453" t="str">
            <v>TP/0201</v>
          </cell>
          <cell r="F453">
            <v>45925</v>
          </cell>
          <cell r="G453">
            <v>45925</v>
          </cell>
          <cell r="H453" t="str">
            <v>Localización de fugas en abastecimiento en Agurain</v>
          </cell>
          <cell r="I453" t="str">
            <v>Localización de fugas en abastecimiento en Agurain</v>
          </cell>
          <cell r="J453" t="str">
            <v>Agurain</v>
          </cell>
          <cell r="O453" t="b">
            <v>1</v>
          </cell>
          <cell r="Q453">
            <v>3</v>
          </cell>
          <cell r="R453">
            <v>3</v>
          </cell>
          <cell r="S453">
            <v>1</v>
          </cell>
        </row>
        <row r="454">
          <cell r="B454" t="str">
            <v>Distribución</v>
          </cell>
          <cell r="C454">
            <v>2</v>
          </cell>
          <cell r="D454">
            <v>7</v>
          </cell>
          <cell r="E454" t="str">
            <v>TP/0202</v>
          </cell>
          <cell r="F454">
            <v>45924</v>
          </cell>
          <cell r="G454">
            <v>45924</v>
          </cell>
          <cell r="H454" t="str">
            <v>Localización de fugas en Agurain</v>
          </cell>
          <cell r="I454" t="str">
            <v>Localización de fugas en Agurain</v>
          </cell>
          <cell r="J454" t="str">
            <v>Agurain</v>
          </cell>
          <cell r="O454" t="b">
            <v>1</v>
          </cell>
          <cell r="Q454">
            <v>3</v>
          </cell>
          <cell r="R454">
            <v>3</v>
          </cell>
          <cell r="S454">
            <v>1</v>
          </cell>
        </row>
        <row r="455">
          <cell r="B455" t="str">
            <v>Distribución</v>
          </cell>
          <cell r="C455">
            <v>2</v>
          </cell>
          <cell r="D455">
            <v>7</v>
          </cell>
          <cell r="E455" t="str">
            <v>TP/0203</v>
          </cell>
          <cell r="F455">
            <v>45923</v>
          </cell>
          <cell r="G455">
            <v>45923</v>
          </cell>
          <cell r="H455" t="str">
            <v>Localización de fugas en abastecimiento en Arbígano</v>
          </cell>
          <cell r="I455" t="str">
            <v>Localización de fugas en abastecimiento en Arbígano</v>
          </cell>
          <cell r="J455" t="str">
            <v>Arbígano</v>
          </cell>
          <cell r="O455" t="b">
            <v>1</v>
          </cell>
          <cell r="Q455">
            <v>5</v>
          </cell>
          <cell r="R455">
            <v>5</v>
          </cell>
          <cell r="S455">
            <v>1</v>
          </cell>
        </row>
        <row r="456">
          <cell r="B456" t="str">
            <v>Saneamiento</v>
          </cell>
          <cell r="C456">
            <v>2</v>
          </cell>
          <cell r="D456">
            <v>3</v>
          </cell>
          <cell r="E456" t="str">
            <v>TP/0204</v>
          </cell>
          <cell r="F456">
            <v>45922</v>
          </cell>
          <cell r="G456">
            <v>45922</v>
          </cell>
          <cell r="H456" t="str">
            <v>Aporte de pluviales al saneamiento en Onsoño</v>
          </cell>
          <cell r="I456" t="str">
            <v>Aporte de pluviales al saneamiento en Onsoño</v>
          </cell>
          <cell r="J456" t="str">
            <v>Onsoño</v>
          </cell>
          <cell r="O456" t="b">
            <v>1</v>
          </cell>
          <cell r="Q456">
            <v>1</v>
          </cell>
          <cell r="R456">
            <v>1</v>
          </cell>
        </row>
        <row r="457">
          <cell r="B457" t="str">
            <v>Distribución</v>
          </cell>
          <cell r="C457">
            <v>2</v>
          </cell>
          <cell r="D457">
            <v>7</v>
          </cell>
          <cell r="E457" t="str">
            <v>TP/0205</v>
          </cell>
          <cell r="F457">
            <v>45922</v>
          </cell>
          <cell r="G457">
            <v>45922</v>
          </cell>
          <cell r="H457" t="str">
            <v>Fuga en ramal Campijo-Santa Coloma</v>
          </cell>
          <cell r="I457" t="str">
            <v>Fuga en ramal Campijo-Santa Coloma</v>
          </cell>
          <cell r="J457" t="str">
            <v>Santa Coloma</v>
          </cell>
          <cell r="O457" t="b">
            <v>1</v>
          </cell>
          <cell r="Q457">
            <v>1</v>
          </cell>
          <cell r="R457">
            <v>1</v>
          </cell>
          <cell r="S457">
            <v>1</v>
          </cell>
        </row>
        <row r="458">
          <cell r="B458" t="str">
            <v>Distribución</v>
          </cell>
          <cell r="C458">
            <v>2</v>
          </cell>
          <cell r="D458">
            <v>7</v>
          </cell>
          <cell r="E458" t="str">
            <v>TP/0206</v>
          </cell>
          <cell r="F458">
            <v>45922</v>
          </cell>
          <cell r="G458">
            <v>45922</v>
          </cell>
          <cell r="H458" t="str">
            <v>Humedades santuario de la Encina</v>
          </cell>
          <cell r="I458" t="str">
            <v>Humedades santuario de La Encina</v>
          </cell>
          <cell r="J458" t="str">
            <v>La Encina</v>
          </cell>
          <cell r="O458" t="b">
            <v>1</v>
          </cell>
          <cell r="Q458">
            <v>1</v>
          </cell>
          <cell r="R458">
            <v>1</v>
          </cell>
        </row>
        <row r="459">
          <cell r="B459" t="str">
            <v>Distribución</v>
          </cell>
          <cell r="C459">
            <v>2</v>
          </cell>
          <cell r="D459">
            <v>7</v>
          </cell>
          <cell r="E459" t="str">
            <v>TP/0207</v>
          </cell>
          <cell r="F459">
            <v>45919</v>
          </cell>
          <cell r="G459">
            <v>45919</v>
          </cell>
          <cell r="H459" t="str">
            <v>Localización de fugas C/Zerralde n3 en Respaldiza</v>
          </cell>
          <cell r="I459" t="str">
            <v>Localización de fugas C/Zerralde n3 en Respaldiza</v>
          </cell>
          <cell r="J459" t="str">
            <v>Respaldiza</v>
          </cell>
          <cell r="O459" t="b">
            <v>1</v>
          </cell>
          <cell r="Q459">
            <v>1</v>
          </cell>
          <cell r="R459">
            <v>1</v>
          </cell>
          <cell r="S459">
            <v>1</v>
          </cell>
        </row>
        <row r="460">
          <cell r="B460" t="str">
            <v>Aducción</v>
          </cell>
          <cell r="C460">
            <v>2</v>
          </cell>
          <cell r="D460">
            <v>7</v>
          </cell>
          <cell r="E460" t="str">
            <v>TP/0208</v>
          </cell>
          <cell r="F460">
            <v>45918</v>
          </cell>
          <cell r="G460">
            <v>45918</v>
          </cell>
          <cell r="H460" t="str">
            <v>Revisión en busca de fugas en la red de aducción en Atziniega</v>
          </cell>
          <cell r="I460" t="str">
            <v>Revisión en busca de fugas en la red de aducción en Atziniega</v>
          </cell>
          <cell r="J460" t="str">
            <v>Artziniega</v>
          </cell>
          <cell r="O460" t="b">
            <v>1</v>
          </cell>
          <cell r="Q460">
            <v>1</v>
          </cell>
          <cell r="R460">
            <v>1</v>
          </cell>
          <cell r="S460">
            <v>1</v>
          </cell>
        </row>
        <row r="461">
          <cell r="B461" t="str">
            <v>Distribución</v>
          </cell>
          <cell r="C461">
            <v>2</v>
          </cell>
          <cell r="D461">
            <v>7</v>
          </cell>
          <cell r="E461" t="str">
            <v>TP/0209</v>
          </cell>
          <cell r="F461">
            <v>45916</v>
          </cell>
          <cell r="G461">
            <v>45916</v>
          </cell>
          <cell r="H461" t="str">
            <v>Localización de fugas en Luiando debido a consumo elevado</v>
          </cell>
          <cell r="I461" t="str">
            <v>Localización de fugas en Luiando debido a consumo elevado</v>
          </cell>
          <cell r="J461" t="str">
            <v>Luiando</v>
          </cell>
          <cell r="O461" t="b">
            <v>1</v>
          </cell>
          <cell r="Q461">
            <v>1</v>
          </cell>
          <cell r="R461">
            <v>1</v>
          </cell>
          <cell r="S461">
            <v>1</v>
          </cell>
        </row>
        <row r="462">
          <cell r="B462" t="str">
            <v>Saneamiento</v>
          </cell>
          <cell r="C462">
            <v>2</v>
          </cell>
          <cell r="D462">
            <v>1</v>
          </cell>
          <cell r="E462" t="str">
            <v>TP/0210</v>
          </cell>
          <cell r="F462">
            <v>45915</v>
          </cell>
          <cell r="G462">
            <v>45915</v>
          </cell>
          <cell r="H462" t="str">
            <v>Atasco en C/Venta el Bullon en Ribabellosa</v>
          </cell>
          <cell r="I462" t="str">
            <v>Atasco en C/Venta el Bullon en Ribabellosa</v>
          </cell>
          <cell r="J462" t="str">
            <v>Ribabellosa</v>
          </cell>
          <cell r="O462" t="b">
            <v>1</v>
          </cell>
          <cell r="Q462">
            <v>5</v>
          </cell>
          <cell r="R462">
            <v>41</v>
          </cell>
          <cell r="S462">
            <v>2</v>
          </cell>
        </row>
        <row r="463">
          <cell r="B463" t="str">
            <v>Distribución</v>
          </cell>
          <cell r="C463">
            <v>2</v>
          </cell>
          <cell r="D463">
            <v>7</v>
          </cell>
          <cell r="E463" t="str">
            <v>TP/0211</v>
          </cell>
          <cell r="F463">
            <v>45915</v>
          </cell>
          <cell r="G463">
            <v>45915</v>
          </cell>
          <cell r="H463" t="str">
            <v>Localización de fugas en Elosu</v>
          </cell>
          <cell r="I463" t="str">
            <v>Localización de fugas en Elosu</v>
          </cell>
          <cell r="J463" t="str">
            <v>Elosu</v>
          </cell>
          <cell r="O463" t="b">
            <v>1</v>
          </cell>
          <cell r="Q463">
            <v>4</v>
          </cell>
          <cell r="R463">
            <v>4</v>
          </cell>
          <cell r="S463">
            <v>1</v>
          </cell>
        </row>
        <row r="464">
          <cell r="B464" t="str">
            <v>Saneamiento</v>
          </cell>
          <cell r="C464">
            <v>2</v>
          </cell>
          <cell r="D464">
            <v>1</v>
          </cell>
          <cell r="E464" t="str">
            <v>TP/0212</v>
          </cell>
          <cell r="F464">
            <v>45912</v>
          </cell>
          <cell r="G464">
            <v>45912</v>
          </cell>
          <cell r="H464" t="str">
            <v>Revisión de zonas del saneamiento de Agurain</v>
          </cell>
          <cell r="I464" t="str">
            <v>Revisión de zonas del saneamiento de Agurain</v>
          </cell>
          <cell r="J464" t="str">
            <v>Agurain</v>
          </cell>
          <cell r="O464" t="b">
            <v>1</v>
          </cell>
          <cell r="Q464">
            <v>3</v>
          </cell>
          <cell r="R464">
            <v>26</v>
          </cell>
        </row>
        <row r="465">
          <cell r="B465" t="str">
            <v>Distribución</v>
          </cell>
          <cell r="C465">
            <v>2</v>
          </cell>
          <cell r="D465">
            <v>7</v>
          </cell>
          <cell r="E465" t="str">
            <v>TP/0213</v>
          </cell>
          <cell r="F465">
            <v>45912</v>
          </cell>
          <cell r="G465">
            <v>45912</v>
          </cell>
          <cell r="H465" t="str">
            <v>Localización de fugas en Luiaondo</v>
          </cell>
          <cell r="I465" t="str">
            <v>Localización fugas en Luiaondo por consumo elevado</v>
          </cell>
          <cell r="J465" t="str">
            <v>Luiando</v>
          </cell>
          <cell r="O465" t="b">
            <v>1</v>
          </cell>
          <cell r="Q465">
            <v>1</v>
          </cell>
          <cell r="R465">
            <v>1</v>
          </cell>
          <cell r="S465">
            <v>1</v>
          </cell>
        </row>
        <row r="466">
          <cell r="B466" t="str">
            <v>Distribución</v>
          </cell>
          <cell r="C466">
            <v>2</v>
          </cell>
          <cell r="D466">
            <v>7</v>
          </cell>
          <cell r="E466" t="str">
            <v>TP/0214</v>
          </cell>
          <cell r="F466">
            <v>45911</v>
          </cell>
          <cell r="G466">
            <v>45911</v>
          </cell>
          <cell r="H466" t="str">
            <v>Localización fuga en Berantevilla</v>
          </cell>
          <cell r="I466" t="str">
            <v>Localización fuga en Berantevilla</v>
          </cell>
          <cell r="J466" t="str">
            <v>Berantevilla</v>
          </cell>
          <cell r="O466" t="b">
            <v>1</v>
          </cell>
          <cell r="Q466">
            <v>5</v>
          </cell>
          <cell r="R466">
            <v>5</v>
          </cell>
          <cell r="S466">
            <v>1</v>
          </cell>
        </row>
        <row r="467">
          <cell r="B467" t="str">
            <v>Saneamiento</v>
          </cell>
          <cell r="C467">
            <v>2</v>
          </cell>
          <cell r="D467">
            <v>21</v>
          </cell>
          <cell r="E467" t="str">
            <v>TP/0215</v>
          </cell>
          <cell r="F467">
            <v>45911</v>
          </cell>
          <cell r="G467">
            <v>45911</v>
          </cell>
          <cell r="H467" t="str">
            <v>Ejecución de informes de Fosas Septicas (OFICINA)</v>
          </cell>
          <cell r="I467" t="str">
            <v>Ejecución de informes de Fosas Septicas (OFICINA)</v>
          </cell>
          <cell r="J467" t="str">
            <v>Amurrio</v>
          </cell>
          <cell r="O467" t="b">
            <v>1</v>
          </cell>
          <cell r="Q467">
            <v>1</v>
          </cell>
          <cell r="R467">
            <v>1</v>
          </cell>
        </row>
        <row r="468">
          <cell r="B468" t="str">
            <v>Otros</v>
          </cell>
          <cell r="C468">
            <v>3</v>
          </cell>
          <cell r="E468" t="str">
            <v>GF/0003</v>
          </cell>
          <cell r="F468">
            <v>45901</v>
          </cell>
          <cell r="G468">
            <v>45930</v>
          </cell>
          <cell r="H468" t="str">
            <v>Gastos fijos de explotación totales</v>
          </cell>
          <cell r="I468" t="str">
            <v>Gastos fijos de explotación totales</v>
          </cell>
          <cell r="O468" t="b">
            <v>1</v>
          </cell>
          <cell r="Q468">
            <v>10</v>
          </cell>
          <cell r="R468">
            <v>10</v>
          </cell>
        </row>
        <row r="469">
          <cell r="B469" t="str">
            <v>Otros</v>
          </cell>
          <cell r="C469">
            <v>3</v>
          </cell>
          <cell r="E469" t="str">
            <v>GF/0004</v>
          </cell>
          <cell r="F469">
            <v>45901</v>
          </cell>
          <cell r="G469">
            <v>45930</v>
          </cell>
          <cell r="H469" t="str">
            <v>Gestión documental del contrato</v>
          </cell>
          <cell r="I469" t="str">
            <v>Gestión documental del contrato</v>
          </cell>
          <cell r="O469" t="b">
            <v>1</v>
          </cell>
          <cell r="P469" t="str">
            <v>ELENA</v>
          </cell>
          <cell r="Q469">
            <v>10</v>
          </cell>
          <cell r="R469">
            <v>10</v>
          </cell>
        </row>
        <row r="470">
          <cell r="B470" t="str">
            <v>Saneamiento</v>
          </cell>
          <cell r="C470">
            <v>2</v>
          </cell>
          <cell r="D470">
            <v>5</v>
          </cell>
          <cell r="E470" t="str">
            <v>TP/0216</v>
          </cell>
          <cell r="F470">
            <v>45901</v>
          </cell>
          <cell r="G470">
            <v>45930</v>
          </cell>
          <cell r="H470" t="str">
            <v>Digitalización de redes abastecimiento y saneamiento</v>
          </cell>
          <cell r="I470" t="str">
            <v>Ribabellosa, Agurain,Maeztu</v>
          </cell>
          <cell r="J470" t="str">
            <v>Amurrio</v>
          </cell>
          <cell r="O470" t="b">
            <v>1</v>
          </cell>
          <cell r="P470" t="str">
            <v>JORGE</v>
          </cell>
          <cell r="Q470">
            <v>1</v>
          </cell>
          <cell r="R470">
            <v>1</v>
          </cell>
        </row>
        <row r="471">
          <cell r="B471" t="str">
            <v>Distribución</v>
          </cell>
          <cell r="C471">
            <v>2</v>
          </cell>
          <cell r="D471">
            <v>8</v>
          </cell>
          <cell r="E471" t="str">
            <v>TP/0217</v>
          </cell>
          <cell r="F471">
            <v>45926</v>
          </cell>
          <cell r="G471">
            <v>45926</v>
          </cell>
          <cell r="H471" t="str">
            <v>Instalación de contador en Artziniega C/Jauregia n6</v>
          </cell>
          <cell r="I471" t="str">
            <v>Instalación de contador en Artziniega C/Jauregia n6</v>
          </cell>
          <cell r="J471" t="str">
            <v>Artziniega</v>
          </cell>
          <cell r="O471" t="b">
            <v>1</v>
          </cell>
          <cell r="P471" t="str">
            <v>KERMAN</v>
          </cell>
          <cell r="Q471">
            <v>1</v>
          </cell>
          <cell r="R471">
            <v>1</v>
          </cell>
        </row>
        <row r="472">
          <cell r="B472" t="str">
            <v>Distribución</v>
          </cell>
          <cell r="C472">
            <v>2</v>
          </cell>
          <cell r="D472">
            <v>8</v>
          </cell>
          <cell r="E472" t="str">
            <v>TP/0218</v>
          </cell>
          <cell r="F472">
            <v>45926</v>
          </cell>
          <cell r="G472">
            <v>45926</v>
          </cell>
          <cell r="H472" t="str">
            <v>Instalación de contador en Artziniega C/Ureta n1</v>
          </cell>
          <cell r="I472" t="str">
            <v>Instalación de contador en Artziniega C/Ureta n1</v>
          </cell>
          <cell r="J472" t="str">
            <v>Artziniega</v>
          </cell>
          <cell r="O472" t="b">
            <v>1</v>
          </cell>
          <cell r="P472" t="str">
            <v>KERMAN</v>
          </cell>
          <cell r="Q472">
            <v>1</v>
          </cell>
          <cell r="R472">
            <v>1</v>
          </cell>
        </row>
        <row r="473">
          <cell r="B473" t="str">
            <v>Distribución</v>
          </cell>
          <cell r="C473">
            <v>1</v>
          </cell>
          <cell r="E473" t="str">
            <v>OT/0349</v>
          </cell>
          <cell r="F473">
            <v>45926</v>
          </cell>
          <cell r="G473">
            <v>45926</v>
          </cell>
          <cell r="H473" t="str">
            <v>Asfaltado en cata Facsa en Gazeta</v>
          </cell>
          <cell r="I473" t="str">
            <v>Asfaltado en cata Facsa en Gazeta</v>
          </cell>
          <cell r="J473" t="str">
            <v>Gazeta</v>
          </cell>
          <cell r="O473" t="b">
            <v>1</v>
          </cell>
          <cell r="P473" t="str">
            <v>MIGUEL y ZOUITA</v>
          </cell>
          <cell r="Q473">
            <v>3</v>
          </cell>
          <cell r="R473">
            <v>3</v>
          </cell>
          <cell r="S473">
            <v>3</v>
          </cell>
        </row>
        <row r="474">
          <cell r="B474" t="str">
            <v>Distribución</v>
          </cell>
          <cell r="C474">
            <v>1</v>
          </cell>
          <cell r="E474" t="str">
            <v>OT/0350</v>
          </cell>
          <cell r="F474">
            <v>45926</v>
          </cell>
          <cell r="G474">
            <v>45926</v>
          </cell>
          <cell r="H474" t="str">
            <v>Reparación de fuga en C/Aldai n38</v>
          </cell>
          <cell r="I474" t="str">
            <v>Reparación de fuga en Aldai</v>
          </cell>
          <cell r="J474" t="str">
            <v>Amurrio</v>
          </cell>
          <cell r="O474" t="b">
            <v>1</v>
          </cell>
          <cell r="P474" t="str">
            <v>KERMAN</v>
          </cell>
          <cell r="Q474">
            <v>1</v>
          </cell>
          <cell r="R474">
            <v>1</v>
          </cell>
          <cell r="S474">
            <v>1</v>
          </cell>
        </row>
        <row r="475">
          <cell r="B475" t="str">
            <v>Saneamiento</v>
          </cell>
          <cell r="C475">
            <v>1</v>
          </cell>
          <cell r="E475" t="str">
            <v>OT/0351</v>
          </cell>
          <cell r="F475">
            <v>45923</v>
          </cell>
          <cell r="G475">
            <v>45923</v>
          </cell>
          <cell r="H475" t="str">
            <v>Atasco de saneamiento en Larrabe</v>
          </cell>
          <cell r="I475" t="str">
            <v>Atasco de saneamiento en Larrabe</v>
          </cell>
          <cell r="J475" t="str">
            <v>Amurrio</v>
          </cell>
          <cell r="O475" t="b">
            <v>1</v>
          </cell>
          <cell r="P475" t="str">
            <v>KERMAN y EMILIO</v>
          </cell>
          <cell r="Q475">
            <v>1</v>
          </cell>
          <cell r="R475">
            <v>1</v>
          </cell>
          <cell r="S475">
            <v>2</v>
          </cell>
        </row>
        <row r="476">
          <cell r="B476" t="str">
            <v>Distribución</v>
          </cell>
          <cell r="C476">
            <v>1</v>
          </cell>
          <cell r="E476" t="str">
            <v>OT/0352</v>
          </cell>
          <cell r="F476">
            <v>45925</v>
          </cell>
          <cell r="G476">
            <v>45926</v>
          </cell>
          <cell r="H476" t="str">
            <v>Reparación fuga Erbi</v>
          </cell>
          <cell r="I476" t="str">
            <v>Reparación fuga Erbi</v>
          </cell>
          <cell r="J476" t="str">
            <v>Erbi</v>
          </cell>
          <cell r="O476" t="b">
            <v>1</v>
          </cell>
          <cell r="P476" t="str">
            <v>KERMAN y EMILIO</v>
          </cell>
          <cell r="Q476">
            <v>1</v>
          </cell>
          <cell r="R476">
            <v>1</v>
          </cell>
          <cell r="S476">
            <v>1</v>
          </cell>
        </row>
        <row r="477">
          <cell r="B477" t="str">
            <v>Saneamiento</v>
          </cell>
          <cell r="C477">
            <v>1</v>
          </cell>
          <cell r="E477" t="str">
            <v>OT/0353</v>
          </cell>
          <cell r="F477">
            <v>45926</v>
          </cell>
          <cell r="G477">
            <v>45926</v>
          </cell>
          <cell r="H477" t="str">
            <v>Atasco en Delika</v>
          </cell>
          <cell r="I477" t="str">
            <v>Atasco en Delika</v>
          </cell>
          <cell r="J477" t="str">
            <v>Delika</v>
          </cell>
          <cell r="O477" t="b">
            <v>1</v>
          </cell>
          <cell r="P477" t="str">
            <v>MIGUEL</v>
          </cell>
          <cell r="Q477">
            <v>1</v>
          </cell>
          <cell r="R477">
            <v>1</v>
          </cell>
          <cell r="S477">
            <v>2</v>
          </cell>
        </row>
        <row r="478">
          <cell r="B478" t="str">
            <v>Aducción</v>
          </cell>
          <cell r="C478">
            <v>2</v>
          </cell>
          <cell r="D478">
            <v>2</v>
          </cell>
          <cell r="E478" t="str">
            <v>TP/0219</v>
          </cell>
          <cell r="F478">
            <v>45926</v>
          </cell>
          <cell r="G478">
            <v>45926</v>
          </cell>
          <cell r="H478" t="str">
            <v>Limpieza Captaciones</v>
          </cell>
          <cell r="I478" t="str">
            <v>Limpieza Captaciones</v>
          </cell>
          <cell r="J478" t="str">
            <v>Aiaraldea</v>
          </cell>
          <cell r="O478" t="b">
            <v>1</v>
          </cell>
          <cell r="Q478">
            <v>1</v>
          </cell>
          <cell r="R478">
            <v>1</v>
          </cell>
        </row>
        <row r="479">
          <cell r="B479" t="str">
            <v>Distribución</v>
          </cell>
          <cell r="C479">
            <v>1</v>
          </cell>
          <cell r="E479" t="str">
            <v>OT/0354</v>
          </cell>
          <cell r="F479">
            <v>45926</v>
          </cell>
          <cell r="G479">
            <v>45926</v>
          </cell>
          <cell r="H479" t="str">
            <v>Reparación de fuga en Llanteno</v>
          </cell>
          <cell r="I479" t="str">
            <v>Reparación de fuga en Llanteno</v>
          </cell>
          <cell r="J479" t="str">
            <v>Llanteno</v>
          </cell>
          <cell r="O479" t="b">
            <v>1</v>
          </cell>
          <cell r="Q479">
            <v>1</v>
          </cell>
          <cell r="R479">
            <v>1</v>
          </cell>
          <cell r="S479">
            <v>1</v>
          </cell>
        </row>
        <row r="480">
          <cell r="B480" t="str">
            <v>Saneamiento</v>
          </cell>
          <cell r="C480">
            <v>1</v>
          </cell>
          <cell r="E480" t="str">
            <v>OT/0355</v>
          </cell>
          <cell r="F480">
            <v>45927</v>
          </cell>
          <cell r="G480">
            <v>45927</v>
          </cell>
          <cell r="H480" t="str">
            <v>Desatasco en Ribabellosa en C/Manuel de Etxanobe</v>
          </cell>
          <cell r="I480" t="str">
            <v>Desatasco en Ribabellosa en C/Manuel de Etxanobe</v>
          </cell>
          <cell r="J480" t="str">
            <v>Ribabellosa</v>
          </cell>
          <cell r="O480" t="b">
            <v>1</v>
          </cell>
          <cell r="Q480">
            <v>5</v>
          </cell>
          <cell r="R480">
            <v>41</v>
          </cell>
          <cell r="S480">
            <v>2</v>
          </cell>
        </row>
        <row r="481">
          <cell r="B481" t="str">
            <v>Distribución</v>
          </cell>
          <cell r="C481">
            <v>1</v>
          </cell>
          <cell r="E481" t="str">
            <v>OT/0356</v>
          </cell>
          <cell r="F481">
            <v>45927</v>
          </cell>
          <cell r="G481">
            <v>45927</v>
          </cell>
          <cell r="H481" t="str">
            <v>Abonado sin agua ( Las Vegas )</v>
          </cell>
          <cell r="I481" t="str">
            <v>Suciedad en contador</v>
          </cell>
          <cell r="J481" t="str">
            <v>Luiando</v>
          </cell>
          <cell r="O481" t="b">
            <v>1</v>
          </cell>
          <cell r="Q481">
            <v>1</v>
          </cell>
          <cell r="R481">
            <v>1</v>
          </cell>
          <cell r="S481">
            <v>2</v>
          </cell>
        </row>
        <row r="482">
          <cell r="B482" t="str">
            <v>Distribución</v>
          </cell>
          <cell r="C482">
            <v>1</v>
          </cell>
          <cell r="E482" t="str">
            <v>OT/0357</v>
          </cell>
          <cell r="F482">
            <v>45927</v>
          </cell>
          <cell r="G482">
            <v>45927</v>
          </cell>
          <cell r="H482" t="str">
            <v>Aviso de fuga en C/Calle Arriba</v>
          </cell>
          <cell r="I482" t="str">
            <v>Aviso de fuga en C/Calle Arriba</v>
          </cell>
          <cell r="J482" t="str">
            <v>Artziniega</v>
          </cell>
          <cell r="M482">
            <v>43.120756</v>
          </cell>
          <cell r="N482">
            <v>-3.1285229999999999</v>
          </cell>
          <cell r="O482" t="b">
            <v>1</v>
          </cell>
          <cell r="Q482">
            <v>1</v>
          </cell>
          <cell r="R482">
            <v>1</v>
          </cell>
          <cell r="S482">
            <v>1</v>
          </cell>
        </row>
        <row r="483">
          <cell r="B483" t="str">
            <v>Saneamiento</v>
          </cell>
          <cell r="C483">
            <v>1</v>
          </cell>
          <cell r="E483" t="str">
            <v>OT/0358</v>
          </cell>
          <cell r="F483">
            <v>45927</v>
          </cell>
          <cell r="G483">
            <v>45927</v>
          </cell>
          <cell r="H483" t="str">
            <v>Atasco saneamiento Pobes</v>
          </cell>
          <cell r="I483" t="str">
            <v>Atasco saneamiento Pobes</v>
          </cell>
          <cell r="J483" t="str">
            <v>Pobes</v>
          </cell>
          <cell r="M483">
            <v>42.800682000000002</v>
          </cell>
          <cell r="N483">
            <v>-2.9109259999999999</v>
          </cell>
          <cell r="O483" t="b">
            <v>1</v>
          </cell>
          <cell r="Q483">
            <v>5</v>
          </cell>
          <cell r="R483">
            <v>41</v>
          </cell>
          <cell r="S483">
            <v>2</v>
          </cell>
        </row>
        <row r="484">
          <cell r="B484" t="str">
            <v>Distribución</v>
          </cell>
          <cell r="C484">
            <v>1</v>
          </cell>
          <cell r="E484" t="str">
            <v>OT/0359</v>
          </cell>
          <cell r="F484">
            <v>45927</v>
          </cell>
          <cell r="G484">
            <v>45927</v>
          </cell>
          <cell r="H484" t="str">
            <v>Corte de agua en C/Ruperto Urquijo n14 (URGENCIA)</v>
          </cell>
          <cell r="I484" t="str">
            <v>Corte de agua en C/Ruperto Urquijo n14 (URGENCIA)</v>
          </cell>
          <cell r="J484" t="str">
            <v>Llodio</v>
          </cell>
          <cell r="M484">
            <v>43.146209300000002</v>
          </cell>
          <cell r="N484">
            <v>-2.9628999999999999</v>
          </cell>
          <cell r="O484" t="b">
            <v>1</v>
          </cell>
          <cell r="Q484">
            <v>1</v>
          </cell>
          <cell r="R484">
            <v>1</v>
          </cell>
          <cell r="S484">
            <v>3</v>
          </cell>
        </row>
        <row r="485">
          <cell r="B485" t="str">
            <v>Distribución</v>
          </cell>
          <cell r="C485">
            <v>1</v>
          </cell>
          <cell r="E485" t="str">
            <v>OT/0360</v>
          </cell>
          <cell r="F485">
            <v>45928</v>
          </cell>
          <cell r="G485">
            <v>45928</v>
          </cell>
          <cell r="H485" t="str">
            <v>Aviso de fuga en Barrataguren Artziniega</v>
          </cell>
          <cell r="I485" t="str">
            <v>Aviso de fuga en Barrataguren Artziniega</v>
          </cell>
          <cell r="J485" t="str">
            <v>Artziniega</v>
          </cell>
          <cell r="M485">
            <v>43.139591000000003</v>
          </cell>
          <cell r="N485">
            <v>-3.1092490000000002</v>
          </cell>
          <cell r="O485" t="b">
            <v>1</v>
          </cell>
          <cell r="Q485">
            <v>1</v>
          </cell>
          <cell r="R485">
            <v>1</v>
          </cell>
          <cell r="S485">
            <v>1</v>
          </cell>
        </row>
        <row r="486">
          <cell r="B486" t="str">
            <v>Distribución</v>
          </cell>
          <cell r="C486">
            <v>2</v>
          </cell>
          <cell r="D486">
            <v>7</v>
          </cell>
          <cell r="E486" t="str">
            <v>TP/0220</v>
          </cell>
          <cell r="F486">
            <v>45926</v>
          </cell>
          <cell r="G486">
            <v>45926</v>
          </cell>
          <cell r="H486" t="str">
            <v>Localización de fugas en Isasi (Llodio)</v>
          </cell>
          <cell r="I486" t="str">
            <v>Localización de fugas en Isasi (Llodio)</v>
          </cell>
          <cell r="J486" t="str">
            <v>Llodio</v>
          </cell>
          <cell r="O486" t="b">
            <v>1</v>
          </cell>
          <cell r="P486" t="str">
            <v>ENEKO</v>
          </cell>
          <cell r="Q486">
            <v>1</v>
          </cell>
          <cell r="R486">
            <v>1</v>
          </cell>
          <cell r="S486">
            <v>1</v>
          </cell>
        </row>
        <row r="487">
          <cell r="B487" t="str">
            <v>Distribución</v>
          </cell>
          <cell r="C487">
            <v>1</v>
          </cell>
          <cell r="E487" t="str">
            <v>OT/0361</v>
          </cell>
          <cell r="F487">
            <v>45929</v>
          </cell>
          <cell r="G487">
            <v>45929</v>
          </cell>
          <cell r="H487" t="str">
            <v>Reparación de fuga en Barrataguren y Clariant (Artziniega)</v>
          </cell>
          <cell r="I487" t="str">
            <v>Reparación de fuga en Barrataguren y Clariant (Artziniega)</v>
          </cell>
          <cell r="J487" t="str">
            <v>Artziniega</v>
          </cell>
          <cell r="M487">
            <v>43.139591000000003</v>
          </cell>
          <cell r="N487">
            <v>-3.1092490000000002</v>
          </cell>
          <cell r="O487" t="b">
            <v>1</v>
          </cell>
          <cell r="P487" t="str">
            <v>MIGUEL</v>
          </cell>
          <cell r="Q487">
            <v>1</v>
          </cell>
          <cell r="R487">
            <v>1</v>
          </cell>
          <cell r="S487">
            <v>1</v>
          </cell>
        </row>
        <row r="488">
          <cell r="B488" t="str">
            <v>Saneamiento</v>
          </cell>
          <cell r="C488">
            <v>2</v>
          </cell>
          <cell r="D488">
            <v>1</v>
          </cell>
          <cell r="E488" t="str">
            <v>TP/0221</v>
          </cell>
          <cell r="F488">
            <v>45929</v>
          </cell>
          <cell r="G488">
            <v>45929</v>
          </cell>
          <cell r="H488" t="str">
            <v>Limpieza preventiva en saneamiento en Alegría</v>
          </cell>
          <cell r="I488" t="str">
            <v>Limpieza preventiva en saneamiento en Alegría</v>
          </cell>
          <cell r="J488" t="str">
            <v>Alegría</v>
          </cell>
          <cell r="O488" t="b">
            <v>1</v>
          </cell>
          <cell r="P488" t="str">
            <v>EMILIO Y MIGUEL</v>
          </cell>
          <cell r="Q488">
            <v>3</v>
          </cell>
          <cell r="R488">
            <v>21</v>
          </cell>
        </row>
        <row r="489">
          <cell r="B489" t="str">
            <v>Distribución</v>
          </cell>
          <cell r="C489">
            <v>1</v>
          </cell>
          <cell r="E489" t="str">
            <v>OT/0362</v>
          </cell>
          <cell r="F489">
            <v>45926</v>
          </cell>
          <cell r="G489">
            <v>45926</v>
          </cell>
          <cell r="H489" t="str">
            <v>Comprobación de válvulas de acometida en C/Ruperto Urquijo n14 (Llodio)</v>
          </cell>
          <cell r="I489" t="str">
            <v>Comprobación de válvulas de acometida en C/Ruperto Urquijo n14 (Llodio)</v>
          </cell>
          <cell r="J489" t="str">
            <v>Llodio</v>
          </cell>
          <cell r="M489">
            <v>43.152410000000003</v>
          </cell>
          <cell r="N489">
            <v>-2.973001</v>
          </cell>
          <cell r="O489" t="b">
            <v>1</v>
          </cell>
          <cell r="P489" t="str">
            <v>TOMAS</v>
          </cell>
          <cell r="Q489">
            <v>1</v>
          </cell>
          <cell r="R489">
            <v>1</v>
          </cell>
          <cell r="S489">
            <v>3</v>
          </cell>
        </row>
        <row r="490">
          <cell r="B490" t="str">
            <v>Distribución</v>
          </cell>
          <cell r="C490">
            <v>1</v>
          </cell>
          <cell r="E490" t="str">
            <v>OT/0363</v>
          </cell>
          <cell r="F490">
            <v>45928</v>
          </cell>
          <cell r="G490">
            <v>45928</v>
          </cell>
          <cell r="H490" t="str">
            <v>Cerramos acometida  C/Ruperto Urquijo n14 (Llodio)</v>
          </cell>
          <cell r="I490" t="str">
            <v>Cerramos acometida a petición de los vecinos C/Ruperto Urquijo n14 (Llodio)</v>
          </cell>
          <cell r="J490" t="str">
            <v>Llodio</v>
          </cell>
          <cell r="M490">
            <v>43.146209300000002</v>
          </cell>
          <cell r="N490">
            <v>-2.9633720000000001</v>
          </cell>
          <cell r="O490" t="b">
            <v>1</v>
          </cell>
          <cell r="P490" t="str">
            <v>TOMAS</v>
          </cell>
          <cell r="Q490">
            <v>1</v>
          </cell>
          <cell r="R490">
            <v>1</v>
          </cell>
          <cell r="S490">
            <v>3</v>
          </cell>
        </row>
        <row r="491">
          <cell r="B491" t="str">
            <v>Distribución</v>
          </cell>
          <cell r="C491">
            <v>1</v>
          </cell>
          <cell r="E491" t="str">
            <v>OT/0364</v>
          </cell>
          <cell r="F491">
            <v>45929</v>
          </cell>
          <cell r="G491">
            <v>45929</v>
          </cell>
          <cell r="H491" t="str">
            <v>Revisión de acometida en C/Batzalarrin n8 (Llodio)</v>
          </cell>
          <cell r="I491" t="str">
            <v>Revisión de acometida en C/Batzalarrin n8 (Llodio)</v>
          </cell>
          <cell r="J491" t="str">
            <v>Llodio</v>
          </cell>
          <cell r="M491">
            <v>43.142287000000003</v>
          </cell>
          <cell r="N491">
            <v>-2.9628999999999999</v>
          </cell>
          <cell r="O491" t="b">
            <v>1</v>
          </cell>
          <cell r="P491" t="str">
            <v>TOMAS</v>
          </cell>
          <cell r="Q491">
            <v>1</v>
          </cell>
          <cell r="R491">
            <v>1</v>
          </cell>
          <cell r="S491">
            <v>3</v>
          </cell>
        </row>
        <row r="492">
          <cell r="B492" t="str">
            <v>Distribución</v>
          </cell>
          <cell r="C492">
            <v>1</v>
          </cell>
          <cell r="E492" t="str">
            <v>OT/0365</v>
          </cell>
          <cell r="F492">
            <v>45929</v>
          </cell>
          <cell r="G492">
            <v>45929</v>
          </cell>
          <cell r="H492" t="str">
            <v>Aviso de fuga en Isasi n20 (Llodio)</v>
          </cell>
          <cell r="I492" t="str">
            <v>Aviso de fuga en Isasi n20 (Llodio)</v>
          </cell>
          <cell r="J492" t="str">
            <v>Llodio</v>
          </cell>
          <cell r="M492">
            <v>43.151170999999998</v>
          </cell>
          <cell r="N492">
            <v>-2.9713799999999999</v>
          </cell>
          <cell r="O492" t="b">
            <v>1</v>
          </cell>
          <cell r="P492" t="str">
            <v>TOMAS</v>
          </cell>
          <cell r="Q492">
            <v>1</v>
          </cell>
          <cell r="R492">
            <v>1</v>
          </cell>
          <cell r="S492">
            <v>1</v>
          </cell>
        </row>
        <row r="493">
          <cell r="B493" t="str">
            <v>Distribución</v>
          </cell>
          <cell r="C493">
            <v>1</v>
          </cell>
          <cell r="E493" t="str">
            <v>OT/0366</v>
          </cell>
          <cell r="F493">
            <v>45926</v>
          </cell>
          <cell r="G493">
            <v>45926</v>
          </cell>
          <cell r="H493" t="str">
            <v>Colocación de avisos de corte de agua C/Urumea n4-5</v>
          </cell>
          <cell r="I493" t="str">
            <v>Colocación de avisos de corte de agua C/Urumea n4-5</v>
          </cell>
          <cell r="J493" t="str">
            <v>Llodio</v>
          </cell>
          <cell r="O493" t="b">
            <v>1</v>
          </cell>
          <cell r="P493" t="str">
            <v>TOMAS</v>
          </cell>
          <cell r="Q493">
            <v>1</v>
          </cell>
          <cell r="R493">
            <v>1</v>
          </cell>
          <cell r="S493">
            <v>3</v>
          </cell>
        </row>
        <row r="494">
          <cell r="B494" t="str">
            <v>Distribución</v>
          </cell>
          <cell r="C494">
            <v>2</v>
          </cell>
          <cell r="D494">
            <v>13</v>
          </cell>
          <cell r="E494" t="str">
            <v>TP/0222</v>
          </cell>
          <cell r="F494">
            <v>45929</v>
          </cell>
          <cell r="G494">
            <v>45929</v>
          </cell>
          <cell r="H494" t="str">
            <v>Asistencia a aperajador municipal en C/Lateorro (colegio en Llodio)</v>
          </cell>
          <cell r="I494" t="str">
            <v>Asistencia a aperajador municipal en C/Lateorro (colegio en Llodio)</v>
          </cell>
          <cell r="J494" t="str">
            <v>Llodio</v>
          </cell>
          <cell r="O494" t="b">
            <v>1</v>
          </cell>
          <cell r="P494" t="str">
            <v>TOMAS</v>
          </cell>
          <cell r="Q494">
            <v>1</v>
          </cell>
          <cell r="R494">
            <v>1</v>
          </cell>
        </row>
        <row r="495">
          <cell r="B495" t="str">
            <v>Distribución</v>
          </cell>
          <cell r="C495">
            <v>2</v>
          </cell>
          <cell r="D495">
            <v>11</v>
          </cell>
          <cell r="E495" t="str">
            <v>TP/0223</v>
          </cell>
          <cell r="F495">
            <v>45929</v>
          </cell>
          <cell r="G495">
            <v>45929</v>
          </cell>
          <cell r="H495" t="str">
            <v>Toma de lectura de contadores sectoriales en Llodio</v>
          </cell>
          <cell r="I495" t="str">
            <v>Toma de lectura de contadores sectoriales en Llodio</v>
          </cell>
          <cell r="J495" t="str">
            <v>Llodio</v>
          </cell>
          <cell r="O495" t="b">
            <v>1</v>
          </cell>
          <cell r="P495" t="str">
            <v>TOMAS</v>
          </cell>
          <cell r="Q495">
            <v>1</v>
          </cell>
          <cell r="R495">
            <v>1</v>
          </cell>
        </row>
        <row r="496">
          <cell r="B496" t="str">
            <v>Distribución</v>
          </cell>
          <cell r="C496">
            <v>2</v>
          </cell>
          <cell r="D496">
            <v>7</v>
          </cell>
          <cell r="E496" t="str">
            <v>TP/0224</v>
          </cell>
          <cell r="F496">
            <v>45930</v>
          </cell>
          <cell r="G496">
            <v>45930</v>
          </cell>
          <cell r="H496" t="str">
            <v>Localización de fugas en (sector Areta) (Llodio)</v>
          </cell>
          <cell r="I496" t="str">
            <v>Localización de fugas en (sector Areta) (Llodio)</v>
          </cell>
          <cell r="J496" t="str">
            <v>Llodio</v>
          </cell>
          <cell r="O496" t="b">
            <v>1</v>
          </cell>
          <cell r="P496" t="str">
            <v>TOMAS</v>
          </cell>
          <cell r="Q496">
            <v>1</v>
          </cell>
          <cell r="R496">
            <v>1</v>
          </cell>
          <cell r="S496">
            <v>1</v>
          </cell>
        </row>
        <row r="497">
          <cell r="B497" t="str">
            <v>Distribución</v>
          </cell>
          <cell r="C497">
            <v>2</v>
          </cell>
          <cell r="D497">
            <v>7</v>
          </cell>
          <cell r="E497" t="str">
            <v>TP/0225</v>
          </cell>
          <cell r="F497">
            <v>45930</v>
          </cell>
          <cell r="G497">
            <v>45930</v>
          </cell>
          <cell r="H497" t="str">
            <v>Localización de fugas en (Sector centro Norte)</v>
          </cell>
          <cell r="I497" t="str">
            <v>Localización de fugas en (Sector centro Norte) (Ambulatorio)</v>
          </cell>
          <cell r="J497" t="str">
            <v>Llodio</v>
          </cell>
          <cell r="O497" t="b">
            <v>1</v>
          </cell>
          <cell r="P497" t="str">
            <v>TOMAS</v>
          </cell>
          <cell r="Q497">
            <v>1</v>
          </cell>
          <cell r="R497">
            <v>1</v>
          </cell>
          <cell r="S497">
            <v>1</v>
          </cell>
        </row>
        <row r="498">
          <cell r="B498" t="str">
            <v>Distribución</v>
          </cell>
          <cell r="C498">
            <v>2</v>
          </cell>
          <cell r="D498">
            <v>11</v>
          </cell>
          <cell r="E498" t="str">
            <v>TP/0226</v>
          </cell>
          <cell r="F498">
            <v>45930</v>
          </cell>
          <cell r="G498">
            <v>45930</v>
          </cell>
          <cell r="H498" t="str">
            <v>Lectura de contadores Sectoriales en Agurain y Alegría</v>
          </cell>
          <cell r="I498" t="str">
            <v>Lectura de contadores Sectoriales en Agurain y Alegría</v>
          </cell>
          <cell r="J498" t="str">
            <v>Agurain</v>
          </cell>
          <cell r="O498" t="b">
            <v>1</v>
          </cell>
          <cell r="P498" t="str">
            <v>EDUARDO Y ENEKO</v>
          </cell>
          <cell r="Q498">
            <v>3</v>
          </cell>
          <cell r="R498">
            <v>3</v>
          </cell>
        </row>
        <row r="499">
          <cell r="B499" t="str">
            <v>Distribución</v>
          </cell>
          <cell r="C499">
            <v>2</v>
          </cell>
          <cell r="D499">
            <v>8</v>
          </cell>
          <cell r="E499" t="str">
            <v>TP/0227</v>
          </cell>
          <cell r="F499">
            <v>45924</v>
          </cell>
          <cell r="G499">
            <v>45924</v>
          </cell>
          <cell r="H499" t="str">
            <v>Intalacion de contador por alta en C/Mendiko n2 (Amurrio)</v>
          </cell>
          <cell r="I499" t="str">
            <v>Intalacion de contador por alta en C/Mendiko n2</v>
          </cell>
          <cell r="J499" t="str">
            <v>Amurrio</v>
          </cell>
          <cell r="O499" t="b">
            <v>1</v>
          </cell>
          <cell r="P499" t="str">
            <v>TOMAS</v>
          </cell>
          <cell r="Q499">
            <v>1</v>
          </cell>
          <cell r="R499">
            <v>1</v>
          </cell>
        </row>
        <row r="500">
          <cell r="B500" t="str">
            <v>Distribución</v>
          </cell>
          <cell r="C500">
            <v>2</v>
          </cell>
          <cell r="D500">
            <v>7</v>
          </cell>
          <cell r="E500" t="str">
            <v>TP/0228</v>
          </cell>
          <cell r="F500">
            <v>45926</v>
          </cell>
          <cell r="G500">
            <v>45926</v>
          </cell>
          <cell r="H500" t="str">
            <v>Localización de fugas en C/Atxeta n2 (Llodio)</v>
          </cell>
          <cell r="I500" t="str">
            <v>Localización de fugas en C/Atxeta n2 (Llodio)</v>
          </cell>
          <cell r="J500" t="str">
            <v>Llodio</v>
          </cell>
          <cell r="O500" t="b">
            <v>1</v>
          </cell>
          <cell r="P500" t="str">
            <v>TOMAS</v>
          </cell>
          <cell r="Q500">
            <v>1</v>
          </cell>
          <cell r="R500">
            <v>1</v>
          </cell>
          <cell r="S500">
            <v>1</v>
          </cell>
        </row>
        <row r="501">
          <cell r="B501" t="str">
            <v>Distribución</v>
          </cell>
          <cell r="C501">
            <v>2</v>
          </cell>
          <cell r="D501">
            <v>10</v>
          </cell>
          <cell r="E501" t="str">
            <v>TP/0229</v>
          </cell>
          <cell r="F501">
            <v>45930</v>
          </cell>
          <cell r="G501">
            <v>45930</v>
          </cell>
          <cell r="H501" t="str">
            <v>Sustitución contador en Carretera vitoria Estella en Maeztu</v>
          </cell>
          <cell r="I501" t="str">
            <v>Sustitución contador en Carretera vitoria Estella en Maeztu</v>
          </cell>
          <cell r="J501" t="str">
            <v>Maeztu</v>
          </cell>
          <cell r="O501" t="b">
            <v>1</v>
          </cell>
          <cell r="P501" t="str">
            <v>IÑIGO</v>
          </cell>
          <cell r="Q501">
            <v>6</v>
          </cell>
          <cell r="R501">
            <v>6</v>
          </cell>
        </row>
        <row r="502">
          <cell r="B502" t="str">
            <v>Distribución</v>
          </cell>
          <cell r="C502">
            <v>2</v>
          </cell>
          <cell r="D502">
            <v>10</v>
          </cell>
          <cell r="E502" t="str">
            <v>TP/0230</v>
          </cell>
          <cell r="F502">
            <v>45930</v>
          </cell>
          <cell r="G502">
            <v>45930</v>
          </cell>
          <cell r="H502" t="str">
            <v>Sustitución contador en Apellaniz</v>
          </cell>
          <cell r="I502" t="str">
            <v>Sustitución contador en Apellaniz</v>
          </cell>
          <cell r="J502" t="str">
            <v>Apellaniz</v>
          </cell>
          <cell r="O502" t="b">
            <v>1</v>
          </cell>
          <cell r="P502" t="str">
            <v>IÑIGO</v>
          </cell>
          <cell r="Q502">
            <v>6</v>
          </cell>
          <cell r="R502">
            <v>6</v>
          </cell>
        </row>
        <row r="503">
          <cell r="B503" t="str">
            <v>Distribución</v>
          </cell>
          <cell r="C503">
            <v>1</v>
          </cell>
          <cell r="E503" t="str">
            <v>OT/0367</v>
          </cell>
          <cell r="F503">
            <v>45930</v>
          </cell>
          <cell r="G503">
            <v>45932</v>
          </cell>
          <cell r="H503" t="str">
            <v>Reparación de fuga en Basquiñuelas (Añana)</v>
          </cell>
          <cell r="I503" t="str">
            <v>Reparación de fuga en Basquiñuelas (Añana)</v>
          </cell>
          <cell r="J503" t="str">
            <v>Basquiñuelas</v>
          </cell>
          <cell r="M503">
            <v>42.807850000000002</v>
          </cell>
          <cell r="N503">
            <v>-2.9736980000000002</v>
          </cell>
          <cell r="O503" t="b">
            <v>1</v>
          </cell>
          <cell r="P503" t="str">
            <v>MIGUEL Y JOSEBA</v>
          </cell>
          <cell r="Q503">
            <v>5</v>
          </cell>
          <cell r="R503">
            <v>5</v>
          </cell>
          <cell r="S503">
            <v>1</v>
          </cell>
        </row>
        <row r="504">
          <cell r="B504" t="str">
            <v>Saneamiento</v>
          </cell>
          <cell r="C504">
            <v>1</v>
          </cell>
          <cell r="E504" t="str">
            <v>OT/0368</v>
          </cell>
          <cell r="F504">
            <v>45931</v>
          </cell>
          <cell r="G504">
            <v>45931</v>
          </cell>
          <cell r="H504" t="str">
            <v>Aviso atasco saneamiento colector Landaluze (Llodio)</v>
          </cell>
          <cell r="I504" t="str">
            <v>Aviso atasco saneamiento colector Landaluze (Llodio)</v>
          </cell>
          <cell r="J504" t="str">
            <v>Llodio</v>
          </cell>
          <cell r="O504" t="b">
            <v>1</v>
          </cell>
          <cell r="P504" t="str">
            <v>EMILIO</v>
          </cell>
          <cell r="Q504">
            <v>1</v>
          </cell>
          <cell r="R504">
            <v>4</v>
          </cell>
          <cell r="S504">
            <v>2</v>
          </cell>
        </row>
        <row r="505">
          <cell r="B505" t="str">
            <v>Saneamiento</v>
          </cell>
          <cell r="C505">
            <v>2</v>
          </cell>
          <cell r="D505">
            <v>1</v>
          </cell>
          <cell r="E505" t="str">
            <v>TP/0231</v>
          </cell>
          <cell r="F505">
            <v>45931</v>
          </cell>
          <cell r="G505">
            <v>45931</v>
          </cell>
          <cell r="H505" t="str">
            <v>Mantenimiento preventivo saneamiento Agurain</v>
          </cell>
          <cell r="I505" t="str">
            <v>Mantenimiento preventivo saneamiento Agurain</v>
          </cell>
          <cell r="J505" t="str">
            <v>Agurain</v>
          </cell>
          <cell r="O505" t="b">
            <v>1</v>
          </cell>
          <cell r="P505" t="str">
            <v>EMILIO,ANGEL,KERMAN</v>
          </cell>
          <cell r="Q505">
            <v>3</v>
          </cell>
          <cell r="R505">
            <v>26</v>
          </cell>
        </row>
        <row r="506">
          <cell r="B506" t="str">
            <v>Distribución</v>
          </cell>
          <cell r="C506">
            <v>2</v>
          </cell>
          <cell r="D506">
            <v>11</v>
          </cell>
          <cell r="E506" t="str">
            <v>TP/0232</v>
          </cell>
          <cell r="F506">
            <v>45931</v>
          </cell>
          <cell r="G506">
            <v>45931</v>
          </cell>
          <cell r="H506" t="str">
            <v>Lectura de contadores sectoriales en Respaldiza</v>
          </cell>
          <cell r="I506" t="str">
            <v>Lectura de contadores sectoriales en Respaldiza</v>
          </cell>
          <cell r="J506" t="str">
            <v>Respaldiza</v>
          </cell>
          <cell r="O506" t="b">
            <v>1</v>
          </cell>
          <cell r="P506" t="str">
            <v>KERMAN</v>
          </cell>
          <cell r="Q506">
            <v>1</v>
          </cell>
          <cell r="R506">
            <v>1</v>
          </cell>
        </row>
        <row r="507">
          <cell r="B507" t="str">
            <v>Distribución</v>
          </cell>
          <cell r="C507">
            <v>2</v>
          </cell>
          <cell r="D507">
            <v>11</v>
          </cell>
          <cell r="E507" t="str">
            <v>TP/0233</v>
          </cell>
          <cell r="F507">
            <v>45929</v>
          </cell>
          <cell r="G507">
            <v>45929</v>
          </cell>
          <cell r="H507" t="str">
            <v>Lectura de contadores sectoriales en Delika,Sojo</v>
          </cell>
          <cell r="I507" t="str">
            <v>Lectura de contadores sectoriales en Delika,Sojo</v>
          </cell>
          <cell r="J507" t="str">
            <v>Amurrio</v>
          </cell>
          <cell r="O507" t="b">
            <v>1</v>
          </cell>
          <cell r="P507" t="str">
            <v>KERMAN</v>
          </cell>
          <cell r="Q507">
            <v>1</v>
          </cell>
          <cell r="R507">
            <v>1</v>
          </cell>
        </row>
        <row r="508">
          <cell r="B508" t="str">
            <v>Distribución</v>
          </cell>
          <cell r="C508">
            <v>2</v>
          </cell>
          <cell r="D508">
            <v>8</v>
          </cell>
          <cell r="E508" t="str">
            <v>TP/0234</v>
          </cell>
          <cell r="F508">
            <v>45931</v>
          </cell>
          <cell r="G508">
            <v>45931</v>
          </cell>
          <cell r="H508" t="str">
            <v>Instalación contador en Agurain</v>
          </cell>
          <cell r="I508" t="str">
            <v>Instalación contador en Agurain</v>
          </cell>
          <cell r="J508" t="str">
            <v>Agurain</v>
          </cell>
          <cell r="O508" t="b">
            <v>1</v>
          </cell>
          <cell r="P508" t="str">
            <v>KERMAN</v>
          </cell>
          <cell r="Q508">
            <v>3</v>
          </cell>
          <cell r="R508">
            <v>3</v>
          </cell>
        </row>
        <row r="509">
          <cell r="B509" t="str">
            <v>Distribución</v>
          </cell>
          <cell r="C509">
            <v>1</v>
          </cell>
          <cell r="E509" t="str">
            <v>OT/0369</v>
          </cell>
          <cell r="F509">
            <v>45931</v>
          </cell>
          <cell r="G509">
            <v>45931</v>
          </cell>
          <cell r="H509" t="str">
            <v>Aviso de fugas en Antoñana y Gauna</v>
          </cell>
          <cell r="I509" t="str">
            <v>Aviso de fugas en Antoñana y Gauna</v>
          </cell>
          <cell r="J509" t="str">
            <v>Antoñana</v>
          </cell>
          <cell r="O509" t="b">
            <v>1</v>
          </cell>
          <cell r="P509" t="str">
            <v>BEÑAT</v>
          </cell>
          <cell r="Q509">
            <v>6</v>
          </cell>
          <cell r="R509">
            <v>6</v>
          </cell>
          <cell r="S509">
            <v>1</v>
          </cell>
        </row>
        <row r="510">
          <cell r="B510" t="str">
            <v>Distribución</v>
          </cell>
          <cell r="C510">
            <v>1</v>
          </cell>
          <cell r="E510" t="str">
            <v>OT/0371</v>
          </cell>
          <cell r="F510">
            <v>45930</v>
          </cell>
          <cell r="G510">
            <v>45930</v>
          </cell>
          <cell r="H510" t="str">
            <v>Desatasco en San Roque Amurrio</v>
          </cell>
          <cell r="I510" t="str">
            <v>Desatasco en San Roque Amurrio</v>
          </cell>
          <cell r="J510" t="str">
            <v>Amurrio</v>
          </cell>
          <cell r="M510">
            <v>43.069723000000003</v>
          </cell>
          <cell r="N510">
            <v>-2.988658</v>
          </cell>
          <cell r="O510" t="b">
            <v>1</v>
          </cell>
          <cell r="Q510">
            <v>1</v>
          </cell>
          <cell r="R510">
            <v>1</v>
          </cell>
          <cell r="S510">
            <v>2</v>
          </cell>
        </row>
        <row r="511">
          <cell r="B511" t="str">
            <v>Distribución</v>
          </cell>
          <cell r="C511">
            <v>2</v>
          </cell>
          <cell r="D511">
            <v>12</v>
          </cell>
          <cell r="E511" t="str">
            <v>TP/0235</v>
          </cell>
          <cell r="F511">
            <v>45933</v>
          </cell>
          <cell r="G511">
            <v>45933</v>
          </cell>
          <cell r="H511" t="str">
            <v>Colocación de avisos de corte de agua en Berganza</v>
          </cell>
          <cell r="I511" t="str">
            <v>Colocación de avisos de corte de agua en Berganza</v>
          </cell>
          <cell r="J511" t="str">
            <v>Berganza</v>
          </cell>
          <cell r="M511" t="str">
            <v/>
          </cell>
          <cell r="N511" t="str">
            <v/>
          </cell>
          <cell r="O511" t="b">
            <v>1</v>
          </cell>
          <cell r="P511" t="str">
            <v>IÑIGO</v>
          </cell>
          <cell r="Q511">
            <v>1</v>
          </cell>
          <cell r="R511">
            <v>1</v>
          </cell>
        </row>
        <row r="512">
          <cell r="B512" t="str">
            <v>Distribución</v>
          </cell>
          <cell r="C512">
            <v>2</v>
          </cell>
          <cell r="D512">
            <v>11</v>
          </cell>
          <cell r="E512" t="str">
            <v>TP/0236</v>
          </cell>
          <cell r="F512">
            <v>45929</v>
          </cell>
          <cell r="G512">
            <v>45929</v>
          </cell>
          <cell r="H512" t="str">
            <v>Lectura contadores sectoriales en Cuencas Mediterraneas</v>
          </cell>
          <cell r="I512" t="str">
            <v>Lectura contadores sectoriales en Cuencas Mediterraneas</v>
          </cell>
          <cell r="J512" t="str">
            <v>Cuencas Mediterraneas</v>
          </cell>
          <cell r="M512" t="str">
            <v/>
          </cell>
          <cell r="N512" t="str">
            <v/>
          </cell>
          <cell r="O512" t="b">
            <v>1</v>
          </cell>
          <cell r="P512" t="str">
            <v>ENEKO</v>
          </cell>
          <cell r="Q512">
            <v>3</v>
          </cell>
          <cell r="R512">
            <v>3</v>
          </cell>
        </row>
        <row r="513">
          <cell r="B513" t="str">
            <v>Distribución</v>
          </cell>
          <cell r="C513">
            <v>2</v>
          </cell>
          <cell r="D513">
            <v>10</v>
          </cell>
          <cell r="E513" t="str">
            <v>TP/0237</v>
          </cell>
          <cell r="F513">
            <v>45930</v>
          </cell>
          <cell r="G513">
            <v>45930</v>
          </cell>
          <cell r="H513" t="str">
            <v>Sustitución contadores en Apellaniz ,Alegría,Alda,Ulibarri</v>
          </cell>
          <cell r="I513" t="str">
            <v>Sustitución contadores en Apellaniz ,Alegría,Alda,Ulibarri</v>
          </cell>
          <cell r="J513" t="str">
            <v>Alegría</v>
          </cell>
          <cell r="M513" t="str">
            <v/>
          </cell>
          <cell r="N513" t="str">
            <v/>
          </cell>
          <cell r="O513" t="b">
            <v>1</v>
          </cell>
          <cell r="P513" t="str">
            <v>IÑIGO</v>
          </cell>
          <cell r="Q513">
            <v>3</v>
          </cell>
          <cell r="R513">
            <v>3</v>
          </cell>
        </row>
        <row r="514">
          <cell r="B514" t="str">
            <v>Distribución</v>
          </cell>
          <cell r="C514">
            <v>2</v>
          </cell>
          <cell r="D514">
            <v>7</v>
          </cell>
          <cell r="E514" t="str">
            <v>TP/0238</v>
          </cell>
          <cell r="F514">
            <v>45930</v>
          </cell>
          <cell r="G514">
            <v>45930</v>
          </cell>
          <cell r="H514" t="str">
            <v>Recoger y leer equipos de fugas en el sector Isasi de Laudio</v>
          </cell>
          <cell r="I514" t="str">
            <v>Recoger y leer equipos de fugas en el sector Isasi de Laudio</v>
          </cell>
          <cell r="J514" t="str">
            <v>Llodio</v>
          </cell>
          <cell r="M514" t="str">
            <v/>
          </cell>
          <cell r="N514" t="str">
            <v/>
          </cell>
          <cell r="O514" t="b">
            <v>1</v>
          </cell>
          <cell r="P514" t="str">
            <v>ENEKO</v>
          </cell>
          <cell r="Q514">
            <v>1</v>
          </cell>
          <cell r="R514">
            <v>1</v>
          </cell>
          <cell r="S514">
            <v>1</v>
          </cell>
        </row>
        <row r="515">
          <cell r="B515" t="str">
            <v>Distribución</v>
          </cell>
          <cell r="C515">
            <v>2</v>
          </cell>
          <cell r="D515">
            <v>11</v>
          </cell>
          <cell r="E515" t="str">
            <v>TP/0239</v>
          </cell>
          <cell r="F515">
            <v>45930</v>
          </cell>
          <cell r="G515">
            <v>45930</v>
          </cell>
          <cell r="H515" t="str">
            <v>Lectura de contadores en cuencas de Mediterranea y Cantábricas</v>
          </cell>
          <cell r="I515" t="str">
            <v>Lectura de contadores en cuencas de Mediterranea y Cantábricas</v>
          </cell>
          <cell r="J515" t="str">
            <v>Cuencas Mediterraneas</v>
          </cell>
          <cell r="M515" t="str">
            <v/>
          </cell>
          <cell r="N515" t="str">
            <v/>
          </cell>
          <cell r="O515" t="b">
            <v>1</v>
          </cell>
          <cell r="P515" t="str">
            <v>ENEKO</v>
          </cell>
          <cell r="Q515">
            <v>3</v>
          </cell>
          <cell r="R515">
            <v>3</v>
          </cell>
        </row>
        <row r="516">
          <cell r="B516" t="str">
            <v>Distribución</v>
          </cell>
          <cell r="C516">
            <v>2</v>
          </cell>
          <cell r="D516">
            <v>11</v>
          </cell>
          <cell r="E516" t="str">
            <v>TP/0240</v>
          </cell>
          <cell r="F516">
            <v>45931</v>
          </cell>
          <cell r="G516">
            <v>45931</v>
          </cell>
          <cell r="H516" t="str">
            <v>Lectura de contadores en cuencas de Mediterranea</v>
          </cell>
          <cell r="I516" t="str">
            <v>Lectura de contadores en cuencas de Mediterranea</v>
          </cell>
          <cell r="J516" t="str">
            <v>Cuencas Mediterraneas</v>
          </cell>
          <cell r="M516" t="str">
            <v/>
          </cell>
          <cell r="N516" t="str">
            <v/>
          </cell>
          <cell r="O516" t="b">
            <v>1</v>
          </cell>
          <cell r="P516" t="str">
            <v>ENEKO</v>
          </cell>
          <cell r="Q516">
            <v>3</v>
          </cell>
          <cell r="R516">
            <v>3</v>
          </cell>
        </row>
        <row r="517">
          <cell r="B517" t="str">
            <v>Distribución</v>
          </cell>
          <cell r="C517">
            <v>2</v>
          </cell>
          <cell r="D517">
            <v>7</v>
          </cell>
          <cell r="E517" t="str">
            <v>TP/0241</v>
          </cell>
          <cell r="F517">
            <v>45931</v>
          </cell>
          <cell r="G517">
            <v>45931</v>
          </cell>
          <cell r="H517" t="str">
            <v>Localización de fugas en Agurain</v>
          </cell>
          <cell r="I517" t="str">
            <v>Localización de fugas en Agurain</v>
          </cell>
          <cell r="J517" t="str">
            <v>Agurain</v>
          </cell>
          <cell r="M517" t="str">
            <v/>
          </cell>
          <cell r="N517" t="str">
            <v/>
          </cell>
          <cell r="O517" t="b">
            <v>1</v>
          </cell>
          <cell r="P517" t="str">
            <v>ENEKO</v>
          </cell>
          <cell r="Q517">
            <v>3</v>
          </cell>
          <cell r="R517">
            <v>3</v>
          </cell>
          <cell r="S517">
            <v>1</v>
          </cell>
        </row>
        <row r="518">
          <cell r="B518" t="str">
            <v>Distribución</v>
          </cell>
          <cell r="C518">
            <v>2</v>
          </cell>
          <cell r="D518">
            <v>7</v>
          </cell>
          <cell r="E518" t="str">
            <v>TP/0242</v>
          </cell>
          <cell r="F518">
            <v>45932</v>
          </cell>
          <cell r="G518">
            <v>45932</v>
          </cell>
          <cell r="H518" t="str">
            <v>Localización de fuga en sactor de Isasi Laudio</v>
          </cell>
          <cell r="I518" t="str">
            <v>Localización de fuga en sector de Isasi Laudio</v>
          </cell>
          <cell r="J518" t="str">
            <v>Llodio</v>
          </cell>
          <cell r="M518">
            <v>43.152070000000002</v>
          </cell>
          <cell r="N518">
            <v>-2.9725440000000001</v>
          </cell>
          <cell r="O518" t="b">
            <v>1</v>
          </cell>
          <cell r="P518" t="str">
            <v>ENEKO</v>
          </cell>
          <cell r="Q518">
            <v>1</v>
          </cell>
          <cell r="R518">
            <v>1</v>
          </cell>
          <cell r="S518">
            <v>1</v>
          </cell>
        </row>
        <row r="519">
          <cell r="B519" t="str">
            <v>Distribución</v>
          </cell>
          <cell r="C519">
            <v>2</v>
          </cell>
          <cell r="D519">
            <v>11</v>
          </cell>
          <cell r="E519" t="str">
            <v>TP/0243</v>
          </cell>
          <cell r="F519">
            <v>45932</v>
          </cell>
          <cell r="G519">
            <v>45932</v>
          </cell>
          <cell r="H519" t="str">
            <v>Lectura contadores sectoriales en Cuencas Mediterraneas</v>
          </cell>
          <cell r="I519" t="str">
            <v>Lectura contadores sectoriales en Cuencas Mediterraneas</v>
          </cell>
          <cell r="J519" t="str">
            <v>Cuencas Mediterraneas</v>
          </cell>
          <cell r="M519" t="str">
            <v/>
          </cell>
          <cell r="N519" t="str">
            <v/>
          </cell>
          <cell r="O519" t="b">
            <v>1</v>
          </cell>
          <cell r="P519" t="str">
            <v>ENEKO</v>
          </cell>
          <cell r="Q519">
            <v>3</v>
          </cell>
          <cell r="R519">
            <v>3</v>
          </cell>
        </row>
        <row r="520">
          <cell r="B520" t="str">
            <v>Saneamiento</v>
          </cell>
          <cell r="C520">
            <v>1</v>
          </cell>
          <cell r="E520" t="str">
            <v>OT/0372</v>
          </cell>
          <cell r="F520">
            <v>45929</v>
          </cell>
          <cell r="G520">
            <v>45929</v>
          </cell>
          <cell r="H520" t="str">
            <v>Desatasco saneamiento en C/Jose Madinabeitia (Amurrio)</v>
          </cell>
          <cell r="I520" t="str">
            <v>Desatasco saneamiento en C/Jose Madinabeitia (Amurrio)</v>
          </cell>
          <cell r="J520" t="str">
            <v>Amurrio</v>
          </cell>
          <cell r="M520">
            <v>43.053075999999997</v>
          </cell>
          <cell r="N520">
            <v>-3.0023469999999999</v>
          </cell>
          <cell r="O520" t="b">
            <v>1</v>
          </cell>
          <cell r="P520" t="str">
            <v/>
          </cell>
          <cell r="Q520">
            <v>1</v>
          </cell>
          <cell r="R520">
            <v>1</v>
          </cell>
          <cell r="S520">
            <v>2</v>
          </cell>
        </row>
        <row r="521">
          <cell r="B521" t="str">
            <v>Saneamiento</v>
          </cell>
          <cell r="C521">
            <v>1</v>
          </cell>
          <cell r="E521" t="str">
            <v>OT/0373</v>
          </cell>
          <cell r="F521">
            <v>45932</v>
          </cell>
          <cell r="G521">
            <v>45932</v>
          </cell>
          <cell r="H521" t="str">
            <v>Desatasco saneamiento Maeztu C/Tellazar</v>
          </cell>
          <cell r="I521" t="str">
            <v>Desatasco saneamiento Maeztu C/Tellazar</v>
          </cell>
          <cell r="J521" t="str">
            <v>Maeztu</v>
          </cell>
          <cell r="M521">
            <v>42.738390000000003</v>
          </cell>
          <cell r="N521">
            <v>-2.4485260000000002</v>
          </cell>
          <cell r="O521" t="b">
            <v>1</v>
          </cell>
          <cell r="P521" t="str">
            <v/>
          </cell>
          <cell r="Q521">
            <v>6</v>
          </cell>
          <cell r="R521">
            <v>6</v>
          </cell>
          <cell r="S521">
            <v>2</v>
          </cell>
        </row>
        <row r="522">
          <cell r="B522" t="str">
            <v>Distribución</v>
          </cell>
          <cell r="C522">
            <v>2</v>
          </cell>
          <cell r="D522">
            <v>12</v>
          </cell>
          <cell r="E522" t="str">
            <v>TP/0244</v>
          </cell>
          <cell r="F522">
            <v>45932</v>
          </cell>
          <cell r="G522">
            <v>45932</v>
          </cell>
          <cell r="H522" t="str">
            <v>Corte de agua en Amurrio C/Frontón n4</v>
          </cell>
          <cell r="I522" t="str">
            <v>Corte de agua en Amurrio  C/Frontón n4</v>
          </cell>
          <cell r="J522" t="str">
            <v>Amurrio</v>
          </cell>
          <cell r="M522">
            <v>43.052953000000002</v>
          </cell>
          <cell r="N522">
            <v>-3.0006849999999998</v>
          </cell>
          <cell r="O522" t="b">
            <v>1</v>
          </cell>
          <cell r="P522" t="str">
            <v/>
          </cell>
          <cell r="Q522">
            <v>1</v>
          </cell>
          <cell r="R522">
            <v>1</v>
          </cell>
        </row>
        <row r="523">
          <cell r="B523" t="str">
            <v>Distribución</v>
          </cell>
          <cell r="C523">
            <v>1</v>
          </cell>
          <cell r="E523" t="str">
            <v>OT/0374</v>
          </cell>
          <cell r="F523">
            <v>45932</v>
          </cell>
          <cell r="G523">
            <v>45932</v>
          </cell>
          <cell r="H523" t="str">
            <v>Aviso falta de presión en la calle Otazu n2 (Luiando)</v>
          </cell>
          <cell r="I523" t="str">
            <v>Aviso falta de presión en la calle Otazu n2 (Luiando)</v>
          </cell>
          <cell r="J523" t="str">
            <v>Luiando</v>
          </cell>
          <cell r="M523">
            <v>43.10736</v>
          </cell>
          <cell r="N523">
            <v>-2.99594</v>
          </cell>
          <cell r="O523" t="b">
            <v>1</v>
          </cell>
          <cell r="P523" t="str">
            <v/>
          </cell>
          <cell r="Q523">
            <v>1</v>
          </cell>
          <cell r="R523">
            <v>1</v>
          </cell>
          <cell r="S523">
            <v>3</v>
          </cell>
        </row>
        <row r="524">
          <cell r="B524" t="str">
            <v>Distribución</v>
          </cell>
          <cell r="C524">
            <v>1</v>
          </cell>
          <cell r="E524" t="str">
            <v>OT/0375</v>
          </cell>
          <cell r="F524">
            <v>45932</v>
          </cell>
          <cell r="G524">
            <v>45933</v>
          </cell>
          <cell r="H524" t="str">
            <v>Fuga en Antoñana</v>
          </cell>
          <cell r="I524" t="str">
            <v>Fuga en Antoñana</v>
          </cell>
          <cell r="J524" t="str">
            <v>Antoñana</v>
          </cell>
          <cell r="M524">
            <v>42.695858999999999</v>
          </cell>
          <cell r="N524">
            <v>-2.3974060000000001</v>
          </cell>
          <cell r="O524" t="b">
            <v>1</v>
          </cell>
          <cell r="P524" t="str">
            <v/>
          </cell>
          <cell r="Q524">
            <v>6</v>
          </cell>
          <cell r="R524">
            <v>6</v>
          </cell>
          <cell r="S524">
            <v>1</v>
          </cell>
        </row>
        <row r="525">
          <cell r="B525" t="str">
            <v>Aducción</v>
          </cell>
          <cell r="C525">
            <v>2</v>
          </cell>
          <cell r="D525">
            <v>2</v>
          </cell>
          <cell r="E525" t="str">
            <v>TP/0245</v>
          </cell>
          <cell r="F525">
            <v>45933</v>
          </cell>
          <cell r="G525">
            <v>45933</v>
          </cell>
          <cell r="H525" t="str">
            <v>Limpieza de captaciones Agiel,Txintxetru,Lejarzo</v>
          </cell>
          <cell r="I525" t="str">
            <v>Limpieza de captaciones Agiel,Txintxetru,Lejarzo</v>
          </cell>
          <cell r="J525" t="str">
            <v>Maroño</v>
          </cell>
          <cell r="M525" t="str">
            <v/>
          </cell>
          <cell r="N525" t="str">
            <v/>
          </cell>
          <cell r="O525" t="b">
            <v>1</v>
          </cell>
          <cell r="P525" t="str">
            <v/>
          </cell>
          <cell r="Q525">
            <v>1</v>
          </cell>
          <cell r="R525">
            <v>1</v>
          </cell>
        </row>
        <row r="526">
          <cell r="B526" t="str">
            <v>Distribución</v>
          </cell>
          <cell r="C526">
            <v>2</v>
          </cell>
          <cell r="D526">
            <v>1</v>
          </cell>
          <cell r="E526" t="str">
            <v>TP/0246</v>
          </cell>
          <cell r="F526">
            <v>45933</v>
          </cell>
          <cell r="G526">
            <v>45933</v>
          </cell>
          <cell r="H526" t="str">
            <v>Mantenimiento preventivo saneamiento Llodio</v>
          </cell>
          <cell r="I526" t="str">
            <v>Mantenimiento preventivo saneamiento Llodio</v>
          </cell>
          <cell r="J526" t="str">
            <v>Llodio</v>
          </cell>
          <cell r="M526" t="str">
            <v/>
          </cell>
          <cell r="N526" t="str">
            <v/>
          </cell>
          <cell r="O526" t="b">
            <v>1</v>
          </cell>
          <cell r="P526" t="str">
            <v/>
          </cell>
          <cell r="Q526">
            <v>1</v>
          </cell>
          <cell r="R526">
            <v>1</v>
          </cell>
        </row>
        <row r="527">
          <cell r="B527" t="str">
            <v>Distribución</v>
          </cell>
          <cell r="C527">
            <v>1</v>
          </cell>
          <cell r="E527" t="str">
            <v>OT/0376</v>
          </cell>
          <cell r="F527">
            <v>45933</v>
          </cell>
          <cell r="G527">
            <v>45934</v>
          </cell>
          <cell r="H527" t="str">
            <v>Reparación de fuga en Erbi</v>
          </cell>
          <cell r="I527" t="str">
            <v>Reparación de fuga en Erbi</v>
          </cell>
          <cell r="J527" t="str">
            <v>Erbi</v>
          </cell>
          <cell r="M527">
            <v>43.072037999999999</v>
          </cell>
          <cell r="N527">
            <v>-3.1161469999999998</v>
          </cell>
          <cell r="O527" t="b">
            <v>1</v>
          </cell>
          <cell r="P527" t="str">
            <v/>
          </cell>
          <cell r="Q527">
            <v>1</v>
          </cell>
          <cell r="R527">
            <v>1</v>
          </cell>
          <cell r="S527">
            <v>1</v>
          </cell>
        </row>
        <row r="528">
          <cell r="B528" t="str">
            <v>Distribución</v>
          </cell>
          <cell r="C528">
            <v>1</v>
          </cell>
          <cell r="E528" t="str">
            <v>OT/0377</v>
          </cell>
          <cell r="F528">
            <v>45932</v>
          </cell>
          <cell r="G528">
            <v>45959</v>
          </cell>
          <cell r="H528" t="str">
            <v>Fuga en vías del tren de Edar en Alegría</v>
          </cell>
          <cell r="I528" t="str">
            <v>Fuga en vías del tren de Edar en Alegría</v>
          </cell>
          <cell r="J528" t="str">
            <v>Alegría</v>
          </cell>
          <cell r="M528">
            <v>42.848764000000003</v>
          </cell>
          <cell r="N528">
            <v>-2.5137260000000001</v>
          </cell>
          <cell r="O528" t="b">
            <v>1</v>
          </cell>
          <cell r="P528" t="str">
            <v/>
          </cell>
          <cell r="Q528">
            <v>3</v>
          </cell>
          <cell r="R528">
            <v>3</v>
          </cell>
          <cell r="S528">
            <v>1</v>
          </cell>
        </row>
        <row r="529">
          <cell r="B529" t="str">
            <v>Saneamiento</v>
          </cell>
          <cell r="C529">
            <v>1</v>
          </cell>
          <cell r="E529" t="str">
            <v>OT/0378</v>
          </cell>
          <cell r="F529">
            <v>45934</v>
          </cell>
          <cell r="G529">
            <v>45934</v>
          </cell>
          <cell r="H529" t="str">
            <v>Desatasco en Murga en la campa</v>
          </cell>
          <cell r="I529" t="str">
            <v>Desatasco en Murga en la campa</v>
          </cell>
          <cell r="J529" t="str">
            <v>Murga</v>
          </cell>
          <cell r="M529">
            <v>43.079734999999999</v>
          </cell>
          <cell r="N529">
            <v>-3.02196</v>
          </cell>
          <cell r="O529" t="b">
            <v>1</v>
          </cell>
          <cell r="P529" t="str">
            <v/>
          </cell>
          <cell r="Q529">
            <v>1</v>
          </cell>
          <cell r="R529">
            <v>1</v>
          </cell>
          <cell r="S529">
            <v>2</v>
          </cell>
        </row>
        <row r="530">
          <cell r="B530" t="str">
            <v>Distribución</v>
          </cell>
          <cell r="C530">
            <v>1</v>
          </cell>
          <cell r="E530" t="str">
            <v>OT/0379</v>
          </cell>
          <cell r="F530">
            <v>45933</v>
          </cell>
          <cell r="G530">
            <v>45934</v>
          </cell>
          <cell r="H530" t="str">
            <v>Fuga en Artziniega en Barrataguren</v>
          </cell>
          <cell r="I530" t="str">
            <v>Fuga en Artziniega en Barrataguren</v>
          </cell>
          <cell r="J530" t="str">
            <v>Artziniega</v>
          </cell>
          <cell r="M530">
            <v>43.138241999999998</v>
          </cell>
          <cell r="N530">
            <v>-3.1127319999999998</v>
          </cell>
          <cell r="O530" t="b">
            <v>1</v>
          </cell>
          <cell r="P530" t="str">
            <v/>
          </cell>
          <cell r="Q530">
            <v>1</v>
          </cell>
          <cell r="R530">
            <v>1</v>
          </cell>
          <cell r="S530">
            <v>1</v>
          </cell>
        </row>
        <row r="531">
          <cell r="B531" t="str">
            <v>Distribución</v>
          </cell>
          <cell r="C531">
            <v>1</v>
          </cell>
          <cell r="E531" t="str">
            <v>OT/0380</v>
          </cell>
          <cell r="F531">
            <v>45936</v>
          </cell>
          <cell r="G531">
            <v>45937</v>
          </cell>
          <cell r="H531" t="str">
            <v>Fuga en Espejo C/La Iglesia n11</v>
          </cell>
          <cell r="I531" t="str">
            <v>Fuga en Espejo C/La Iglesia n11</v>
          </cell>
          <cell r="J531" t="str">
            <v>Espejo</v>
          </cell>
          <cell r="M531">
            <v>42.808605999999997</v>
          </cell>
          <cell r="N531">
            <v>-3.049674</v>
          </cell>
          <cell r="O531" t="b">
            <v>1</v>
          </cell>
          <cell r="P531" t="str">
            <v/>
          </cell>
          <cell r="Q531">
            <v>5</v>
          </cell>
          <cell r="R531">
            <v>5</v>
          </cell>
          <cell r="S531">
            <v>1</v>
          </cell>
        </row>
        <row r="532">
          <cell r="B532" t="str">
            <v>Distribución</v>
          </cell>
          <cell r="C532">
            <v>2</v>
          </cell>
          <cell r="D532">
            <v>7</v>
          </cell>
          <cell r="E532" t="str">
            <v>TP/0247</v>
          </cell>
          <cell r="F532">
            <v>45930</v>
          </cell>
          <cell r="G532">
            <v>45930</v>
          </cell>
          <cell r="H532" t="str">
            <v>Localizacion de fugas en Llodio</v>
          </cell>
          <cell r="I532" t="str">
            <v>Localizacion de fugas en Llodio</v>
          </cell>
          <cell r="J532" t="str">
            <v>Llodio</v>
          </cell>
          <cell r="M532" t="str">
            <v/>
          </cell>
          <cell r="N532" t="str">
            <v/>
          </cell>
          <cell r="O532" t="b">
            <v>1</v>
          </cell>
          <cell r="P532" t="str">
            <v/>
          </cell>
          <cell r="Q532">
            <v>1</v>
          </cell>
          <cell r="R532">
            <v>1</v>
          </cell>
          <cell r="S532">
            <v>1</v>
          </cell>
        </row>
        <row r="533">
          <cell r="B533" t="str">
            <v>Distribución</v>
          </cell>
          <cell r="C533">
            <v>1</v>
          </cell>
          <cell r="E533" t="str">
            <v>OT/0381</v>
          </cell>
          <cell r="F533">
            <v>45936</v>
          </cell>
          <cell r="G533">
            <v>45937</v>
          </cell>
          <cell r="H533" t="str">
            <v>Fuga en Larrinbe</v>
          </cell>
          <cell r="I533" t="str">
            <v>Fuga en Larrinbe</v>
          </cell>
          <cell r="J533" t="str">
            <v>Larrinbe</v>
          </cell>
          <cell r="M533">
            <v>43.038108000000001</v>
          </cell>
          <cell r="N533">
            <v>-2.978011</v>
          </cell>
          <cell r="O533" t="b">
            <v>1</v>
          </cell>
          <cell r="P533" t="str">
            <v/>
          </cell>
          <cell r="Q533">
            <v>1</v>
          </cell>
          <cell r="R533">
            <v>1</v>
          </cell>
          <cell r="S533">
            <v>1</v>
          </cell>
        </row>
        <row r="534">
          <cell r="B534" t="str">
            <v>Distribución</v>
          </cell>
          <cell r="C534">
            <v>1</v>
          </cell>
          <cell r="E534" t="str">
            <v>OT/0382</v>
          </cell>
          <cell r="F534">
            <v>45933</v>
          </cell>
          <cell r="G534">
            <v>45938</v>
          </cell>
          <cell r="H534" t="str">
            <v>Reparación de fuga en Agurain C/Zadorra n33</v>
          </cell>
          <cell r="I534" t="str">
            <v>Reparación de fuga en Agurain C/Zadorra n33</v>
          </cell>
          <cell r="J534" t="str">
            <v>Agurain</v>
          </cell>
          <cell r="M534">
            <v>42.854613000000001</v>
          </cell>
          <cell r="N534">
            <v>-2.3904450000000002</v>
          </cell>
          <cell r="O534" t="b">
            <v>1</v>
          </cell>
          <cell r="P534" t="str">
            <v>JOSEBA E IÑIGO</v>
          </cell>
          <cell r="Q534">
            <v>3</v>
          </cell>
          <cell r="R534">
            <v>3</v>
          </cell>
          <cell r="S534">
            <v>1</v>
          </cell>
        </row>
        <row r="535">
          <cell r="B535" t="str">
            <v>Distribución</v>
          </cell>
          <cell r="C535">
            <v>2</v>
          </cell>
          <cell r="D535">
            <v>9</v>
          </cell>
          <cell r="E535" t="str">
            <v>TP/0248</v>
          </cell>
          <cell r="F535">
            <v>45932</v>
          </cell>
          <cell r="G535">
            <v>45932</v>
          </cell>
          <cell r="H535" t="str">
            <v>Desistalación de contador en Agurain C/Entzia n7</v>
          </cell>
          <cell r="I535" t="str">
            <v>Desistalación de contador en Agurain C/Entzia n7</v>
          </cell>
          <cell r="J535" t="str">
            <v>Agurain</v>
          </cell>
          <cell r="M535">
            <v>42.848011</v>
          </cell>
          <cell r="N535">
            <v>-2.3914879999999998</v>
          </cell>
          <cell r="O535" t="b">
            <v>1</v>
          </cell>
          <cell r="P535" t="str">
            <v>KERMAN</v>
          </cell>
          <cell r="Q535">
            <v>3</v>
          </cell>
          <cell r="R535">
            <v>3</v>
          </cell>
        </row>
        <row r="536">
          <cell r="B536" t="str">
            <v>Saneamiento</v>
          </cell>
          <cell r="C536">
            <v>2</v>
          </cell>
          <cell r="D536">
            <v>1</v>
          </cell>
          <cell r="E536" t="str">
            <v>TP/0249</v>
          </cell>
          <cell r="F536">
            <v>45932</v>
          </cell>
          <cell r="G536">
            <v>45933</v>
          </cell>
          <cell r="H536" t="str">
            <v>Desatasco en parque de C/Urzabal en Agurain</v>
          </cell>
          <cell r="I536" t="str">
            <v>Desatasco en parque de C/Urzabal en Agurain</v>
          </cell>
          <cell r="J536" t="str">
            <v>Agurain</v>
          </cell>
          <cell r="M536">
            <v>42.848472000000001</v>
          </cell>
          <cell r="N536">
            <v>-2.3907020000000001</v>
          </cell>
          <cell r="O536" t="b">
            <v>1</v>
          </cell>
          <cell r="P536" t="str">
            <v>EMILIO</v>
          </cell>
          <cell r="Q536">
            <v>3</v>
          </cell>
          <cell r="R536">
            <v>3</v>
          </cell>
          <cell r="S536">
            <v>2</v>
          </cell>
        </row>
        <row r="537">
          <cell r="B537" t="str">
            <v>Distribución</v>
          </cell>
          <cell r="C537">
            <v>2</v>
          </cell>
          <cell r="D537">
            <v>9</v>
          </cell>
          <cell r="E537" t="str">
            <v>TP/0250</v>
          </cell>
          <cell r="F537">
            <v>45932</v>
          </cell>
          <cell r="G537">
            <v>45932</v>
          </cell>
          <cell r="H537" t="str">
            <v>Retirada de contador C/Mayor n B (kontrasta)</v>
          </cell>
          <cell r="I537" t="str">
            <v>Retirada de contador C/Mayor n B (kontrasta)</v>
          </cell>
          <cell r="J537" t="str">
            <v>Kontrasta</v>
          </cell>
          <cell r="M537">
            <v>42.771026999999997</v>
          </cell>
          <cell r="N537">
            <v>-2.2958769999999999</v>
          </cell>
          <cell r="O537" t="b">
            <v>1</v>
          </cell>
          <cell r="P537" t="str">
            <v>KERMAN</v>
          </cell>
          <cell r="Q537">
            <v>6</v>
          </cell>
          <cell r="R537">
            <v>6</v>
          </cell>
        </row>
        <row r="538">
          <cell r="B538" t="str">
            <v>Distribución</v>
          </cell>
          <cell r="C538">
            <v>2</v>
          </cell>
          <cell r="D538">
            <v>10</v>
          </cell>
          <cell r="E538" t="str">
            <v>TP/0251</v>
          </cell>
          <cell r="F538">
            <v>45932</v>
          </cell>
          <cell r="G538">
            <v>45932</v>
          </cell>
          <cell r="H538" t="str">
            <v>Cambio de contador en Añua Bidea n11 en Alegria</v>
          </cell>
          <cell r="I538" t="str">
            <v>Cambio de contador en Añua Bidea n11 en Alegria</v>
          </cell>
          <cell r="J538" t="str">
            <v>Alegría</v>
          </cell>
          <cell r="M538">
            <v>42.839629000000002</v>
          </cell>
          <cell r="N538">
            <v>-2.5140560000000001</v>
          </cell>
          <cell r="O538" t="b">
            <v>1</v>
          </cell>
          <cell r="P538" t="str">
            <v>KERMAN</v>
          </cell>
          <cell r="Q538">
            <v>3</v>
          </cell>
          <cell r="R538">
            <v>3</v>
          </cell>
        </row>
        <row r="539">
          <cell r="B539" t="str">
            <v>Saneamiento</v>
          </cell>
          <cell r="C539">
            <v>2</v>
          </cell>
          <cell r="D539">
            <v>1</v>
          </cell>
          <cell r="E539" t="str">
            <v>TP/0252</v>
          </cell>
          <cell r="F539">
            <v>45936</v>
          </cell>
          <cell r="G539">
            <v>45936</v>
          </cell>
          <cell r="H539" t="str">
            <v>Mantenimiento preventivo saneamiento C/Urzabal en Agurain</v>
          </cell>
          <cell r="I539" t="str">
            <v>Mantenimiento preventivo saneamiento C/Urzabal en Agurain</v>
          </cell>
          <cell r="J539" t="str">
            <v>Agurain</v>
          </cell>
          <cell r="M539">
            <v>42.848553000000003</v>
          </cell>
          <cell r="N539">
            <v>-2.3907600000000002</v>
          </cell>
          <cell r="O539" t="b">
            <v>1</v>
          </cell>
          <cell r="P539" t="str">
            <v>EMILIO</v>
          </cell>
          <cell r="Q539">
            <v>3</v>
          </cell>
          <cell r="R539">
            <v>3</v>
          </cell>
        </row>
        <row r="540">
          <cell r="B540" t="str">
            <v>Distribución</v>
          </cell>
          <cell r="C540">
            <v>1</v>
          </cell>
          <cell r="E540" t="str">
            <v>OT/0383</v>
          </cell>
          <cell r="F540">
            <v>45932</v>
          </cell>
          <cell r="G540">
            <v>45938</v>
          </cell>
          <cell r="H540" t="str">
            <v>Conexión nueva tubería y VRP (Bergantza)</v>
          </cell>
          <cell r="I540" t="str">
            <v>Conexión nueva tubería y VRP (Bergantza)</v>
          </cell>
          <cell r="J540" t="str">
            <v>Berganza</v>
          </cell>
          <cell r="M540">
            <v>43.057099000000001</v>
          </cell>
          <cell r="N540">
            <v>-2.9321380000000001</v>
          </cell>
          <cell r="O540" t="b">
            <v>1</v>
          </cell>
          <cell r="P540" t="str">
            <v>MIGUEL Y ANGEL</v>
          </cell>
          <cell r="Q540">
            <v>1</v>
          </cell>
          <cell r="R540">
            <v>1</v>
          </cell>
          <cell r="S540">
            <v>3</v>
          </cell>
        </row>
        <row r="541">
          <cell r="B541" t="str">
            <v>Distribución</v>
          </cell>
          <cell r="C541">
            <v>1</v>
          </cell>
          <cell r="E541" t="str">
            <v>OT/0384</v>
          </cell>
          <cell r="F541">
            <v>45931</v>
          </cell>
          <cell r="G541">
            <v>45932</v>
          </cell>
          <cell r="H541" t="str">
            <v>Fuga en acometida en Alegria C/Ursuleta n2</v>
          </cell>
          <cell r="I541" t="str">
            <v>Fuga en acometida en Alegria C/Ursuleta n2</v>
          </cell>
          <cell r="J541" t="str">
            <v>Alegría</v>
          </cell>
          <cell r="M541">
            <v>42.844119999999997</v>
          </cell>
          <cell r="N541">
            <v>-2.512686</v>
          </cell>
          <cell r="O541" t="b">
            <v>1</v>
          </cell>
          <cell r="P541" t="str">
            <v>JOSEBA Y RAFHIR</v>
          </cell>
          <cell r="Q541">
            <v>3</v>
          </cell>
          <cell r="R541">
            <v>3</v>
          </cell>
          <cell r="S541">
            <v>1</v>
          </cell>
        </row>
        <row r="542">
          <cell r="B542" t="str">
            <v>Distribución</v>
          </cell>
          <cell r="C542">
            <v>1</v>
          </cell>
          <cell r="E542" t="str">
            <v>OT/0385</v>
          </cell>
          <cell r="F542">
            <v>45931</v>
          </cell>
          <cell r="G542">
            <v>45931</v>
          </cell>
          <cell r="H542" t="str">
            <v>Aviso de fuga en Zubiaur n3 (Llodio)</v>
          </cell>
          <cell r="I542" t="str">
            <v>Aviso de fuga en Zubiaur n3 (Llodio)</v>
          </cell>
          <cell r="J542" t="str">
            <v>Llodio</v>
          </cell>
          <cell r="M542">
            <v>43.140611</v>
          </cell>
          <cell r="N542">
            <v>-2.9637039999999999</v>
          </cell>
          <cell r="O542" t="b">
            <v>1</v>
          </cell>
          <cell r="P542" t="str">
            <v>TOMAS</v>
          </cell>
          <cell r="Q542">
            <v>1</v>
          </cell>
          <cell r="R542">
            <v>1</v>
          </cell>
          <cell r="S542">
            <v>1</v>
          </cell>
        </row>
        <row r="543">
          <cell r="B543" t="str">
            <v>Distribución</v>
          </cell>
          <cell r="C543">
            <v>1</v>
          </cell>
          <cell r="E543" t="str">
            <v>OT/0386</v>
          </cell>
          <cell r="F543">
            <v>45932</v>
          </cell>
          <cell r="G543">
            <v>45932</v>
          </cell>
          <cell r="H543" t="str">
            <v>Atendemos llamada de falta de agua en Agurain C/Mayor n24</v>
          </cell>
          <cell r="I543" t="str">
            <v>Atendemos llamada de falta de agua en Agurain C/Mayor n24</v>
          </cell>
          <cell r="J543" t="str">
            <v>Agurain</v>
          </cell>
          <cell r="M543">
            <v>42.850999999999999</v>
          </cell>
          <cell r="N543">
            <v>-2.3891300000000002</v>
          </cell>
          <cell r="O543" t="b">
            <v>1</v>
          </cell>
          <cell r="P543" t="str">
            <v>EDUARDO Y BEÑAT</v>
          </cell>
          <cell r="Q543">
            <v>3</v>
          </cell>
          <cell r="R543">
            <v>3</v>
          </cell>
          <cell r="S543">
            <v>3</v>
          </cell>
        </row>
        <row r="544">
          <cell r="B544" t="str">
            <v>Distribución</v>
          </cell>
          <cell r="C544">
            <v>1</v>
          </cell>
          <cell r="E544" t="str">
            <v>OT/0387</v>
          </cell>
          <cell r="F544">
            <v>45932</v>
          </cell>
          <cell r="G544">
            <v>45939</v>
          </cell>
          <cell r="H544" t="str">
            <v>Reparación de fuga en Atxarte n8 (Llodio)</v>
          </cell>
          <cell r="I544" t="str">
            <v>Reparación de fuga en Atxarte n8 (Llodio)</v>
          </cell>
          <cell r="J544" t="str">
            <v>Llodio</v>
          </cell>
          <cell r="M544">
            <v>43.148282000000002</v>
          </cell>
          <cell r="N544">
            <v>-2.9463780000000002</v>
          </cell>
          <cell r="O544" t="b">
            <v>1</v>
          </cell>
          <cell r="P544" t="str">
            <v>TOMAS,IÑIGO,BEÑAT,JAGOBA,ZOVITA,MIGUEL,EMILO,ANGEL</v>
          </cell>
          <cell r="Q544">
            <v>1</v>
          </cell>
          <cell r="R544">
            <v>1</v>
          </cell>
          <cell r="S544">
            <v>1</v>
          </cell>
        </row>
        <row r="545">
          <cell r="B545" t="str">
            <v>Distribución</v>
          </cell>
          <cell r="C545">
            <v>2</v>
          </cell>
          <cell r="D545">
            <v>8</v>
          </cell>
          <cell r="E545" t="str">
            <v>TP/0252</v>
          </cell>
          <cell r="F545">
            <v>45932</v>
          </cell>
          <cell r="G545">
            <v>45932</v>
          </cell>
          <cell r="H545" t="str">
            <v>Instalación de contador en C/Batzalarrim n8 (Llodio)</v>
          </cell>
          <cell r="I545" t="str">
            <v>Instalación de contador en C/Batzalarrim n8 (Llodio)</v>
          </cell>
          <cell r="J545" t="str">
            <v>Llodio</v>
          </cell>
          <cell r="M545">
            <v>43.142359999999996</v>
          </cell>
          <cell r="N545">
            <v>-2.9630070000000002</v>
          </cell>
          <cell r="O545" t="b">
            <v>1</v>
          </cell>
          <cell r="P545" t="str">
            <v>TOMAS</v>
          </cell>
          <cell r="Q545">
            <v>1</v>
          </cell>
          <cell r="R545">
            <v>1</v>
          </cell>
        </row>
        <row r="546">
          <cell r="B546" t="str">
            <v>Distribución</v>
          </cell>
          <cell r="C546">
            <v>2</v>
          </cell>
          <cell r="D546">
            <v>7</v>
          </cell>
          <cell r="E546" t="str">
            <v>TP/0253</v>
          </cell>
          <cell r="F546">
            <v>45932</v>
          </cell>
          <cell r="G546">
            <v>45932</v>
          </cell>
          <cell r="H546" t="str">
            <v>Localización de toma pirata en C/Zumalakarregui n50 (Llodio)</v>
          </cell>
          <cell r="I546" t="str">
            <v>Localización de toma pirata en C/Zumalakarregui n50 (Llodio)</v>
          </cell>
          <cell r="J546" t="str">
            <v>Llodio</v>
          </cell>
          <cell r="M546">
            <v>43.141630999999997</v>
          </cell>
          <cell r="N546">
            <v>-2.9645160000000002</v>
          </cell>
          <cell r="O546" t="b">
            <v>1</v>
          </cell>
          <cell r="P546" t="str">
            <v>TOMAS</v>
          </cell>
          <cell r="Q546">
            <v>1</v>
          </cell>
          <cell r="R546">
            <v>1</v>
          </cell>
        </row>
        <row r="547">
          <cell r="B547" t="str">
            <v>Distribución</v>
          </cell>
          <cell r="C547">
            <v>2</v>
          </cell>
          <cell r="D547">
            <v>13</v>
          </cell>
          <cell r="E547" t="str">
            <v>TP/0254</v>
          </cell>
          <cell r="F547">
            <v>45933</v>
          </cell>
          <cell r="G547">
            <v>45946</v>
          </cell>
          <cell r="H547" t="str">
            <v>Toma de datos para obras y servicios Alegría</v>
          </cell>
          <cell r="I547" t="str">
            <v>Toma de datos para obras y servicios Alegría</v>
          </cell>
          <cell r="J547" t="str">
            <v>Alegría</v>
          </cell>
          <cell r="M547" t="str">
            <v/>
          </cell>
          <cell r="N547" t="str">
            <v/>
          </cell>
          <cell r="O547" t="b">
            <v>1</v>
          </cell>
          <cell r="P547" t="str">
            <v>ENEKO</v>
          </cell>
          <cell r="Q547">
            <v>3</v>
          </cell>
          <cell r="R547">
            <v>3</v>
          </cell>
        </row>
        <row r="548">
          <cell r="B548" t="str">
            <v>Saneamiento</v>
          </cell>
          <cell r="C548">
            <v>1</v>
          </cell>
          <cell r="E548" t="str">
            <v>OT/0388</v>
          </cell>
          <cell r="F548">
            <v>45935</v>
          </cell>
          <cell r="G548">
            <v>45935</v>
          </cell>
          <cell r="H548" t="str">
            <v>Atasco en Llanteno en Barrio Petiz</v>
          </cell>
          <cell r="I548" t="str">
            <v>Atasco en Llanteno en Barrio Petiz</v>
          </cell>
          <cell r="J548" t="str">
            <v>Llanteno</v>
          </cell>
          <cell r="M548">
            <v>43.109146000000003</v>
          </cell>
          <cell r="N548">
            <v>-3.097283</v>
          </cell>
          <cell r="O548" t="b">
            <v>1</v>
          </cell>
          <cell r="P548" t="str">
            <v>V</v>
          </cell>
          <cell r="Q548">
            <v>1</v>
          </cell>
          <cell r="R548">
            <v>1</v>
          </cell>
          <cell r="S548">
            <v>2</v>
          </cell>
        </row>
        <row r="549">
          <cell r="B549" t="str">
            <v>Distribución</v>
          </cell>
          <cell r="C549">
            <v>2</v>
          </cell>
          <cell r="D549">
            <v>17</v>
          </cell>
          <cell r="E549" t="str">
            <v>TP/0255</v>
          </cell>
          <cell r="F549">
            <v>45935</v>
          </cell>
          <cell r="G549">
            <v>45935</v>
          </cell>
          <cell r="H549" t="str">
            <v>Limpieza en red Artziniega</v>
          </cell>
          <cell r="I549" t="str">
            <v>Limpieza en red Artziniega</v>
          </cell>
          <cell r="J549" t="str">
            <v>Artziniega</v>
          </cell>
          <cell r="M549" t="str">
            <v/>
          </cell>
          <cell r="N549" t="str">
            <v/>
          </cell>
          <cell r="O549" t="b">
            <v>1</v>
          </cell>
          <cell r="P549" t="str">
            <v>V</v>
          </cell>
          <cell r="Q549">
            <v>1</v>
          </cell>
          <cell r="R549">
            <v>1</v>
          </cell>
        </row>
        <row r="550">
          <cell r="B550" t="str">
            <v>Distribución</v>
          </cell>
          <cell r="C550">
            <v>2</v>
          </cell>
          <cell r="D550">
            <v>12</v>
          </cell>
          <cell r="E550" t="str">
            <v>TP/0256</v>
          </cell>
          <cell r="F550">
            <v>45935</v>
          </cell>
          <cell r="G550">
            <v>45935</v>
          </cell>
          <cell r="H550" t="str">
            <v>Corte de Agua Luiando  (Las Vegas)</v>
          </cell>
          <cell r="I550" t="str">
            <v>Corte de Agua Luyando (Las Vegas)</v>
          </cell>
          <cell r="J550" t="str">
            <v>Luiando</v>
          </cell>
          <cell r="M550">
            <v>43.105145999999998</v>
          </cell>
          <cell r="N550">
            <v>-2.9968149999999998</v>
          </cell>
          <cell r="O550" t="b">
            <v>1</v>
          </cell>
          <cell r="P550" t="str">
            <v>V</v>
          </cell>
          <cell r="Q550">
            <v>1</v>
          </cell>
          <cell r="R550">
            <v>1</v>
          </cell>
        </row>
        <row r="551">
          <cell r="B551" t="str">
            <v>Distribución</v>
          </cell>
          <cell r="C551">
            <v>2</v>
          </cell>
          <cell r="D551">
            <v>17</v>
          </cell>
          <cell r="E551" t="str">
            <v>TP/0257</v>
          </cell>
          <cell r="F551">
            <v>45935</v>
          </cell>
          <cell r="G551">
            <v>45935</v>
          </cell>
          <cell r="H551" t="str">
            <v>Limpieza de red Luiando</v>
          </cell>
          <cell r="I551" t="str">
            <v>Limpieza de red Luiando</v>
          </cell>
          <cell r="J551" t="str">
            <v>Luiando</v>
          </cell>
          <cell r="M551" t="str">
            <v/>
          </cell>
          <cell r="N551" t="str">
            <v/>
          </cell>
          <cell r="O551" t="b">
            <v>1</v>
          </cell>
          <cell r="P551" t="str">
            <v>V</v>
          </cell>
          <cell r="Q551">
            <v>1</v>
          </cell>
          <cell r="R551">
            <v>1</v>
          </cell>
        </row>
        <row r="552">
          <cell r="B552" t="str">
            <v>Distribución</v>
          </cell>
          <cell r="C552">
            <v>1</v>
          </cell>
          <cell r="E552" t="str">
            <v>OT/0389</v>
          </cell>
          <cell r="F552">
            <v>45937</v>
          </cell>
          <cell r="G552">
            <v>45937</v>
          </cell>
          <cell r="H552" t="str">
            <v>Reparación de fuga en Arraño (Llodio)</v>
          </cell>
          <cell r="I552" t="str">
            <v>Reparación de fuga en Arraño (Llodio)</v>
          </cell>
          <cell r="J552" t="str">
            <v>Llodio</v>
          </cell>
          <cell r="M552">
            <v>43.147441999999998</v>
          </cell>
          <cell r="N552">
            <v>-2.9756629999999999</v>
          </cell>
          <cell r="O552" t="b">
            <v>1</v>
          </cell>
          <cell r="P552" t="str">
            <v>MIGUEL Y ANGEL</v>
          </cell>
          <cell r="Q552">
            <v>1</v>
          </cell>
          <cell r="R552">
            <v>1</v>
          </cell>
          <cell r="S552">
            <v>1</v>
          </cell>
        </row>
        <row r="553">
          <cell r="B553" t="str">
            <v>Distribución</v>
          </cell>
          <cell r="C553">
            <v>1</v>
          </cell>
          <cell r="E553" t="str">
            <v>OT/0390</v>
          </cell>
          <cell r="F553">
            <v>45936</v>
          </cell>
          <cell r="G553">
            <v>45938</v>
          </cell>
          <cell r="H553" t="str">
            <v>Reparación de fuga en Isasi n32 (Llodio)</v>
          </cell>
          <cell r="I553" t="str">
            <v>Reparación de fuga en Isasi n32 (Llodio)</v>
          </cell>
          <cell r="J553" t="str">
            <v>Llodio</v>
          </cell>
          <cell r="M553">
            <v>43.151944999999998</v>
          </cell>
          <cell r="N553">
            <v>-2.9725269999999999</v>
          </cell>
          <cell r="O553" t="b">
            <v>1</v>
          </cell>
          <cell r="P553" t="str">
            <v>TOMAS,IÑIGO,JAGOBA,MIGUEL,EMILIO,ZOVITA,RAFNIR</v>
          </cell>
          <cell r="Q553">
            <v>1</v>
          </cell>
          <cell r="R553">
            <v>1</v>
          </cell>
          <cell r="S553">
            <v>1</v>
          </cell>
        </row>
        <row r="554">
          <cell r="B554" t="str">
            <v>Saneamiento</v>
          </cell>
          <cell r="C554">
            <v>1</v>
          </cell>
          <cell r="E554" t="str">
            <v>OT/0391</v>
          </cell>
          <cell r="F554">
            <v>45937</v>
          </cell>
          <cell r="G554">
            <v>45937</v>
          </cell>
          <cell r="H554" t="str">
            <v>Desatasco saneamiento en C/Solana en Zambrana</v>
          </cell>
          <cell r="I554" t="str">
            <v>Desatasco saneamiento en C/Solana en Zambrana</v>
          </cell>
          <cell r="J554" t="str">
            <v>Zambrana</v>
          </cell>
          <cell r="M554">
            <v>42.660471999999999</v>
          </cell>
          <cell r="N554">
            <v>-2.878625</v>
          </cell>
          <cell r="O554" t="b">
            <v>1</v>
          </cell>
          <cell r="P554" t="str">
            <v>EDU,EMILIO,KERMAN</v>
          </cell>
          <cell r="Q554">
            <v>5</v>
          </cell>
          <cell r="R554">
            <v>5</v>
          </cell>
          <cell r="S554">
            <v>2</v>
          </cell>
        </row>
        <row r="555">
          <cell r="B555" t="str">
            <v>Distribución</v>
          </cell>
          <cell r="C555">
            <v>1</v>
          </cell>
          <cell r="E555" t="str">
            <v>OT/0392</v>
          </cell>
          <cell r="F555">
            <v>45937</v>
          </cell>
          <cell r="G555">
            <v>45937</v>
          </cell>
          <cell r="H555" t="str">
            <v>Aviso por fuga en Larrazabal n2 (Llodio)</v>
          </cell>
          <cell r="I555" t="str">
            <v>Aviso por fuga en Larrazabal n2 (Llodio)</v>
          </cell>
          <cell r="J555" t="str">
            <v>Llodio</v>
          </cell>
          <cell r="M555">
            <v>43.140835699999997</v>
          </cell>
          <cell r="N555">
            <v>-2.9791306</v>
          </cell>
          <cell r="O555" t="b">
            <v>1</v>
          </cell>
          <cell r="P555" t="str">
            <v>TOMAS E IÑIGO</v>
          </cell>
          <cell r="Q555">
            <v>1</v>
          </cell>
          <cell r="R555">
            <v>1</v>
          </cell>
          <cell r="S555">
            <v>1</v>
          </cell>
        </row>
        <row r="556">
          <cell r="B556" t="str">
            <v>Saneamiento</v>
          </cell>
          <cell r="C556">
            <v>2</v>
          </cell>
          <cell r="D556">
            <v>1</v>
          </cell>
          <cell r="E556" t="str">
            <v>TP/0258</v>
          </cell>
          <cell r="F556">
            <v>45937</v>
          </cell>
          <cell r="G556">
            <v>45937</v>
          </cell>
          <cell r="H556" t="str">
            <v>Mantenimiento preventivo en Plaza Estación (Alegría)</v>
          </cell>
          <cell r="I556" t="str">
            <v>Mantenimiento preventivo en Plaza Estación (Alegría)</v>
          </cell>
          <cell r="J556" t="str">
            <v>Llodio</v>
          </cell>
          <cell r="M556">
            <v>42.848793999999998</v>
          </cell>
          <cell r="N556">
            <v>-2.514262</v>
          </cell>
          <cell r="O556" t="b">
            <v>1</v>
          </cell>
          <cell r="P556" t="str">
            <v>EMILIO Y KERMAN</v>
          </cell>
          <cell r="Q556">
            <v>1</v>
          </cell>
          <cell r="R556">
            <v>1</v>
          </cell>
        </row>
        <row r="557">
          <cell r="B557" t="str">
            <v>Depuración</v>
          </cell>
          <cell r="C557">
            <v>2</v>
          </cell>
          <cell r="D557">
            <v>7</v>
          </cell>
          <cell r="E557" t="str">
            <v>TP/0259</v>
          </cell>
          <cell r="F557">
            <v>45937</v>
          </cell>
          <cell r="G557">
            <v>45937</v>
          </cell>
          <cell r="H557" t="str">
            <v>Revisión de fosas septicas cuencas mediterraneas</v>
          </cell>
          <cell r="I557" t="str">
            <v>Revisión de fosas septicas cuencas mediterraneas</v>
          </cell>
          <cell r="J557" t="str">
            <v>Cuencas Mediterraneas</v>
          </cell>
          <cell r="M557" t="str">
            <v/>
          </cell>
          <cell r="N557" t="str">
            <v/>
          </cell>
          <cell r="O557" t="b">
            <v>1</v>
          </cell>
          <cell r="P557" t="str">
            <v>ENEKO</v>
          </cell>
          <cell r="Q557">
            <v>3</v>
          </cell>
          <cell r="R557">
            <v>3</v>
          </cell>
        </row>
        <row r="558">
          <cell r="B558" t="str">
            <v>Distribución</v>
          </cell>
          <cell r="C558">
            <v>1</v>
          </cell>
          <cell r="E558" t="str">
            <v>OT/0393</v>
          </cell>
          <cell r="F558">
            <v>45937</v>
          </cell>
          <cell r="G558">
            <v>45937</v>
          </cell>
          <cell r="H558" t="str">
            <v>Fuga en C/San Jorge n1 en Gazeta</v>
          </cell>
          <cell r="I558" t="str">
            <v>Fuga en C/San Jorge n1 en Gazeta</v>
          </cell>
          <cell r="J558" t="str">
            <v>Gazeta</v>
          </cell>
          <cell r="M558">
            <v>42.844486000000003</v>
          </cell>
          <cell r="N558">
            <v>-2.5379510000000001</v>
          </cell>
          <cell r="O558" t="b">
            <v>1</v>
          </cell>
          <cell r="P558" t="str">
            <v>V</v>
          </cell>
          <cell r="Q558">
            <v>3</v>
          </cell>
          <cell r="R558">
            <v>3</v>
          </cell>
          <cell r="S558">
            <v>1</v>
          </cell>
        </row>
        <row r="559">
          <cell r="B559" t="str">
            <v>Distribución</v>
          </cell>
          <cell r="C559">
            <v>1</v>
          </cell>
          <cell r="E559" t="str">
            <v>OT/0394</v>
          </cell>
          <cell r="F559">
            <v>45937</v>
          </cell>
          <cell r="G559">
            <v>45938</v>
          </cell>
          <cell r="H559" t="str">
            <v>Fuga en Santacoloma (Artziniega)</v>
          </cell>
          <cell r="I559" t="str">
            <v>Fuga en Santacoloma (Artziniega)</v>
          </cell>
          <cell r="J559" t="str">
            <v>Artziniega</v>
          </cell>
          <cell r="M559">
            <v>43.138170000000002</v>
          </cell>
          <cell r="N559">
            <v>-3.15801</v>
          </cell>
          <cell r="O559" t="b">
            <v>1</v>
          </cell>
          <cell r="P559" t="str">
            <v>V</v>
          </cell>
          <cell r="Q559">
            <v>1</v>
          </cell>
          <cell r="R559">
            <v>1</v>
          </cell>
          <cell r="S559">
            <v>1</v>
          </cell>
        </row>
        <row r="560">
          <cell r="B560" t="str">
            <v>Distribución</v>
          </cell>
          <cell r="C560">
            <v>2</v>
          </cell>
          <cell r="D560">
            <v>12</v>
          </cell>
          <cell r="E560" t="str">
            <v>TP/0260</v>
          </cell>
          <cell r="F560">
            <v>45937</v>
          </cell>
          <cell r="G560">
            <v>45937</v>
          </cell>
          <cell r="H560" t="str">
            <v>Corte de agua en C/Jose Madinabeitia (Amurrio)</v>
          </cell>
          <cell r="I560" t="str">
            <v>Corte de agua en C/Jose Madinabeitia (Amurrio)</v>
          </cell>
          <cell r="J560" t="str">
            <v>Amurrio</v>
          </cell>
          <cell r="M560">
            <v>43.053944999999999</v>
          </cell>
          <cell r="N560">
            <v>-3.001862</v>
          </cell>
          <cell r="O560" t="b">
            <v>1</v>
          </cell>
          <cell r="P560" t="str">
            <v>V</v>
          </cell>
          <cell r="Q560">
            <v>1</v>
          </cell>
          <cell r="R560">
            <v>1</v>
          </cell>
        </row>
        <row r="561">
          <cell r="B561" t="str">
            <v>Saneamiento</v>
          </cell>
          <cell r="C561">
            <v>1</v>
          </cell>
          <cell r="E561" t="str">
            <v>OT/0395</v>
          </cell>
          <cell r="F561">
            <v>45938</v>
          </cell>
          <cell r="G561">
            <v>45938</v>
          </cell>
          <cell r="H561" t="str">
            <v>Descubrir tapa de saneamiento en Alegría</v>
          </cell>
          <cell r="I561" t="str">
            <v>Descubrir tapa de saneamiento en Alegría</v>
          </cell>
          <cell r="J561" t="str">
            <v>Alegría</v>
          </cell>
          <cell r="M561">
            <v>42.849389000000002</v>
          </cell>
          <cell r="N561">
            <v>-2.5133070000000002</v>
          </cell>
          <cell r="O561" t="b">
            <v>1</v>
          </cell>
          <cell r="P561" t="str">
            <v>EDUARDO</v>
          </cell>
          <cell r="Q561">
            <v>3</v>
          </cell>
          <cell r="R561">
            <v>3</v>
          </cell>
          <cell r="S561">
            <v>3</v>
          </cell>
        </row>
        <row r="562">
          <cell r="B562" t="str">
            <v>Distribución</v>
          </cell>
          <cell r="C562">
            <v>1</v>
          </cell>
          <cell r="E562" t="str">
            <v>OT/0396</v>
          </cell>
          <cell r="F562">
            <v>45938</v>
          </cell>
          <cell r="G562">
            <v>45938</v>
          </cell>
          <cell r="H562" t="str">
            <v>Reparación de tubo en Agurain</v>
          </cell>
          <cell r="I562" t="str">
            <v>Reparación de tubo en Agurain</v>
          </cell>
          <cell r="J562" t="str">
            <v>Agurain</v>
          </cell>
          <cell r="M562">
            <v>42.849761999999998</v>
          </cell>
          <cell r="N562">
            <v>-2.3904299999999998</v>
          </cell>
          <cell r="O562" t="b">
            <v>1</v>
          </cell>
          <cell r="P562" t="str">
            <v>EDUARDO</v>
          </cell>
          <cell r="Q562">
            <v>3</v>
          </cell>
          <cell r="R562">
            <v>3</v>
          </cell>
          <cell r="S562">
            <v>3</v>
          </cell>
        </row>
        <row r="563">
          <cell r="B563" t="str">
            <v>Saneamiento</v>
          </cell>
          <cell r="C563">
            <v>1</v>
          </cell>
          <cell r="E563" t="str">
            <v>OT/0397</v>
          </cell>
          <cell r="F563">
            <v>45938</v>
          </cell>
          <cell r="G563">
            <v>45944</v>
          </cell>
          <cell r="H563" t="str">
            <v>Reparación en saneamiento Raíces-parque Aniturri (Agurain)</v>
          </cell>
          <cell r="I563" t="str">
            <v>Reparación en saneamiento Raíces-parque Aniturri (Agurain)</v>
          </cell>
          <cell r="J563" t="str">
            <v>Agurain</v>
          </cell>
          <cell r="M563">
            <v>42.849761999999998</v>
          </cell>
          <cell r="N563">
            <v>-2.3904299999999998</v>
          </cell>
          <cell r="O563" t="b">
            <v>1</v>
          </cell>
          <cell r="P563" t="str">
            <v>BEÑAT,ZOVITA,RAFNIR</v>
          </cell>
          <cell r="Q563">
            <v>3</v>
          </cell>
          <cell r="R563">
            <v>3</v>
          </cell>
          <cell r="S563">
            <v>3</v>
          </cell>
        </row>
        <row r="564">
          <cell r="B564" t="str">
            <v>Distribución</v>
          </cell>
          <cell r="C564">
            <v>2</v>
          </cell>
          <cell r="D564">
            <v>8</v>
          </cell>
          <cell r="E564" t="str">
            <v>TP/0261</v>
          </cell>
          <cell r="F564">
            <v>45938</v>
          </cell>
          <cell r="G564">
            <v>45938</v>
          </cell>
          <cell r="H564" t="str">
            <v>Instalación de contador en Lateorro n 2 (Llodio)</v>
          </cell>
          <cell r="I564" t="str">
            <v>Instalación de contador en Lateorro n 2 (Llodio)</v>
          </cell>
          <cell r="J564" t="str">
            <v>Llodio</v>
          </cell>
          <cell r="M564">
            <v>43.137760999999998</v>
          </cell>
          <cell r="N564">
            <v>-2.9633449999999999</v>
          </cell>
          <cell r="O564" t="b">
            <v>1</v>
          </cell>
          <cell r="P564" t="str">
            <v>IÑIGO</v>
          </cell>
          <cell r="Q564">
            <v>1</v>
          </cell>
          <cell r="R564">
            <v>1</v>
          </cell>
        </row>
        <row r="565">
          <cell r="B565" t="str">
            <v>Distribución</v>
          </cell>
          <cell r="C565">
            <v>2</v>
          </cell>
          <cell r="D565">
            <v>8</v>
          </cell>
          <cell r="E565" t="str">
            <v>TP/0262</v>
          </cell>
          <cell r="F565">
            <v>45938</v>
          </cell>
          <cell r="G565">
            <v>45938</v>
          </cell>
          <cell r="H565" t="str">
            <v>Instalación de contador en C/Padura n39 en Luiando</v>
          </cell>
          <cell r="I565" t="str">
            <v>Instalación de contador en C/Padura n39 en Luiando</v>
          </cell>
          <cell r="J565" t="str">
            <v>Luiando</v>
          </cell>
          <cell r="M565">
            <v>43.095363999999996</v>
          </cell>
          <cell r="N565">
            <v>-3.0012189999999999</v>
          </cell>
          <cell r="O565" t="b">
            <v>1</v>
          </cell>
          <cell r="P565" t="str">
            <v>IÑIGO</v>
          </cell>
          <cell r="Q565">
            <v>1</v>
          </cell>
          <cell r="R565">
            <v>1</v>
          </cell>
        </row>
        <row r="566">
          <cell r="B566" t="str">
            <v>Distribución</v>
          </cell>
          <cell r="C566">
            <v>2</v>
          </cell>
          <cell r="D566">
            <v>13</v>
          </cell>
          <cell r="E566" t="str">
            <v>TP/0263</v>
          </cell>
          <cell r="F566">
            <v>45938</v>
          </cell>
          <cell r="G566">
            <v>45938</v>
          </cell>
          <cell r="H566" t="str">
            <v>Asistencia técnica a Ayto Llodio para obra ambulatorio</v>
          </cell>
          <cell r="I566" t="str">
            <v>Asistencia técnica a Ayto Llodio para obra ambulatorio</v>
          </cell>
          <cell r="J566" t="str">
            <v>Llodio</v>
          </cell>
          <cell r="M566">
            <v>43.140844999999999</v>
          </cell>
          <cell r="N566">
            <v>-2.9595359999999999</v>
          </cell>
          <cell r="O566" t="b">
            <v>1</v>
          </cell>
          <cell r="P566" t="str">
            <v>TOMAS</v>
          </cell>
          <cell r="Q566">
            <v>1</v>
          </cell>
          <cell r="R566">
            <v>1</v>
          </cell>
        </row>
        <row r="567">
          <cell r="B567" t="str">
            <v>Distribución</v>
          </cell>
          <cell r="C567">
            <v>2</v>
          </cell>
          <cell r="D567">
            <v>7</v>
          </cell>
          <cell r="E567" t="str">
            <v>TP/0264</v>
          </cell>
          <cell r="F567">
            <v>45938</v>
          </cell>
          <cell r="G567">
            <v>45938</v>
          </cell>
          <cell r="H567" t="str">
            <v>Localización de fugas, restablecimiento en Sector Isasi (Llodio)</v>
          </cell>
          <cell r="I567" t="str">
            <v>Localización de fugas, restablecimiento en Sector Isasi (Llodio)</v>
          </cell>
          <cell r="J567" t="str">
            <v>Llodio</v>
          </cell>
          <cell r="M567">
            <v>43.151079000000003</v>
          </cell>
          <cell r="N567">
            <v>-2.9727380999999999</v>
          </cell>
          <cell r="O567" t="b">
            <v>1</v>
          </cell>
          <cell r="P567" t="str">
            <v>TOMAS</v>
          </cell>
          <cell r="Q567">
            <v>1</v>
          </cell>
          <cell r="R567">
            <v>1</v>
          </cell>
          <cell r="S567">
            <v>1</v>
          </cell>
        </row>
        <row r="568">
          <cell r="B568" t="str">
            <v>Distribución</v>
          </cell>
          <cell r="C568">
            <v>2</v>
          </cell>
          <cell r="D568">
            <v>8</v>
          </cell>
          <cell r="E568" t="str">
            <v>TP/0265</v>
          </cell>
          <cell r="F568">
            <v>45938</v>
          </cell>
          <cell r="G568">
            <v>45938</v>
          </cell>
          <cell r="H568" t="str">
            <v>Instalación de contador en Zumalakarregui n48 (Clarel)(Llodio)</v>
          </cell>
          <cell r="I568" t="str">
            <v>Instalación de contador en Zumalakarregui n48 (Clarel)(Llodio)</v>
          </cell>
          <cell r="J568" t="str">
            <v>Llodio</v>
          </cell>
          <cell r="M568">
            <v>43.141630999999997</v>
          </cell>
          <cell r="N568">
            <v>-2.9645160000000002</v>
          </cell>
          <cell r="O568" t="b">
            <v>1</v>
          </cell>
          <cell r="P568" t="str">
            <v>TOMAS</v>
          </cell>
          <cell r="Q568">
            <v>1</v>
          </cell>
          <cell r="R568">
            <v>1</v>
          </cell>
        </row>
        <row r="569">
          <cell r="B569" t="str">
            <v>Distribución</v>
          </cell>
          <cell r="C569">
            <v>2</v>
          </cell>
          <cell r="D569">
            <v>8</v>
          </cell>
          <cell r="E569" t="str">
            <v>TP/0266</v>
          </cell>
          <cell r="F569">
            <v>45940</v>
          </cell>
          <cell r="G569">
            <v>45940</v>
          </cell>
          <cell r="H569" t="str">
            <v>Instalación de contador en Irukurutzeta n19 (Llodio)</v>
          </cell>
          <cell r="I569" t="str">
            <v>Instalación de contador en Irukurutzeta n19 (Llodio)</v>
          </cell>
          <cell r="J569" t="str">
            <v>Llodio</v>
          </cell>
          <cell r="M569">
            <v>43.135160999999997</v>
          </cell>
          <cell r="N569">
            <v>-2.9685139999999999</v>
          </cell>
          <cell r="O569" t="b">
            <v>1</v>
          </cell>
          <cell r="P569" t="str">
            <v>TOMAS</v>
          </cell>
          <cell r="Q569">
            <v>1</v>
          </cell>
          <cell r="R569">
            <v>1</v>
          </cell>
        </row>
        <row r="570">
          <cell r="B570" t="str">
            <v>Distribución</v>
          </cell>
          <cell r="C570">
            <v>2</v>
          </cell>
          <cell r="D570">
            <v>10</v>
          </cell>
          <cell r="E570" t="str">
            <v>TP/0267</v>
          </cell>
          <cell r="F570">
            <v>45939</v>
          </cell>
          <cell r="G570">
            <v>45939</v>
          </cell>
          <cell r="H570" t="str">
            <v>Sustitución contador en Pol.Salbarte (Talcer S.L) en Alda</v>
          </cell>
          <cell r="I570" t="str">
            <v>Sustitución contador en Pol.Salbarte (Talcer S.L) en Alda</v>
          </cell>
          <cell r="J570" t="str">
            <v>Alda</v>
          </cell>
          <cell r="M570">
            <v>42.750463000000003</v>
          </cell>
          <cell r="N570">
            <v>-2.3443179999999999</v>
          </cell>
          <cell r="O570" t="b">
            <v>1</v>
          </cell>
          <cell r="P570" t="str">
            <v>TOMAS</v>
          </cell>
          <cell r="Q570">
            <v>6</v>
          </cell>
          <cell r="R570">
            <v>6</v>
          </cell>
        </row>
        <row r="571">
          <cell r="B571" t="str">
            <v>Distribución</v>
          </cell>
          <cell r="C571">
            <v>2</v>
          </cell>
          <cell r="D571">
            <v>8</v>
          </cell>
          <cell r="E571" t="str">
            <v>TP/0268</v>
          </cell>
          <cell r="F571">
            <v>45939</v>
          </cell>
          <cell r="G571">
            <v>45939</v>
          </cell>
          <cell r="H571" t="str">
            <v>Instalación de contador en Gauna n66</v>
          </cell>
          <cell r="I571" t="str">
            <v>Instalación de contador en Gauna n66</v>
          </cell>
          <cell r="J571" t="str">
            <v>Gauna</v>
          </cell>
          <cell r="M571">
            <v>42.825707999999999</v>
          </cell>
          <cell r="N571">
            <v>-2.493293</v>
          </cell>
          <cell r="O571" t="b">
            <v>1</v>
          </cell>
          <cell r="P571" t="str">
            <v>IÑIGO</v>
          </cell>
          <cell r="Q571">
            <v>3</v>
          </cell>
          <cell r="R571">
            <v>3</v>
          </cell>
        </row>
        <row r="572">
          <cell r="B572" t="str">
            <v>Distribución</v>
          </cell>
          <cell r="C572">
            <v>2</v>
          </cell>
          <cell r="D572">
            <v>19</v>
          </cell>
          <cell r="E572" t="str">
            <v>TP/0269</v>
          </cell>
          <cell r="F572">
            <v>45939</v>
          </cell>
          <cell r="G572">
            <v>45939</v>
          </cell>
          <cell r="H572" t="str">
            <v>Sustitución de contador en Edar San Vicente Arana C/Virgen de Uralde S/N</v>
          </cell>
          <cell r="I572" t="str">
            <v>Sustitución de contador en San Vicente C/Virgen de Uralde S/N</v>
          </cell>
          <cell r="J572" t="str">
            <v>San Vicente de Arana</v>
          </cell>
          <cell r="M572">
            <v>42.736573</v>
          </cell>
          <cell r="N572">
            <v>-2.361599</v>
          </cell>
          <cell r="O572" t="b">
            <v>1</v>
          </cell>
          <cell r="P572" t="str">
            <v>TOMAS E IÑIGO</v>
          </cell>
          <cell r="Q572">
            <v>6</v>
          </cell>
          <cell r="R572">
            <v>6</v>
          </cell>
        </row>
        <row r="573">
          <cell r="B573" t="str">
            <v>Distribución</v>
          </cell>
          <cell r="C573">
            <v>2</v>
          </cell>
          <cell r="D573">
            <v>8</v>
          </cell>
          <cell r="E573" t="str">
            <v>TP/0270</v>
          </cell>
          <cell r="F573">
            <v>45938</v>
          </cell>
          <cell r="G573">
            <v>45938</v>
          </cell>
          <cell r="H573" t="str">
            <v>Instalación contador en C/Pintor Jose Arrue en (Llodio)</v>
          </cell>
          <cell r="I573" t="str">
            <v>Instalación contador en  C/Pintor Jose Arrue en (Llodio)</v>
          </cell>
          <cell r="J573" t="str">
            <v>Llodio</v>
          </cell>
          <cell r="M573">
            <v>43.145560000000003</v>
          </cell>
          <cell r="N573">
            <v>-2.9595039999999999</v>
          </cell>
          <cell r="O573" t="b">
            <v>1</v>
          </cell>
          <cell r="P573" t="str">
            <v>IÑIGO</v>
          </cell>
          <cell r="Q573">
            <v>1</v>
          </cell>
          <cell r="R573">
            <v>1</v>
          </cell>
        </row>
        <row r="574">
          <cell r="B574" t="str">
            <v>Saneamiento</v>
          </cell>
          <cell r="C574">
            <v>2</v>
          </cell>
          <cell r="D574">
            <v>7</v>
          </cell>
          <cell r="E574" t="str">
            <v>TP/0271</v>
          </cell>
          <cell r="F574">
            <v>45938</v>
          </cell>
          <cell r="G574">
            <v>45938</v>
          </cell>
          <cell r="H574" t="str">
            <v>Recoger información en campo de las redes de saneamiento (Alegría)</v>
          </cell>
          <cell r="I574" t="str">
            <v>Recoger información en campo de las redes de pluviales en saneamiento (Alegría)</v>
          </cell>
          <cell r="J574" t="str">
            <v>Alegría</v>
          </cell>
          <cell r="M574" t="str">
            <v/>
          </cell>
          <cell r="N574" t="str">
            <v/>
          </cell>
          <cell r="O574" t="b">
            <v>1</v>
          </cell>
          <cell r="P574" t="str">
            <v>ENEKO</v>
          </cell>
          <cell r="Q574">
            <v>3</v>
          </cell>
          <cell r="R574">
            <v>3</v>
          </cell>
        </row>
        <row r="575">
          <cell r="B575" t="str">
            <v>Distribución</v>
          </cell>
          <cell r="C575">
            <v>1</v>
          </cell>
          <cell r="E575" t="str">
            <v>OT/0398</v>
          </cell>
          <cell r="F575">
            <v>45938</v>
          </cell>
          <cell r="G575">
            <v>45939</v>
          </cell>
          <cell r="H575" t="str">
            <v>Reparación de fuga en Iturriaga n2 (Llodio)</v>
          </cell>
          <cell r="I575" t="str">
            <v>Reparación de fuga en Iturriaga n2 (Llodio)</v>
          </cell>
          <cell r="J575" t="str">
            <v>Llodio</v>
          </cell>
          <cell r="M575">
            <v>43.146545000000003</v>
          </cell>
          <cell r="N575">
            <v>-2.9680179999999998</v>
          </cell>
          <cell r="O575" t="b">
            <v>1</v>
          </cell>
          <cell r="P575" t="str">
            <v>TOMAS,RAFNIR,IÑIGO,ZOUITA</v>
          </cell>
          <cell r="Q575">
            <v>1</v>
          </cell>
          <cell r="R575">
            <v>1</v>
          </cell>
          <cell r="S575">
            <v>1</v>
          </cell>
        </row>
        <row r="576">
          <cell r="B576" t="str">
            <v>Depuración</v>
          </cell>
          <cell r="C576">
            <v>2</v>
          </cell>
          <cell r="D576">
            <v>23</v>
          </cell>
          <cell r="E576" t="str">
            <v>TP/0272</v>
          </cell>
          <cell r="F576">
            <v>45939</v>
          </cell>
          <cell r="G576">
            <v>45939</v>
          </cell>
          <cell r="H576" t="str">
            <v>Limpieza Tamices en Onsoño,Añes,Kostera,Madaria,Aguiñiga,Lejarzo etc…</v>
          </cell>
          <cell r="I576" t="str">
            <v>Limpieza Tamices en Onsoño,Añes,Kostera,Madaria,Aguiñiga,Lejarzo etc…</v>
          </cell>
          <cell r="J576" t="str">
            <v>Añes</v>
          </cell>
          <cell r="M576" t="str">
            <v/>
          </cell>
          <cell r="N576" t="str">
            <v/>
          </cell>
          <cell r="O576" t="b">
            <v>1</v>
          </cell>
          <cell r="P576" t="str">
            <v>V</v>
          </cell>
          <cell r="Q576">
            <v>1</v>
          </cell>
          <cell r="R576">
            <v>1</v>
          </cell>
        </row>
        <row r="577">
          <cell r="B577" t="str">
            <v>Saneamiento</v>
          </cell>
          <cell r="C577">
            <v>1</v>
          </cell>
          <cell r="E577" t="str">
            <v>OT/0399</v>
          </cell>
          <cell r="F577">
            <v>45940</v>
          </cell>
          <cell r="G577">
            <v>45940</v>
          </cell>
          <cell r="H577" t="str">
            <v>Atasco en Anucita n33</v>
          </cell>
          <cell r="I577" t="str">
            <v>Atasco en Anucita n33</v>
          </cell>
          <cell r="J577" t="str">
            <v>Anucita</v>
          </cell>
          <cell r="M577">
            <v>42.801459999999999</v>
          </cell>
          <cell r="N577">
            <v>-2.8991730000000002</v>
          </cell>
          <cell r="O577" t="b">
            <v>1</v>
          </cell>
          <cell r="P577" t="str">
            <v>KERMAN E IÑIGO</v>
          </cell>
          <cell r="Q577">
            <v>5</v>
          </cell>
          <cell r="R577">
            <v>5</v>
          </cell>
          <cell r="S577">
            <v>2</v>
          </cell>
        </row>
        <row r="578">
          <cell r="B578" t="str">
            <v>Distribución</v>
          </cell>
          <cell r="C578">
            <v>2</v>
          </cell>
          <cell r="D578">
            <v>13</v>
          </cell>
          <cell r="E578" t="str">
            <v>TP/0273</v>
          </cell>
          <cell r="F578">
            <v>45939</v>
          </cell>
          <cell r="G578">
            <v>45939</v>
          </cell>
          <cell r="H578" t="str">
            <v>Asistencia técnica a Urbide (Alegría)</v>
          </cell>
          <cell r="I578" t="str">
            <v>Asistencia técnica a Urbide (Alegría)</v>
          </cell>
          <cell r="J578" t="str">
            <v>Alegría</v>
          </cell>
          <cell r="M578" t="str">
            <v/>
          </cell>
          <cell r="N578" t="str">
            <v/>
          </cell>
          <cell r="O578" t="b">
            <v>1</v>
          </cell>
          <cell r="P578" t="str">
            <v>V</v>
          </cell>
          <cell r="Q578">
            <v>3</v>
          </cell>
          <cell r="R578">
            <v>3</v>
          </cell>
        </row>
        <row r="579">
          <cell r="B579" t="str">
            <v>Saneamiento</v>
          </cell>
          <cell r="C579">
            <v>2</v>
          </cell>
          <cell r="D579">
            <v>1</v>
          </cell>
          <cell r="E579" t="str">
            <v>TP/0274</v>
          </cell>
          <cell r="F579">
            <v>45939</v>
          </cell>
          <cell r="G579">
            <v>45939</v>
          </cell>
          <cell r="H579" t="str">
            <v>Mantenimiento preventivo saneamiento C/Aniturri y parque (Agurain)</v>
          </cell>
          <cell r="I579" t="str">
            <v>Mantenimiento preventivo saneamiento C/Aniturri y parque (Agurain)</v>
          </cell>
          <cell r="J579" t="str">
            <v>Agurain</v>
          </cell>
          <cell r="M579">
            <v>42.849812999999997</v>
          </cell>
          <cell r="N579">
            <v>-2.3905449999999999</v>
          </cell>
          <cell r="O579" t="b">
            <v>1</v>
          </cell>
          <cell r="P579" t="str">
            <v>EMILIO,MIGUEL</v>
          </cell>
          <cell r="Q579">
            <v>3</v>
          </cell>
          <cell r="R579">
            <v>3</v>
          </cell>
        </row>
        <row r="580">
          <cell r="B580" t="str">
            <v>Aducción</v>
          </cell>
          <cell r="C580">
            <v>2</v>
          </cell>
          <cell r="D580">
            <v>2</v>
          </cell>
          <cell r="E580" t="str">
            <v>TP/0275</v>
          </cell>
          <cell r="F580">
            <v>45940</v>
          </cell>
          <cell r="G580">
            <v>45940</v>
          </cell>
          <cell r="H580" t="str">
            <v>Limpieza de captaciones en Aiaraldea</v>
          </cell>
          <cell r="I580" t="str">
            <v>Limpieza de captaciones en Aiaraldea</v>
          </cell>
          <cell r="J580" t="str">
            <v>Aiaraldea</v>
          </cell>
          <cell r="M580" t="str">
            <v/>
          </cell>
          <cell r="N580" t="str">
            <v/>
          </cell>
          <cell r="O580" t="b">
            <v>1</v>
          </cell>
          <cell r="P580" t="str">
            <v>V</v>
          </cell>
          <cell r="Q580">
            <v>1</v>
          </cell>
          <cell r="R580">
            <v>1</v>
          </cell>
        </row>
        <row r="581">
          <cell r="B581" t="str">
            <v>Distribución</v>
          </cell>
          <cell r="C581">
            <v>1</v>
          </cell>
          <cell r="E581" t="str">
            <v>OT/0400</v>
          </cell>
          <cell r="F581">
            <v>45940</v>
          </cell>
          <cell r="G581">
            <v>45940</v>
          </cell>
          <cell r="H581" t="str">
            <v>Fuga en Puentelarra C/San Nicolás</v>
          </cell>
          <cell r="I581" t="str">
            <v>Fuga en Puentelarra  C/San Nicolás</v>
          </cell>
          <cell r="J581" t="str">
            <v>Puentelarra</v>
          </cell>
          <cell r="M581">
            <v>42.751275999999997</v>
          </cell>
          <cell r="N581">
            <v>-3.0480879999999999</v>
          </cell>
          <cell r="O581" t="b">
            <v>1</v>
          </cell>
          <cell r="P581" t="str">
            <v>V</v>
          </cell>
          <cell r="Q581">
            <v>5</v>
          </cell>
          <cell r="R581">
            <v>5</v>
          </cell>
          <cell r="S581">
            <v>1</v>
          </cell>
        </row>
        <row r="582">
          <cell r="B582" t="str">
            <v>Saneamiento</v>
          </cell>
          <cell r="C582">
            <v>1</v>
          </cell>
          <cell r="E582" t="str">
            <v>OT/0401</v>
          </cell>
          <cell r="F582">
            <v>45940</v>
          </cell>
          <cell r="G582">
            <v>45940</v>
          </cell>
          <cell r="H582" t="str">
            <v>Desatasco tubería Landako (Amurrio)</v>
          </cell>
          <cell r="I582" t="str">
            <v>Desatasco tubería Landako (Amurrio)</v>
          </cell>
          <cell r="J582" t="str">
            <v>Amurrio</v>
          </cell>
          <cell r="M582">
            <v>43.051673999999998</v>
          </cell>
          <cell r="N582">
            <v>-2.9966659999999998</v>
          </cell>
          <cell r="O582" t="b">
            <v>1</v>
          </cell>
          <cell r="P582" t="str">
            <v>V</v>
          </cell>
          <cell r="Q582">
            <v>1</v>
          </cell>
          <cell r="R582">
            <v>1</v>
          </cell>
          <cell r="S582">
            <v>2</v>
          </cell>
        </row>
        <row r="583">
          <cell r="B583" t="str">
            <v>Distribución</v>
          </cell>
          <cell r="C583">
            <v>1</v>
          </cell>
          <cell r="E583" t="str">
            <v>OT/0402</v>
          </cell>
          <cell r="F583">
            <v>45940</v>
          </cell>
          <cell r="G583">
            <v>45940</v>
          </cell>
          <cell r="H583" t="str">
            <v>Reparación de fuga en Amurrio ( edificio policia municipal)</v>
          </cell>
          <cell r="I583" t="str">
            <v>Reparación de fuga en Amurrio ( edificio policia municipal)</v>
          </cell>
          <cell r="J583" t="str">
            <v>Amurrio</v>
          </cell>
          <cell r="M583">
            <v>43.051169999999999</v>
          </cell>
          <cell r="N583">
            <v>-3.0023200000000001</v>
          </cell>
          <cell r="O583" t="b">
            <v>1</v>
          </cell>
          <cell r="P583" t="str">
            <v>MIGUEL</v>
          </cell>
          <cell r="Q583">
            <v>1</v>
          </cell>
          <cell r="R583">
            <v>1</v>
          </cell>
          <cell r="S583">
            <v>1</v>
          </cell>
        </row>
        <row r="584">
          <cell r="B584" t="str">
            <v>Distribución</v>
          </cell>
          <cell r="C584">
            <v>1</v>
          </cell>
          <cell r="E584" t="str">
            <v>OT/0403</v>
          </cell>
          <cell r="F584">
            <v>45941</v>
          </cell>
          <cell r="G584">
            <v>45941</v>
          </cell>
          <cell r="H584" t="str">
            <v>Fuga Esquina Abajo en Respaldiza</v>
          </cell>
          <cell r="I584" t="str">
            <v>Fuga Esquina Abajo en Respaldiza</v>
          </cell>
          <cell r="J584" t="str">
            <v>Respaldiza</v>
          </cell>
          <cell r="M584">
            <v>43.087223999999999</v>
          </cell>
          <cell r="N584">
            <v>-3.0435340000000002</v>
          </cell>
          <cell r="O584" t="b">
            <v>1</v>
          </cell>
          <cell r="P584" t="str">
            <v>V</v>
          </cell>
          <cell r="Q584">
            <v>1</v>
          </cell>
          <cell r="R584">
            <v>1</v>
          </cell>
          <cell r="S584">
            <v>1</v>
          </cell>
        </row>
        <row r="585">
          <cell r="B585" t="str">
            <v>Distribución</v>
          </cell>
          <cell r="C585">
            <v>1</v>
          </cell>
          <cell r="E585" t="str">
            <v>OT/0404</v>
          </cell>
          <cell r="F585">
            <v>45941</v>
          </cell>
          <cell r="G585">
            <v>45941</v>
          </cell>
          <cell r="H585" t="str">
            <v>Abonado sin agua en Artziniega C/Sandolla</v>
          </cell>
          <cell r="I585" t="str">
            <v>Abonado sin agua en Artziniega C/Sandolla</v>
          </cell>
          <cell r="J585" t="str">
            <v>Artziniega</v>
          </cell>
          <cell r="M585">
            <v>43.123508000000001</v>
          </cell>
          <cell r="N585">
            <v>-3.1358389999999998</v>
          </cell>
          <cell r="O585" t="b">
            <v>1</v>
          </cell>
          <cell r="P585" t="str">
            <v>V</v>
          </cell>
          <cell r="Q585">
            <v>1</v>
          </cell>
          <cell r="R585">
            <v>1</v>
          </cell>
          <cell r="S585">
            <v>3</v>
          </cell>
        </row>
        <row r="586">
          <cell r="B586" t="str">
            <v>Distribución</v>
          </cell>
          <cell r="C586">
            <v>1</v>
          </cell>
          <cell r="E586" t="str">
            <v>OT/0405</v>
          </cell>
          <cell r="F586">
            <v>45957</v>
          </cell>
          <cell r="G586">
            <v>45958</v>
          </cell>
          <cell r="H586" t="str">
            <v>Reparación de fuga en Estabillo C/Mavilla</v>
          </cell>
          <cell r="I586" t="str">
            <v>Reparación de fuga en Estabillo C/Mavilla</v>
          </cell>
          <cell r="J586" t="str">
            <v>Estabillo</v>
          </cell>
          <cell r="M586">
            <v>42.729137999999999</v>
          </cell>
          <cell r="N586">
            <v>-2.8579690000000002</v>
          </cell>
          <cell r="O586" t="b">
            <v>1</v>
          </cell>
          <cell r="P586" t="str">
            <v>V</v>
          </cell>
          <cell r="Q586">
            <v>5</v>
          </cell>
          <cell r="R586">
            <v>5</v>
          </cell>
          <cell r="S586">
            <v>1</v>
          </cell>
        </row>
        <row r="587">
          <cell r="B587" t="str">
            <v>Saneamiento</v>
          </cell>
          <cell r="C587">
            <v>1</v>
          </cell>
          <cell r="E587" t="str">
            <v>OT/0406</v>
          </cell>
          <cell r="F587">
            <v>45942</v>
          </cell>
          <cell r="G587">
            <v>45942</v>
          </cell>
          <cell r="H587" t="str">
            <v>Atasco en Oreitia</v>
          </cell>
          <cell r="I587" t="str">
            <v>Atasco en Oreitia</v>
          </cell>
          <cell r="J587" t="str">
            <v>Oreitia</v>
          </cell>
          <cell r="M587">
            <v>42.858034000000004</v>
          </cell>
          <cell r="N587">
            <v>-2.5573450000000002</v>
          </cell>
          <cell r="O587" t="b">
            <v>1</v>
          </cell>
          <cell r="P587" t="str">
            <v>V</v>
          </cell>
          <cell r="Q587">
            <v>9</v>
          </cell>
          <cell r="R587">
            <v>9</v>
          </cell>
          <cell r="S587">
            <v>2</v>
          </cell>
        </row>
        <row r="588">
          <cell r="B588" t="str">
            <v>Depuración</v>
          </cell>
          <cell r="C588">
            <v>2</v>
          </cell>
          <cell r="D588">
            <v>3</v>
          </cell>
          <cell r="E588" t="str">
            <v>TP/0276</v>
          </cell>
          <cell r="F588">
            <v>45943</v>
          </cell>
          <cell r="G588">
            <v>45943</v>
          </cell>
          <cell r="H588" t="str">
            <v>Limpieza de Fosas Sépticas en Opakua y Agurain</v>
          </cell>
          <cell r="I588" t="str">
            <v>Limpieza de Fosas Sépticas en Opakua y Agurain</v>
          </cell>
          <cell r="J588" t="str">
            <v>Agurain</v>
          </cell>
          <cell r="M588">
            <v>42.827806000000002</v>
          </cell>
          <cell r="N588">
            <v>-2.3579439999999998</v>
          </cell>
          <cell r="O588" t="b">
            <v>1</v>
          </cell>
          <cell r="P588" t="str">
            <v>EMILIO Y ANGEL</v>
          </cell>
          <cell r="Q588">
            <v>3</v>
          </cell>
          <cell r="R588">
            <v>3</v>
          </cell>
        </row>
        <row r="589">
          <cell r="B589" t="str">
            <v>Saneamiento</v>
          </cell>
          <cell r="C589">
            <v>1</v>
          </cell>
          <cell r="E589" t="str">
            <v>OT/0408</v>
          </cell>
          <cell r="F589">
            <v>45943</v>
          </cell>
          <cell r="G589">
            <v>45943</v>
          </cell>
          <cell r="H589" t="str">
            <v>Desatasco Urbanización Axpe en Artziniega</v>
          </cell>
          <cell r="I589" t="str">
            <v>Desatasco Urbanización Axpe en Artziniega</v>
          </cell>
          <cell r="J589" t="str">
            <v>Artziniega</v>
          </cell>
          <cell r="M589">
            <v>43.119607000000002</v>
          </cell>
          <cell r="N589">
            <v>-3.1344970000000001</v>
          </cell>
          <cell r="O589" t="b">
            <v>1</v>
          </cell>
          <cell r="P589" t="str">
            <v>MIGUEL KERMAN</v>
          </cell>
          <cell r="Q589">
            <v>1</v>
          </cell>
          <cell r="R589">
            <v>1</v>
          </cell>
          <cell r="S589">
            <v>2</v>
          </cell>
        </row>
        <row r="590">
          <cell r="B590" t="str">
            <v>Distribución</v>
          </cell>
          <cell r="C590">
            <v>1</v>
          </cell>
          <cell r="E590" t="str">
            <v>OT/0409</v>
          </cell>
          <cell r="F590">
            <v>45943</v>
          </cell>
          <cell r="G590">
            <v>45943</v>
          </cell>
          <cell r="H590" t="str">
            <v>Comprobar presión en contador en C/Sandolla n18 en Artziniega</v>
          </cell>
          <cell r="I590" t="str">
            <v>Comprobar presión en contador en C/Sandolla n18 en Artziniega</v>
          </cell>
          <cell r="J590" t="str">
            <v>Artziniega</v>
          </cell>
          <cell r="M590">
            <v>43.124040000000001</v>
          </cell>
          <cell r="N590">
            <v>-3.1347900000000002</v>
          </cell>
          <cell r="O590" t="b">
            <v>1</v>
          </cell>
          <cell r="P590" t="str">
            <v>MIGUEL KERMAN</v>
          </cell>
          <cell r="Q590">
            <v>1</v>
          </cell>
          <cell r="R590">
            <v>1</v>
          </cell>
          <cell r="S590">
            <v>3</v>
          </cell>
        </row>
        <row r="591">
          <cell r="B591" t="str">
            <v>Distribución</v>
          </cell>
          <cell r="C591">
            <v>1</v>
          </cell>
          <cell r="E591" t="str">
            <v>OT/0410</v>
          </cell>
          <cell r="F591">
            <v>45943</v>
          </cell>
          <cell r="G591">
            <v>45943</v>
          </cell>
          <cell r="H591" t="str">
            <v>Fuga en C/Dionisio Aldama n2 en Amurrio</v>
          </cell>
          <cell r="I591" t="str">
            <v>Fuga en C/Dionisio Aldama n2 en Amurrio</v>
          </cell>
          <cell r="J591" t="str">
            <v>Amurrio</v>
          </cell>
          <cell r="M591">
            <v>43.050866999999997</v>
          </cell>
          <cell r="N591">
            <v>-3.000813</v>
          </cell>
          <cell r="O591" t="b">
            <v>1</v>
          </cell>
          <cell r="P591" t="str">
            <v>MIGUEL KERMAN</v>
          </cell>
          <cell r="Q591">
            <v>1</v>
          </cell>
          <cell r="R591">
            <v>1</v>
          </cell>
          <cell r="S591">
            <v>1</v>
          </cell>
        </row>
        <row r="592">
          <cell r="B592" t="str">
            <v>Aducción</v>
          </cell>
          <cell r="C592">
            <v>1</v>
          </cell>
          <cell r="E592" t="str">
            <v>OT/0411</v>
          </cell>
          <cell r="F592">
            <v>45943</v>
          </cell>
          <cell r="G592">
            <v>45944</v>
          </cell>
          <cell r="H592" t="str">
            <v>Fuga en Lejarzo</v>
          </cell>
          <cell r="I592" t="str">
            <v>Fuga en Lejarzo</v>
          </cell>
          <cell r="J592" t="str">
            <v>Lejarzo</v>
          </cell>
          <cell r="M592">
            <v>43.056569000000003</v>
          </cell>
          <cell r="N592">
            <v>-3.12121</v>
          </cell>
          <cell r="O592" t="b">
            <v>1</v>
          </cell>
          <cell r="P592" t="str">
            <v>MIGUEL KERMAN</v>
          </cell>
          <cell r="Q592">
            <v>1</v>
          </cell>
          <cell r="R592">
            <v>1</v>
          </cell>
          <cell r="S592">
            <v>1</v>
          </cell>
        </row>
        <row r="593">
          <cell r="B593" t="str">
            <v>Distribución</v>
          </cell>
          <cell r="C593">
            <v>1</v>
          </cell>
          <cell r="E593" t="str">
            <v>OT/0412</v>
          </cell>
          <cell r="F593">
            <v>45943</v>
          </cell>
          <cell r="G593">
            <v>45944</v>
          </cell>
          <cell r="H593" t="str">
            <v>Fuga en Respaldiza (Landeta)</v>
          </cell>
          <cell r="I593" t="str">
            <v>Fuga en Respaldiza (Landeta)</v>
          </cell>
          <cell r="J593" t="str">
            <v>Respaldiza</v>
          </cell>
          <cell r="M593">
            <v>43.071173000000002</v>
          </cell>
          <cell r="N593">
            <v>-3.0356589999999999</v>
          </cell>
          <cell r="O593" t="b">
            <v>1</v>
          </cell>
          <cell r="P593" t="str">
            <v>V</v>
          </cell>
          <cell r="Q593">
            <v>1</v>
          </cell>
          <cell r="R593">
            <v>1</v>
          </cell>
          <cell r="S593">
            <v>1</v>
          </cell>
        </row>
        <row r="594">
          <cell r="B594" t="str">
            <v>Distribución</v>
          </cell>
          <cell r="C594">
            <v>1</v>
          </cell>
          <cell r="E594" t="str">
            <v>OT/0413</v>
          </cell>
          <cell r="F594">
            <v>45943</v>
          </cell>
          <cell r="G594">
            <v>45944</v>
          </cell>
          <cell r="H594" t="str">
            <v>Fuga en Larraño en Llodio</v>
          </cell>
          <cell r="I594" t="str">
            <v>Fuga en C/ Larraño en Llodio</v>
          </cell>
          <cell r="J594" t="str">
            <v>Llodio</v>
          </cell>
          <cell r="M594">
            <v>43.141288000000003</v>
          </cell>
          <cell r="N594">
            <v>-2.970825</v>
          </cell>
          <cell r="O594" t="b">
            <v>1</v>
          </cell>
          <cell r="P594" t="str">
            <v>V</v>
          </cell>
          <cell r="Q594">
            <v>1</v>
          </cell>
          <cell r="R594">
            <v>1</v>
          </cell>
          <cell r="S594">
            <v>1</v>
          </cell>
        </row>
        <row r="595">
          <cell r="B595" t="str">
            <v>Distribución</v>
          </cell>
          <cell r="C595">
            <v>2</v>
          </cell>
          <cell r="D595">
            <v>11</v>
          </cell>
          <cell r="E595" t="str">
            <v>TP/0277</v>
          </cell>
          <cell r="F595">
            <v>45943</v>
          </cell>
          <cell r="G595">
            <v>45943</v>
          </cell>
          <cell r="H595" t="str">
            <v>Lectura en ruta de contadores Sectoriales en cuencas mediterraneas</v>
          </cell>
          <cell r="I595" t="str">
            <v>Lectura en ruta de contadores Sectoriales en cuencas mediterraneas</v>
          </cell>
          <cell r="J595" t="str">
            <v>Cuencas mediterraneas</v>
          </cell>
          <cell r="M595" t="str">
            <v/>
          </cell>
          <cell r="N595" t="str">
            <v/>
          </cell>
          <cell r="O595" t="b">
            <v>1</v>
          </cell>
          <cell r="P595" t="str">
            <v>ENEKO</v>
          </cell>
          <cell r="Q595">
            <v>3</v>
          </cell>
          <cell r="R595">
            <v>3</v>
          </cell>
        </row>
        <row r="596">
          <cell r="B596" t="str">
            <v>Distribución</v>
          </cell>
          <cell r="C596">
            <v>1</v>
          </cell>
          <cell r="E596" t="str">
            <v>OT/0407</v>
          </cell>
          <cell r="F596">
            <v>45944</v>
          </cell>
          <cell r="G596">
            <v>45947</v>
          </cell>
          <cell r="H596" t="str">
            <v>Reparación de fuga en Erbi</v>
          </cell>
          <cell r="I596" t="str">
            <v>Reparación de fuga en Erbi</v>
          </cell>
          <cell r="J596" t="str">
            <v>Erbi</v>
          </cell>
          <cell r="M596">
            <v>43.074553000000002</v>
          </cell>
          <cell r="N596">
            <v>-3.1133030000000002</v>
          </cell>
          <cell r="O596" t="b">
            <v>1</v>
          </cell>
          <cell r="P596" t="str">
            <v>KERMAN</v>
          </cell>
          <cell r="Q596">
            <v>1</v>
          </cell>
          <cell r="R596">
            <v>1</v>
          </cell>
          <cell r="S596">
            <v>1</v>
          </cell>
        </row>
        <row r="597">
          <cell r="B597" t="str">
            <v>Distribución</v>
          </cell>
          <cell r="C597">
            <v>1</v>
          </cell>
          <cell r="E597" t="str">
            <v>OT/0414</v>
          </cell>
          <cell r="F597">
            <v>45939</v>
          </cell>
          <cell r="G597">
            <v>45939</v>
          </cell>
          <cell r="H597" t="str">
            <v>Aviso abonado sin agua C/Arramel n1 (Agurain)</v>
          </cell>
          <cell r="I597" t="str">
            <v>Aviso abonado sin agua C/Arramel n1 (Agurain)</v>
          </cell>
          <cell r="J597" t="str">
            <v>Agurain</v>
          </cell>
          <cell r="M597">
            <v>42.849800999999999</v>
          </cell>
          <cell r="N597">
            <v>-2.38849</v>
          </cell>
          <cell r="O597" t="b">
            <v>1</v>
          </cell>
          <cell r="P597" t="str">
            <v>EDU</v>
          </cell>
          <cell r="Q597">
            <v>3</v>
          </cell>
          <cell r="R597">
            <v>3</v>
          </cell>
          <cell r="S597">
            <v>3</v>
          </cell>
        </row>
        <row r="598">
          <cell r="B598" t="str">
            <v>Distribución</v>
          </cell>
          <cell r="C598">
            <v>2</v>
          </cell>
          <cell r="D598">
            <v>7</v>
          </cell>
          <cell r="E598" t="str">
            <v>TP/0278</v>
          </cell>
          <cell r="F598">
            <v>45940</v>
          </cell>
          <cell r="G598">
            <v>45940</v>
          </cell>
          <cell r="H598" t="str">
            <v>Localización de fugas abastecimiento en Sector Arza (Calle Gardia)</v>
          </cell>
          <cell r="I598" t="str">
            <v>Localización de fugas abastecimiento en Sector Arza (Calle Gardia)</v>
          </cell>
          <cell r="J598" t="str">
            <v>Llodio</v>
          </cell>
          <cell r="M598">
            <v>43.133631000000001</v>
          </cell>
          <cell r="N598">
            <v>-2.9714179999999999</v>
          </cell>
          <cell r="O598" t="b">
            <v>1</v>
          </cell>
          <cell r="P598" t="str">
            <v>TOMAS</v>
          </cell>
          <cell r="Q598">
            <v>1</v>
          </cell>
          <cell r="R598">
            <v>1</v>
          </cell>
          <cell r="S598">
            <v>1</v>
          </cell>
        </row>
        <row r="599">
          <cell r="B599" t="str">
            <v>Distribución</v>
          </cell>
          <cell r="C599">
            <v>2</v>
          </cell>
          <cell r="D599">
            <v>13</v>
          </cell>
          <cell r="E599" t="str">
            <v>TP/0279</v>
          </cell>
          <cell r="F599">
            <v>45940</v>
          </cell>
          <cell r="G599">
            <v>45953</v>
          </cell>
          <cell r="H599" t="str">
            <v>Asistencia técnica a obra municipal renovación anillo fibrocemento en P.Lamuza</v>
          </cell>
          <cell r="I599" t="str">
            <v>Asistencia técnica a obra municipal renovación anillo fibrocemento en P.Lamuza</v>
          </cell>
          <cell r="J599" t="str">
            <v>Llodio</v>
          </cell>
          <cell r="M599">
            <v>43.144202999999997</v>
          </cell>
          <cell r="N599">
            <v>-2.9643570000000001</v>
          </cell>
          <cell r="O599" t="b">
            <v>1</v>
          </cell>
          <cell r="P599" t="str">
            <v>TOMAS</v>
          </cell>
          <cell r="Q599">
            <v>1</v>
          </cell>
          <cell r="R599">
            <v>1</v>
          </cell>
        </row>
        <row r="600">
          <cell r="B600" t="str">
            <v>Distribución</v>
          </cell>
          <cell r="C600">
            <v>2</v>
          </cell>
          <cell r="D600">
            <v>7</v>
          </cell>
          <cell r="E600" t="str">
            <v>TP/0280</v>
          </cell>
          <cell r="F600">
            <v>45940</v>
          </cell>
          <cell r="G600">
            <v>45940</v>
          </cell>
          <cell r="H600" t="str">
            <v>Localización de fugas en sector Katuxa Ibarra (Llodio)</v>
          </cell>
          <cell r="I600" t="str">
            <v>Localización de fugas en sector Katuxa Ibarra (Llodio)</v>
          </cell>
          <cell r="J600" t="str">
            <v>Llodio</v>
          </cell>
          <cell r="M600">
            <v>43.133299000000001</v>
          </cell>
          <cell r="N600">
            <v>-2.9712879999999999</v>
          </cell>
          <cell r="O600" t="b">
            <v>1</v>
          </cell>
          <cell r="P600" t="str">
            <v>TOMAS</v>
          </cell>
          <cell r="Q600">
            <v>1</v>
          </cell>
          <cell r="R600">
            <v>1</v>
          </cell>
          <cell r="S600">
            <v>1</v>
          </cell>
        </row>
        <row r="601">
          <cell r="B601" t="str">
            <v>Distribución</v>
          </cell>
          <cell r="C601">
            <v>2</v>
          </cell>
          <cell r="D601">
            <v>13</v>
          </cell>
          <cell r="E601" t="str">
            <v>TP/0281</v>
          </cell>
          <cell r="F601">
            <v>45940</v>
          </cell>
          <cell r="G601">
            <v>45940</v>
          </cell>
          <cell r="H601" t="str">
            <v>Asistencia técnica en Maroño n2</v>
          </cell>
          <cell r="I601" t="str">
            <v>Asistencia técnica en Maroño n2</v>
          </cell>
          <cell r="J601" t="str">
            <v>Maroño</v>
          </cell>
          <cell r="M601">
            <v>43.043241999999999</v>
          </cell>
          <cell r="N601">
            <v>-3.0644200000000001</v>
          </cell>
          <cell r="O601" t="b">
            <v>1</v>
          </cell>
          <cell r="P601" t="str">
            <v>TOMAS</v>
          </cell>
          <cell r="Q601">
            <v>1</v>
          </cell>
          <cell r="R601">
            <v>1</v>
          </cell>
        </row>
        <row r="602">
          <cell r="B602" t="str">
            <v>Distribución</v>
          </cell>
          <cell r="C602">
            <v>2</v>
          </cell>
          <cell r="D602">
            <v>4</v>
          </cell>
          <cell r="E602" t="str">
            <v>TP/0282</v>
          </cell>
          <cell r="F602">
            <v>45943</v>
          </cell>
          <cell r="G602">
            <v>45943</v>
          </cell>
          <cell r="H602" t="str">
            <v>Digitalización de redes abastecimiento en Pobes</v>
          </cell>
          <cell r="I602" t="str">
            <v>Digitalización de redes abastecimiento en Pobes</v>
          </cell>
          <cell r="J602" t="str">
            <v>Pobes</v>
          </cell>
          <cell r="M602">
            <v>42.801954000000002</v>
          </cell>
          <cell r="N602">
            <v>-2.911629</v>
          </cell>
          <cell r="O602" t="b">
            <v>1</v>
          </cell>
          <cell r="P602" t="str">
            <v>TOMAS</v>
          </cell>
          <cell r="Q602">
            <v>5</v>
          </cell>
          <cell r="R602">
            <v>5</v>
          </cell>
        </row>
        <row r="603">
          <cell r="B603" t="str">
            <v>Distribución</v>
          </cell>
          <cell r="C603">
            <v>2</v>
          </cell>
          <cell r="D603">
            <v>7</v>
          </cell>
          <cell r="E603" t="str">
            <v>TP/0283</v>
          </cell>
          <cell r="F603">
            <v>45944</v>
          </cell>
          <cell r="G603">
            <v>45944</v>
          </cell>
          <cell r="H603" t="str">
            <v>Localización de fugas en Sector Ugarte (Llodio)</v>
          </cell>
          <cell r="I603" t="str">
            <v>Localización de fugas en Sector Ugarte (Llodio)</v>
          </cell>
          <cell r="J603" t="str">
            <v>Llodio</v>
          </cell>
          <cell r="M603">
            <v>43.146500000000003</v>
          </cell>
          <cell r="N603">
            <v>-2.9674079999999998</v>
          </cell>
          <cell r="O603" t="b">
            <v>1</v>
          </cell>
          <cell r="P603" t="str">
            <v>TOMAS</v>
          </cell>
          <cell r="Q603">
            <v>1</v>
          </cell>
          <cell r="R603">
            <v>1</v>
          </cell>
          <cell r="S603">
            <v>1</v>
          </cell>
        </row>
        <row r="604">
          <cell r="B604" t="str">
            <v>Distribución</v>
          </cell>
          <cell r="C604">
            <v>2</v>
          </cell>
          <cell r="D604">
            <v>13</v>
          </cell>
          <cell r="E604" t="str">
            <v>TP/0284</v>
          </cell>
          <cell r="F604">
            <v>45944</v>
          </cell>
          <cell r="G604">
            <v>45944</v>
          </cell>
          <cell r="H604" t="str">
            <v>Asistencia técnica a obra municipal Colegio Lateorro (Llodio)</v>
          </cell>
          <cell r="I604" t="str">
            <v>Asistencia técnica a obra municipal Colegio Lateorro (Llodio)</v>
          </cell>
          <cell r="J604" t="str">
            <v>Llodio</v>
          </cell>
          <cell r="M604">
            <v>43.138480000000001</v>
          </cell>
          <cell r="N604">
            <v>-2.9591530000000001</v>
          </cell>
          <cell r="O604" t="b">
            <v>1</v>
          </cell>
          <cell r="P604" t="str">
            <v>TOMAS</v>
          </cell>
          <cell r="Q604">
            <v>1</v>
          </cell>
          <cell r="R604">
            <v>1</v>
          </cell>
        </row>
        <row r="605">
          <cell r="B605" t="str">
            <v>Distribución</v>
          </cell>
          <cell r="C605">
            <v>2</v>
          </cell>
          <cell r="D605">
            <v>13</v>
          </cell>
          <cell r="E605" t="str">
            <v>TP/0285</v>
          </cell>
          <cell r="F605">
            <v>45944</v>
          </cell>
          <cell r="G605">
            <v>45944</v>
          </cell>
          <cell r="H605" t="str">
            <v>Asistencia técnica a obra en Maroño</v>
          </cell>
          <cell r="I605" t="str">
            <v>Asistencia técnica a obra en Maroño</v>
          </cell>
          <cell r="J605" t="str">
            <v>Maroño</v>
          </cell>
          <cell r="M605">
            <v>43.033358</v>
          </cell>
          <cell r="N605">
            <v>-3.0736819999999998</v>
          </cell>
          <cell r="O605" t="b">
            <v>1</v>
          </cell>
          <cell r="P605" t="str">
            <v>TOMAS</v>
          </cell>
          <cell r="Q605">
            <v>1</v>
          </cell>
          <cell r="R605">
            <v>1</v>
          </cell>
        </row>
        <row r="606">
          <cell r="B606" t="str">
            <v>Distribución</v>
          </cell>
          <cell r="C606">
            <v>2</v>
          </cell>
          <cell r="D606">
            <v>8</v>
          </cell>
          <cell r="E606" t="str">
            <v>TP/0286</v>
          </cell>
          <cell r="F606">
            <v>45944</v>
          </cell>
          <cell r="G606">
            <v>45944</v>
          </cell>
          <cell r="H606" t="str">
            <v>Instalación contador para churrería (Amurrio)</v>
          </cell>
          <cell r="I606" t="str">
            <v>Instalación contador para churrería (Amurrio)</v>
          </cell>
          <cell r="J606" t="str">
            <v>Amurrio</v>
          </cell>
          <cell r="M606">
            <v>43.052227000000002</v>
          </cell>
          <cell r="N606">
            <v>-3.0011399999999999</v>
          </cell>
          <cell r="O606" t="b">
            <v>1</v>
          </cell>
          <cell r="P606" t="str">
            <v>KERMAN</v>
          </cell>
          <cell r="Q606">
            <v>1</v>
          </cell>
          <cell r="R606">
            <v>1</v>
          </cell>
        </row>
        <row r="607">
          <cell r="B607" t="str">
            <v>Distribución</v>
          </cell>
          <cell r="C607">
            <v>2</v>
          </cell>
          <cell r="D607">
            <v>10</v>
          </cell>
          <cell r="E607" t="str">
            <v>TP/0287</v>
          </cell>
          <cell r="F607">
            <v>45944</v>
          </cell>
          <cell r="G607">
            <v>45944</v>
          </cell>
          <cell r="H607" t="str">
            <v>Sustitución de contador C/Avenida Omecillo n5 (Villanañe)</v>
          </cell>
          <cell r="I607" t="str">
            <v>Sustitución de contador C/Avenida Omecillo n5 (Villanañe)</v>
          </cell>
          <cell r="J607" t="str">
            <v>Villanañe</v>
          </cell>
          <cell r="M607">
            <v>42.836416999999997</v>
          </cell>
          <cell r="N607">
            <v>-3.07138</v>
          </cell>
          <cell r="O607" t="b">
            <v>1</v>
          </cell>
          <cell r="P607" t="str">
            <v>KERMAN</v>
          </cell>
          <cell r="Q607">
            <v>5</v>
          </cell>
          <cell r="R607">
            <v>5</v>
          </cell>
        </row>
        <row r="608">
          <cell r="B608" t="str">
            <v>Distribución</v>
          </cell>
          <cell r="C608">
            <v>2</v>
          </cell>
          <cell r="D608">
            <v>8</v>
          </cell>
          <cell r="E608" t="str">
            <v>TP/0288</v>
          </cell>
          <cell r="F608">
            <v>45944</v>
          </cell>
          <cell r="G608">
            <v>45944</v>
          </cell>
          <cell r="H608" t="str">
            <v>Instalación de contador en churreria (caravana) en Amurrio</v>
          </cell>
          <cell r="I608" t="str">
            <v>Instalación de contador en churreria (caravana) en Amurrio</v>
          </cell>
          <cell r="J608" t="str">
            <v>Amurrio</v>
          </cell>
          <cell r="M608">
            <v>43.055695</v>
          </cell>
          <cell r="N608">
            <v>-3.004394</v>
          </cell>
          <cell r="O608" t="b">
            <v>1</v>
          </cell>
          <cell r="P608" t="str">
            <v>KERMAN</v>
          </cell>
          <cell r="Q608">
            <v>1</v>
          </cell>
          <cell r="R608">
            <v>1</v>
          </cell>
        </row>
        <row r="609">
          <cell r="B609" t="str">
            <v>Saneamiento</v>
          </cell>
          <cell r="C609">
            <v>2</v>
          </cell>
          <cell r="D609">
            <v>1</v>
          </cell>
          <cell r="E609" t="str">
            <v>TP/0289</v>
          </cell>
          <cell r="F609">
            <v>45944</v>
          </cell>
          <cell r="G609">
            <v>45944</v>
          </cell>
          <cell r="H609" t="str">
            <v>Mantenimiento preventivo de limpieza de colector saneamiento (Agurain)</v>
          </cell>
          <cell r="I609" t="str">
            <v>Mantenimiento preventivo de limpieza de colector saneamiento (Agurain)</v>
          </cell>
          <cell r="J609" t="str">
            <v>Agurain</v>
          </cell>
          <cell r="M609">
            <v>42.847327</v>
          </cell>
          <cell r="N609">
            <v>-2.3910089999999999</v>
          </cell>
          <cell r="O609" t="b">
            <v>1</v>
          </cell>
          <cell r="P609" t="str">
            <v>EMILIO MIGUEL</v>
          </cell>
          <cell r="Q609">
            <v>3</v>
          </cell>
          <cell r="R609">
            <v>3</v>
          </cell>
        </row>
        <row r="610">
          <cell r="B610" t="str">
            <v>Saneamiento</v>
          </cell>
          <cell r="C610">
            <v>2</v>
          </cell>
          <cell r="D610">
            <v>1</v>
          </cell>
          <cell r="E610" t="str">
            <v>TP/0290</v>
          </cell>
          <cell r="F610">
            <v>45944</v>
          </cell>
          <cell r="G610">
            <v>45944</v>
          </cell>
          <cell r="H610" t="str">
            <v>Mantenimiento preventivo en saneamiento en C/Isasi  (Llodio)</v>
          </cell>
          <cell r="I610" t="str">
            <v>Mantenimiento preventivo en saneamiento en C/Isasi  (Llodio)</v>
          </cell>
          <cell r="J610" t="str">
            <v>Llodio</v>
          </cell>
          <cell r="M610">
            <v>43.150872999999997</v>
          </cell>
          <cell r="N610">
            <v>-2.9712930000000002</v>
          </cell>
          <cell r="O610" t="b">
            <v>1</v>
          </cell>
          <cell r="P610" t="str">
            <v>EMILIO MIGUEL</v>
          </cell>
          <cell r="Q610">
            <v>1</v>
          </cell>
          <cell r="R610">
            <v>1</v>
          </cell>
        </row>
        <row r="611">
          <cell r="B611" t="str">
            <v>Distribución</v>
          </cell>
          <cell r="C611">
            <v>2</v>
          </cell>
          <cell r="D611">
            <v>7</v>
          </cell>
          <cell r="E611" t="str">
            <v>TP/0291</v>
          </cell>
          <cell r="F611">
            <v>45944</v>
          </cell>
          <cell r="G611">
            <v>45944</v>
          </cell>
          <cell r="H611" t="str">
            <v>Localización de fugas en Maroño y Bellojín</v>
          </cell>
          <cell r="I611" t="str">
            <v>Localización de fugas en Maroño y Bellojín</v>
          </cell>
          <cell r="J611" t="str">
            <v>Bellojín</v>
          </cell>
          <cell r="M611" t="str">
            <v/>
          </cell>
          <cell r="N611" t="str">
            <v/>
          </cell>
          <cell r="O611" t="b">
            <v>1</v>
          </cell>
          <cell r="P611" t="str">
            <v>ENEKO</v>
          </cell>
          <cell r="Q611">
            <v>5</v>
          </cell>
          <cell r="R611">
            <v>5</v>
          </cell>
          <cell r="S611">
            <v>1</v>
          </cell>
        </row>
        <row r="612">
          <cell r="B612" t="str">
            <v>Distribución</v>
          </cell>
          <cell r="C612">
            <v>1</v>
          </cell>
          <cell r="E612" t="str">
            <v>OT/0415</v>
          </cell>
          <cell r="F612">
            <v>45944</v>
          </cell>
          <cell r="G612">
            <v>45944</v>
          </cell>
          <cell r="H612" t="str">
            <v>Fuga en Landeta (Respaldiza)</v>
          </cell>
          <cell r="I612" t="str">
            <v>Fuga en Landeta (Respaldiza)</v>
          </cell>
          <cell r="J612" t="str">
            <v>Respaldiza</v>
          </cell>
          <cell r="M612">
            <v>43.071173000000002</v>
          </cell>
          <cell r="N612">
            <v>-3.0356390000000002</v>
          </cell>
          <cell r="O612" t="b">
            <v>1</v>
          </cell>
          <cell r="P612" t="str">
            <v>V</v>
          </cell>
          <cell r="Q612">
            <v>1</v>
          </cell>
          <cell r="R612">
            <v>1</v>
          </cell>
          <cell r="S612">
            <v>1</v>
          </cell>
        </row>
        <row r="613">
          <cell r="B613" t="str">
            <v>Distribución</v>
          </cell>
          <cell r="C613">
            <v>1</v>
          </cell>
          <cell r="E613" t="str">
            <v>OT/0416</v>
          </cell>
          <cell r="F613">
            <v>45944</v>
          </cell>
          <cell r="G613">
            <v>45944</v>
          </cell>
          <cell r="H613" t="str">
            <v>Fuga en Larraño  (Llodio)</v>
          </cell>
          <cell r="I613" t="str">
            <v>Fuga en Larraño (Llodio)</v>
          </cell>
          <cell r="J613" t="str">
            <v>Llodio</v>
          </cell>
          <cell r="M613">
            <v>43.151240000000001</v>
          </cell>
          <cell r="N613">
            <v>-2.983425</v>
          </cell>
          <cell r="O613" t="b">
            <v>1</v>
          </cell>
          <cell r="P613" t="str">
            <v>V</v>
          </cell>
          <cell r="Q613">
            <v>1</v>
          </cell>
          <cell r="R613">
            <v>1</v>
          </cell>
          <cell r="S613">
            <v>1</v>
          </cell>
        </row>
        <row r="614">
          <cell r="B614" t="str">
            <v>Distribución</v>
          </cell>
          <cell r="C614">
            <v>1</v>
          </cell>
          <cell r="E614" t="str">
            <v>OT/0417</v>
          </cell>
          <cell r="F614">
            <v>45944</v>
          </cell>
          <cell r="G614">
            <v>45945</v>
          </cell>
          <cell r="H614" t="str">
            <v>Fuga en Olabezar (La Cadena)</v>
          </cell>
          <cell r="I614" t="str">
            <v>Fuga en Olabezar (La Cadena)</v>
          </cell>
          <cell r="J614" t="str">
            <v>Olabezar</v>
          </cell>
          <cell r="M614">
            <v>43.055709999999998</v>
          </cell>
          <cell r="N614">
            <v>-3.0159340000000001</v>
          </cell>
          <cell r="O614" t="b">
            <v>1</v>
          </cell>
          <cell r="P614" t="str">
            <v>V</v>
          </cell>
          <cell r="Q614">
            <v>1</v>
          </cell>
          <cell r="R614">
            <v>1</v>
          </cell>
          <cell r="S614">
            <v>1</v>
          </cell>
        </row>
        <row r="615">
          <cell r="B615" t="str">
            <v>Saneamiento</v>
          </cell>
          <cell r="C615">
            <v>1</v>
          </cell>
          <cell r="E615" t="str">
            <v>OT/0418</v>
          </cell>
          <cell r="F615">
            <v>45944</v>
          </cell>
          <cell r="G615">
            <v>45944</v>
          </cell>
          <cell r="H615" t="str">
            <v>Atasco en Campijo en Artziniega</v>
          </cell>
          <cell r="I615" t="str">
            <v>Atasco en Campijo en Artziniega</v>
          </cell>
          <cell r="J615" t="str">
            <v>Artziniega</v>
          </cell>
          <cell r="M615">
            <v>43.147754999999997</v>
          </cell>
          <cell r="N615">
            <v>-3.1590829999999999</v>
          </cell>
          <cell r="O615" t="b">
            <v>1</v>
          </cell>
          <cell r="P615" t="str">
            <v>V</v>
          </cell>
          <cell r="Q615">
            <v>1</v>
          </cell>
          <cell r="R615">
            <v>1</v>
          </cell>
          <cell r="S615">
            <v>2</v>
          </cell>
        </row>
        <row r="616">
          <cell r="B616" t="str">
            <v>Distribución</v>
          </cell>
          <cell r="C616">
            <v>1</v>
          </cell>
          <cell r="E616" t="str">
            <v>OT/0419</v>
          </cell>
          <cell r="F616">
            <v>45944</v>
          </cell>
          <cell r="G616">
            <v>45945</v>
          </cell>
          <cell r="H616" t="str">
            <v>Reparación de fuga en C/La Madura (Agurain)</v>
          </cell>
          <cell r="I616" t="str">
            <v>Reparación de fuga en C/La Madura (Agurain)</v>
          </cell>
          <cell r="J616" t="str">
            <v>Agurain</v>
          </cell>
          <cell r="M616">
            <v>42.852938999999999</v>
          </cell>
          <cell r="N616">
            <v>-2.3871349999999998</v>
          </cell>
          <cell r="O616" t="b">
            <v>1</v>
          </cell>
          <cell r="P616" t="str">
            <v>BEÑAT KERMAN</v>
          </cell>
          <cell r="Q616">
            <v>3</v>
          </cell>
          <cell r="R616">
            <v>3</v>
          </cell>
          <cell r="S616">
            <v>1</v>
          </cell>
        </row>
        <row r="617">
          <cell r="B617" t="str">
            <v>Distribución</v>
          </cell>
          <cell r="C617">
            <v>1</v>
          </cell>
          <cell r="E617" t="str">
            <v>OT/0420</v>
          </cell>
          <cell r="F617">
            <v>45945</v>
          </cell>
          <cell r="G617">
            <v>45945</v>
          </cell>
          <cell r="H617" t="str">
            <v>Fuga en Bellojín</v>
          </cell>
          <cell r="I617" t="str">
            <v>Fuga en Bellojín</v>
          </cell>
          <cell r="J617" t="str">
            <v>Bellojín</v>
          </cell>
          <cell r="M617">
            <v>43.121417000000001</v>
          </cell>
          <cell r="N617">
            <v>-3.096508</v>
          </cell>
          <cell r="O617" t="b">
            <v>1</v>
          </cell>
          <cell r="P617" t="str">
            <v>MIGUEL CHOVITA</v>
          </cell>
          <cell r="Q617">
            <v>5</v>
          </cell>
          <cell r="R617">
            <v>5</v>
          </cell>
          <cell r="S617">
            <v>1</v>
          </cell>
        </row>
        <row r="618">
          <cell r="B618" t="str">
            <v>Distribución</v>
          </cell>
          <cell r="C618">
            <v>1</v>
          </cell>
          <cell r="E618" t="str">
            <v>OT/0421</v>
          </cell>
          <cell r="F618">
            <v>45945</v>
          </cell>
          <cell r="G618">
            <v>45945</v>
          </cell>
          <cell r="H618" t="str">
            <v>Reparar fuga en Erbi</v>
          </cell>
          <cell r="I618" t="str">
            <v>Reparar fuga en Erbi</v>
          </cell>
          <cell r="J618" t="str">
            <v>Erbi</v>
          </cell>
          <cell r="M618">
            <v>43.075035</v>
          </cell>
          <cell r="N618">
            <v>-3.1137450000000002</v>
          </cell>
          <cell r="O618" t="b">
            <v>1</v>
          </cell>
          <cell r="P618" t="str">
            <v>KERMAN</v>
          </cell>
          <cell r="Q618">
            <v>1</v>
          </cell>
          <cell r="R618">
            <v>1</v>
          </cell>
          <cell r="S618">
            <v>1</v>
          </cell>
        </row>
        <row r="619">
          <cell r="B619" t="str">
            <v>Distribución</v>
          </cell>
          <cell r="C619">
            <v>2</v>
          </cell>
          <cell r="D619">
            <v>9</v>
          </cell>
          <cell r="E619" t="str">
            <v>TP/0292</v>
          </cell>
          <cell r="F619">
            <v>45945</v>
          </cell>
          <cell r="G619">
            <v>45945</v>
          </cell>
          <cell r="H619" t="str">
            <v>Desistalación contador C/Uribe s/n en Alegría</v>
          </cell>
          <cell r="I619" t="str">
            <v>Desistalación contador C/Uribe s/n en Alegría</v>
          </cell>
          <cell r="J619" t="str">
            <v>Alegría</v>
          </cell>
          <cell r="M619">
            <v>42.839703999999998</v>
          </cell>
          <cell r="N619">
            <v>-2.5111699999999999</v>
          </cell>
          <cell r="O619" t="b">
            <v>1</v>
          </cell>
          <cell r="P619" t="str">
            <v>KERMAN</v>
          </cell>
          <cell r="Q619">
            <v>3</v>
          </cell>
          <cell r="R619">
            <v>3</v>
          </cell>
        </row>
        <row r="620">
          <cell r="B620" t="str">
            <v>Distribución</v>
          </cell>
          <cell r="C620">
            <v>1</v>
          </cell>
          <cell r="E620" t="str">
            <v>OT/0422</v>
          </cell>
          <cell r="F620">
            <v>45945</v>
          </cell>
          <cell r="G620">
            <v>45946</v>
          </cell>
          <cell r="H620" t="str">
            <v>Fuga en válvula general en barrio Chabe n54 (Llanteno)</v>
          </cell>
          <cell r="I620" t="str">
            <v>Fuga en válvula general en barrio Chabe n54 (Llanteno)</v>
          </cell>
          <cell r="J620" t="str">
            <v>Llanteno</v>
          </cell>
          <cell r="M620">
            <v>43.121417000000001</v>
          </cell>
          <cell r="N620">
            <v>-3.096508</v>
          </cell>
          <cell r="O620" t="b">
            <v>1</v>
          </cell>
          <cell r="P620" t="str">
            <v>KERMAN</v>
          </cell>
          <cell r="Q620">
            <v>1</v>
          </cell>
          <cell r="R620">
            <v>1</v>
          </cell>
          <cell r="S620">
            <v>1</v>
          </cell>
        </row>
        <row r="621">
          <cell r="B621" t="str">
            <v>Saneamiento</v>
          </cell>
          <cell r="C621">
            <v>1</v>
          </cell>
          <cell r="E621" t="str">
            <v>OT/0291</v>
          </cell>
          <cell r="F621">
            <v>45944</v>
          </cell>
          <cell r="G621">
            <v>45944</v>
          </cell>
          <cell r="H621" t="str">
            <v>Atasco en Olabezar ermita San Babilas pead 63</v>
          </cell>
          <cell r="I621" t="str">
            <v>Atasco en Olabezar Hermita San Babilas pead 63</v>
          </cell>
          <cell r="J621" t="str">
            <v>Olabezar</v>
          </cell>
          <cell r="M621">
            <v>43.07002</v>
          </cell>
          <cell r="N621">
            <v>-3.0112739999999998</v>
          </cell>
          <cell r="O621" t="b">
            <v>1</v>
          </cell>
          <cell r="P621" t="str">
            <v>V</v>
          </cell>
          <cell r="Q621">
            <v>1</v>
          </cell>
          <cell r="R621">
            <v>1</v>
          </cell>
          <cell r="S621">
            <v>2</v>
          </cell>
        </row>
        <row r="622">
          <cell r="B622" t="str">
            <v>Distribución</v>
          </cell>
          <cell r="C622">
            <v>1</v>
          </cell>
          <cell r="E622" t="str">
            <v>OT/0292</v>
          </cell>
          <cell r="F622">
            <v>45945</v>
          </cell>
          <cell r="G622">
            <v>45945</v>
          </cell>
          <cell r="H622" t="str">
            <v>Aviso abonado sin agua en Larra (Llodio)</v>
          </cell>
          <cell r="I622" t="str">
            <v>Aviso abonado sin agua en Larra (Llodio)</v>
          </cell>
          <cell r="J622" t="str">
            <v>Llodio</v>
          </cell>
          <cell r="M622">
            <v>43.128169999999997</v>
          </cell>
          <cell r="N622">
            <v>-2.9504000000000001</v>
          </cell>
          <cell r="O622" t="b">
            <v>1</v>
          </cell>
          <cell r="P622" t="str">
            <v>JOSEBA</v>
          </cell>
          <cell r="Q622">
            <v>1</v>
          </cell>
          <cell r="R622">
            <v>1</v>
          </cell>
          <cell r="S622">
            <v>3</v>
          </cell>
        </row>
        <row r="623">
          <cell r="B623" t="str">
            <v>Distribución</v>
          </cell>
          <cell r="C623">
            <v>1</v>
          </cell>
          <cell r="E623" t="str">
            <v>OT/0293</v>
          </cell>
          <cell r="F623">
            <v>45951</v>
          </cell>
          <cell r="G623">
            <v>45951</v>
          </cell>
          <cell r="H623" t="str">
            <v>Reparación de fuga en bajada deposito en Arbigano</v>
          </cell>
          <cell r="I623" t="str">
            <v>Reparación de fuga en bajada deposito en Arbigano</v>
          </cell>
          <cell r="J623" t="str">
            <v>Arbígano</v>
          </cell>
          <cell r="M623">
            <v>42.804417999999998</v>
          </cell>
          <cell r="N623">
            <v>-2.9334579999999999</v>
          </cell>
          <cell r="O623" t="b">
            <v>1</v>
          </cell>
          <cell r="P623" t="str">
            <v>MIGUEL</v>
          </cell>
          <cell r="Q623">
            <v>5</v>
          </cell>
          <cell r="R623">
            <v>5</v>
          </cell>
          <cell r="S623">
            <v>1</v>
          </cell>
        </row>
        <row r="624">
          <cell r="B624" t="str">
            <v>Distribución</v>
          </cell>
          <cell r="C624">
            <v>1</v>
          </cell>
          <cell r="E624" t="str">
            <v>OT/0294</v>
          </cell>
          <cell r="F624">
            <v>45947</v>
          </cell>
          <cell r="G624">
            <v>45947</v>
          </cell>
          <cell r="H624" t="str">
            <v>Reparación de acometida en INAUXA (Amurrio)</v>
          </cell>
          <cell r="I624" t="str">
            <v>Reparación de acometida en INAUXA (Amurrio)</v>
          </cell>
          <cell r="J624" t="str">
            <v>Amurrio</v>
          </cell>
          <cell r="M624">
            <v>43.037149999999997</v>
          </cell>
          <cell r="N624">
            <v>-2.9966400000000002</v>
          </cell>
          <cell r="O624" t="b">
            <v>1</v>
          </cell>
          <cell r="P624" t="str">
            <v>IÑIGO</v>
          </cell>
          <cell r="Q624">
            <v>1</v>
          </cell>
          <cell r="R624">
            <v>1</v>
          </cell>
          <cell r="S624">
            <v>3</v>
          </cell>
        </row>
        <row r="625">
          <cell r="B625" t="str">
            <v>Distribución</v>
          </cell>
          <cell r="C625">
            <v>1</v>
          </cell>
          <cell r="E625" t="str">
            <v>OT/0295</v>
          </cell>
          <cell r="F625">
            <v>45946</v>
          </cell>
          <cell r="G625">
            <v>45947</v>
          </cell>
          <cell r="H625" t="str">
            <v>Reparación de fuga en Añes</v>
          </cell>
          <cell r="I625" t="str">
            <v>Reparación de fuga en Añes</v>
          </cell>
          <cell r="J625" t="str">
            <v>Añes</v>
          </cell>
          <cell r="M625">
            <v>43.058515</v>
          </cell>
          <cell r="N625">
            <v>-3.132879</v>
          </cell>
          <cell r="O625" t="b">
            <v>1</v>
          </cell>
          <cell r="P625" t="str">
            <v>v</v>
          </cell>
          <cell r="Q625">
            <v>1</v>
          </cell>
          <cell r="R625">
            <v>1</v>
          </cell>
          <cell r="S625">
            <v>1</v>
          </cell>
        </row>
        <row r="626">
          <cell r="B626" t="str">
            <v>Distribución</v>
          </cell>
          <cell r="C626">
            <v>1</v>
          </cell>
          <cell r="E626" t="str">
            <v>OT/0296</v>
          </cell>
          <cell r="F626">
            <v>45945</v>
          </cell>
          <cell r="G626">
            <v>45946</v>
          </cell>
          <cell r="H626" t="str">
            <v>Reparación de fuga en acometida en Maroño</v>
          </cell>
          <cell r="I626" t="str">
            <v>Reparación de fuga en acometida en Maroño</v>
          </cell>
          <cell r="J626" t="str">
            <v>Maroño</v>
          </cell>
          <cell r="M626">
            <v>43.041784999999997</v>
          </cell>
          <cell r="N626">
            <v>-3.062303</v>
          </cell>
          <cell r="O626" t="b">
            <v>1</v>
          </cell>
          <cell r="P626" t="str">
            <v>JOSEBA E IÑIGO</v>
          </cell>
          <cell r="Q626">
            <v>1</v>
          </cell>
          <cell r="R626">
            <v>1</v>
          </cell>
          <cell r="S626">
            <v>1</v>
          </cell>
        </row>
        <row r="627">
          <cell r="B627" t="str">
            <v>Saneamiento</v>
          </cell>
          <cell r="C627">
            <v>1</v>
          </cell>
          <cell r="E627" t="str">
            <v>OT/0297</v>
          </cell>
          <cell r="F627">
            <v>45952</v>
          </cell>
          <cell r="G627">
            <v>45952</v>
          </cell>
          <cell r="H627" t="str">
            <v>Desbroce y desatasco de arqueta saneamiento en Kostera</v>
          </cell>
          <cell r="I627" t="str">
            <v>Desbroce y desatasco de arqueta saneamiento en Kostera</v>
          </cell>
          <cell r="J627" t="str">
            <v>Kostera</v>
          </cell>
          <cell r="M627">
            <v>43.103603999999997</v>
          </cell>
          <cell r="N627">
            <v>-3.1014189999999999</v>
          </cell>
          <cell r="O627" t="b">
            <v>1</v>
          </cell>
          <cell r="P627" t="str">
            <v>KERMAN ZUITA</v>
          </cell>
          <cell r="Q627">
            <v>1</v>
          </cell>
          <cell r="R627">
            <v>1</v>
          </cell>
          <cell r="S627">
            <v>2</v>
          </cell>
        </row>
        <row r="628">
          <cell r="B628" t="str">
            <v>Distribución</v>
          </cell>
          <cell r="C628">
            <v>1</v>
          </cell>
          <cell r="E628" t="str">
            <v>OT/0298</v>
          </cell>
          <cell r="F628">
            <v>45949</v>
          </cell>
          <cell r="G628">
            <v>45949</v>
          </cell>
          <cell r="H628" t="str">
            <v>Aviso abonado sin agua en C/Nervión n14 (Llodio)</v>
          </cell>
          <cell r="I628" t="str">
            <v>Aviso abonado sin agua en C/Nervión n14 (Llodio)</v>
          </cell>
          <cell r="J628" t="str">
            <v>Llodio</v>
          </cell>
          <cell r="M628">
            <v>43.142113999999999</v>
          </cell>
          <cell r="N628">
            <v>-2.9623840000000001</v>
          </cell>
          <cell r="O628" t="b">
            <v>1</v>
          </cell>
          <cell r="P628" t="str">
            <v>V</v>
          </cell>
          <cell r="Q628">
            <v>1</v>
          </cell>
          <cell r="R628">
            <v>1</v>
          </cell>
          <cell r="S628">
            <v>3</v>
          </cell>
        </row>
        <row r="629">
          <cell r="B629" t="str">
            <v>Distribución</v>
          </cell>
          <cell r="C629">
            <v>1</v>
          </cell>
          <cell r="E629" t="str">
            <v>OT/0299</v>
          </cell>
          <cell r="F629">
            <v>45949</v>
          </cell>
          <cell r="G629">
            <v>45949</v>
          </cell>
          <cell r="H629" t="str">
            <v>Aviso por fuga en Berantevilla en Camino las heras n17</v>
          </cell>
          <cell r="I629" t="str">
            <v>Aviso por fuga en Berantevilla Camino las heras n17</v>
          </cell>
          <cell r="J629" t="str">
            <v>Berantevilla</v>
          </cell>
          <cell r="M629">
            <v>42.681950999999998</v>
          </cell>
          <cell r="N629">
            <v>-2.8593920000000002</v>
          </cell>
          <cell r="O629" t="b">
            <v>1</v>
          </cell>
          <cell r="P629" t="str">
            <v>V</v>
          </cell>
          <cell r="Q629">
            <v>5</v>
          </cell>
          <cell r="R629">
            <v>5</v>
          </cell>
          <cell r="S629">
            <v>1</v>
          </cell>
        </row>
        <row r="630">
          <cell r="B630" t="str">
            <v>Depuración</v>
          </cell>
          <cell r="C630">
            <v>2</v>
          </cell>
          <cell r="D630">
            <v>23</v>
          </cell>
          <cell r="E630" t="str">
            <v>TP/0293</v>
          </cell>
          <cell r="F630">
            <v>45945</v>
          </cell>
          <cell r="G630">
            <v>45945</v>
          </cell>
          <cell r="H630" t="str">
            <v>Limpieza de Tamices en Olabezar</v>
          </cell>
          <cell r="I630" t="str">
            <v>Limpieza de Tamices en Olabezar</v>
          </cell>
          <cell r="J630" t="str">
            <v>Olabezar</v>
          </cell>
          <cell r="M630" t="str">
            <v/>
          </cell>
          <cell r="N630" t="str">
            <v/>
          </cell>
          <cell r="O630" t="b">
            <v>1</v>
          </cell>
          <cell r="P630" t="str">
            <v>V</v>
          </cell>
          <cell r="Q630">
            <v>1</v>
          </cell>
          <cell r="R630">
            <v>1</v>
          </cell>
        </row>
        <row r="631">
          <cell r="B631" t="str">
            <v>Distribución</v>
          </cell>
          <cell r="C631">
            <v>2</v>
          </cell>
          <cell r="D631">
            <v>13</v>
          </cell>
          <cell r="E631" t="str">
            <v>TP/0294</v>
          </cell>
          <cell r="F631">
            <v>45945</v>
          </cell>
          <cell r="G631">
            <v>45945</v>
          </cell>
          <cell r="H631" t="str">
            <v>Asistencia técnica a obra Villanañe</v>
          </cell>
          <cell r="I631" t="str">
            <v>Asistencia técnica a obra Villanañe</v>
          </cell>
          <cell r="J631" t="str">
            <v>Villanañe</v>
          </cell>
          <cell r="M631">
            <v>42.836723999999997</v>
          </cell>
          <cell r="N631">
            <v>-3.0717099999999999</v>
          </cell>
          <cell r="O631" t="b">
            <v>1</v>
          </cell>
          <cell r="P631" t="str">
            <v>TOMAS</v>
          </cell>
          <cell r="Q631">
            <v>5</v>
          </cell>
          <cell r="R631">
            <v>5</v>
          </cell>
        </row>
        <row r="632">
          <cell r="B632" t="str">
            <v>Distribución</v>
          </cell>
          <cell r="C632">
            <v>2</v>
          </cell>
          <cell r="D632">
            <v>8</v>
          </cell>
          <cell r="E632" t="str">
            <v>TP/0295</v>
          </cell>
          <cell r="F632">
            <v>45945</v>
          </cell>
          <cell r="G632">
            <v>45945</v>
          </cell>
          <cell r="H632" t="str">
            <v>Instalación contador en Plaza Lexarraga n4 (Amurrio)</v>
          </cell>
          <cell r="I632" t="str">
            <v>Instalación contador en Plaza Lexarraga n4 (Amurrio)</v>
          </cell>
          <cell r="J632" t="str">
            <v>Amurrio</v>
          </cell>
          <cell r="M632">
            <v>43.052805999999997</v>
          </cell>
          <cell r="N632">
            <v>-3.0058910000000001</v>
          </cell>
          <cell r="O632" t="b">
            <v>1</v>
          </cell>
          <cell r="P632" t="str">
            <v>KERMAN</v>
          </cell>
          <cell r="Q632">
            <v>1</v>
          </cell>
          <cell r="R632">
            <v>1</v>
          </cell>
        </row>
        <row r="633">
          <cell r="B633" t="str">
            <v>Distribución</v>
          </cell>
          <cell r="C633">
            <v>2</v>
          </cell>
          <cell r="D633">
            <v>8</v>
          </cell>
          <cell r="E633" t="str">
            <v>TP/0296</v>
          </cell>
          <cell r="F633">
            <v>45945</v>
          </cell>
          <cell r="G633">
            <v>45945</v>
          </cell>
          <cell r="H633" t="str">
            <v>Instalación contador en Pol.Maskuribai B03 (Amurrio)</v>
          </cell>
          <cell r="I633" t="str">
            <v>Instalación contador en Pol.Maskuribai B03 (Amurrio)</v>
          </cell>
          <cell r="J633" t="str">
            <v>Amurrio</v>
          </cell>
          <cell r="M633">
            <v>43.045836999999999</v>
          </cell>
          <cell r="N633">
            <v>-3.0003700000000002</v>
          </cell>
          <cell r="O633" t="b">
            <v>1</v>
          </cell>
          <cell r="P633" t="str">
            <v>KERMAN</v>
          </cell>
          <cell r="Q633">
            <v>1</v>
          </cell>
          <cell r="R633">
            <v>1</v>
          </cell>
        </row>
        <row r="634">
          <cell r="B634" t="str">
            <v>Depuración</v>
          </cell>
          <cell r="C634">
            <v>2</v>
          </cell>
          <cell r="D634">
            <v>3</v>
          </cell>
          <cell r="E634" t="str">
            <v>TP/0297</v>
          </cell>
          <cell r="F634">
            <v>45945</v>
          </cell>
          <cell r="G634">
            <v>45945</v>
          </cell>
          <cell r="H634" t="str">
            <v>Mantenimiento de fosas sépticas en Corro</v>
          </cell>
          <cell r="I634" t="str">
            <v>Mantenimiento de fosas sépticas en Corro</v>
          </cell>
          <cell r="J634" t="str">
            <v>Corro</v>
          </cell>
          <cell r="M634">
            <v>42.873629000000001</v>
          </cell>
          <cell r="N634">
            <v>-3.1743060000000001</v>
          </cell>
          <cell r="O634" t="b">
            <v>1</v>
          </cell>
          <cell r="P634" t="str">
            <v>EMILIO ALBERTO</v>
          </cell>
          <cell r="Q634">
            <v>5</v>
          </cell>
          <cell r="R634">
            <v>5</v>
          </cell>
        </row>
        <row r="635">
          <cell r="B635" t="str">
            <v>Distribución</v>
          </cell>
          <cell r="C635">
            <v>2</v>
          </cell>
          <cell r="D635">
            <v>7</v>
          </cell>
          <cell r="E635" t="str">
            <v>TP/0298</v>
          </cell>
          <cell r="F635">
            <v>45945</v>
          </cell>
          <cell r="G635">
            <v>45945</v>
          </cell>
          <cell r="H635" t="str">
            <v>Localización de fugas en Amurrio y Maroño</v>
          </cell>
          <cell r="I635" t="str">
            <v>Localización de fugas en Amurrio y Maroño</v>
          </cell>
          <cell r="J635" t="str">
            <v>Maroño</v>
          </cell>
          <cell r="M635" t="str">
            <v/>
          </cell>
          <cell r="N635" t="str">
            <v/>
          </cell>
          <cell r="O635" t="b">
            <v>1</v>
          </cell>
          <cell r="P635" t="str">
            <v>ENEKO</v>
          </cell>
          <cell r="Q635">
            <v>1</v>
          </cell>
          <cell r="R635">
            <v>1</v>
          </cell>
          <cell r="S635">
            <v>1</v>
          </cell>
        </row>
        <row r="636">
          <cell r="B636" t="str">
            <v>Saneamiento</v>
          </cell>
          <cell r="C636">
            <v>2</v>
          </cell>
          <cell r="D636">
            <v>1</v>
          </cell>
          <cell r="E636" t="str">
            <v>TP/0299</v>
          </cell>
          <cell r="F636">
            <v>45946</v>
          </cell>
          <cell r="G636">
            <v>45946</v>
          </cell>
          <cell r="H636" t="str">
            <v>Mantenimiento preventivo en saneamiento Artziniega</v>
          </cell>
          <cell r="I636" t="str">
            <v>Mantenimiento preventivo en saneamiento Artziniega</v>
          </cell>
          <cell r="J636" t="str">
            <v>Artziniega</v>
          </cell>
          <cell r="M636" t="str">
            <v/>
          </cell>
          <cell r="N636" t="str">
            <v/>
          </cell>
          <cell r="O636" t="b">
            <v>1</v>
          </cell>
          <cell r="P636" t="str">
            <v>EMILIO MIGUEL</v>
          </cell>
          <cell r="Q636">
            <v>1</v>
          </cell>
          <cell r="R636">
            <v>1</v>
          </cell>
        </row>
        <row r="637">
          <cell r="B637" t="str">
            <v>Distribución</v>
          </cell>
          <cell r="C637">
            <v>1</v>
          </cell>
          <cell r="E637" t="str">
            <v>OT/0423</v>
          </cell>
          <cell r="F637">
            <v>45944</v>
          </cell>
          <cell r="G637">
            <v>45944</v>
          </cell>
          <cell r="H637" t="str">
            <v>Aviso de fuga  y avisos de corte de agua en Espejo</v>
          </cell>
          <cell r="I637" t="str">
            <v>Aviso de fuga  y avisos de corte de agua en Espejo</v>
          </cell>
          <cell r="J637" t="str">
            <v>Espejo</v>
          </cell>
          <cell r="M637">
            <v>42.810099999999998</v>
          </cell>
          <cell r="N637">
            <v>-3.0467499999999998</v>
          </cell>
          <cell r="O637" t="b">
            <v>1</v>
          </cell>
          <cell r="P637" t="str">
            <v>EDUARDO</v>
          </cell>
          <cell r="Q637">
            <v>5</v>
          </cell>
          <cell r="R637">
            <v>5</v>
          </cell>
          <cell r="S637">
            <v>1</v>
          </cell>
        </row>
        <row r="638">
          <cell r="B638" t="str">
            <v>Aducción</v>
          </cell>
          <cell r="C638">
            <v>1</v>
          </cell>
          <cell r="E638" t="str">
            <v>OT/0424</v>
          </cell>
          <cell r="F638">
            <v>45944</v>
          </cell>
          <cell r="G638">
            <v>45944</v>
          </cell>
          <cell r="H638" t="str">
            <v>Aviso por falta de agua en captaciones en Espejo</v>
          </cell>
          <cell r="I638" t="str">
            <v>Aviso por falta de agua en captaciones en Espejo</v>
          </cell>
          <cell r="J638" t="str">
            <v>Espejo</v>
          </cell>
          <cell r="M638">
            <v>42.80874</v>
          </cell>
          <cell r="N638">
            <v>-3.0645699999999998</v>
          </cell>
          <cell r="O638" t="b">
            <v>1</v>
          </cell>
          <cell r="P638" t="str">
            <v>EDUARDO</v>
          </cell>
          <cell r="Q638">
            <v>5</v>
          </cell>
          <cell r="R638">
            <v>5</v>
          </cell>
          <cell r="S638">
            <v>3</v>
          </cell>
        </row>
        <row r="639">
          <cell r="B639" t="str">
            <v>Distribución</v>
          </cell>
          <cell r="C639">
            <v>1</v>
          </cell>
          <cell r="E639" t="str">
            <v>OT/0425</v>
          </cell>
          <cell r="F639">
            <v>45951</v>
          </cell>
          <cell r="G639">
            <v>45953</v>
          </cell>
          <cell r="H639" t="str">
            <v>Reparación de fuga en C/Atxarte (Llodio)</v>
          </cell>
          <cell r="I639" t="str">
            <v>Reparación de fuga en C/Atxarte (Llodio)</v>
          </cell>
          <cell r="J639" t="str">
            <v>Llodio</v>
          </cell>
          <cell r="M639">
            <v>43.149672000000002</v>
          </cell>
          <cell r="N639">
            <v>-2.9455070000000001</v>
          </cell>
          <cell r="O639" t="b">
            <v>1</v>
          </cell>
          <cell r="P639" t="str">
            <v/>
          </cell>
          <cell r="Q639">
            <v>1</v>
          </cell>
          <cell r="R639">
            <v>1</v>
          </cell>
          <cell r="S639">
            <v>1</v>
          </cell>
        </row>
        <row r="640">
          <cell r="B640" t="str">
            <v>Saneamiento</v>
          </cell>
          <cell r="C640">
            <v>1</v>
          </cell>
          <cell r="E640" t="str">
            <v>OT/0426</v>
          </cell>
          <cell r="F640">
            <v>45951</v>
          </cell>
          <cell r="G640">
            <v>45951</v>
          </cell>
          <cell r="H640" t="str">
            <v>Reparación de tapa de saneamiento en Aldaiturriaga (Amurrio)</v>
          </cell>
          <cell r="I640" t="str">
            <v>Reparación de tapa de saneamiento en Aldaiturriaga (Amurrio)</v>
          </cell>
          <cell r="J640" t="str">
            <v>Amurrio</v>
          </cell>
          <cell r="M640">
            <v>43.038226999999999</v>
          </cell>
          <cell r="N640">
            <v>-3.0040610000000001</v>
          </cell>
          <cell r="O640" t="b">
            <v>1</v>
          </cell>
          <cell r="P640" t="str">
            <v>ZOVITA Y MIGUEL</v>
          </cell>
          <cell r="Q640">
            <v>1</v>
          </cell>
          <cell r="R640">
            <v>1</v>
          </cell>
          <cell r="S640">
            <v>3</v>
          </cell>
        </row>
        <row r="641">
          <cell r="B641" t="str">
            <v>Distribución</v>
          </cell>
          <cell r="C641">
            <v>2</v>
          </cell>
          <cell r="D641">
            <v>8</v>
          </cell>
          <cell r="E641" t="str">
            <v>TP/0300</v>
          </cell>
          <cell r="F641">
            <v>45946</v>
          </cell>
          <cell r="G641">
            <v>45946</v>
          </cell>
          <cell r="H641" t="str">
            <v>Intalación de contador en C/Federico Barrenengoa n21 (Amurrio)</v>
          </cell>
          <cell r="I641" t="str">
            <v>Intalación de contador en C/Federico Barrenengoa n21 (Amurrio)</v>
          </cell>
          <cell r="J641" t="str">
            <v>Amurrio</v>
          </cell>
          <cell r="M641">
            <v>43.053694</v>
          </cell>
          <cell r="N641">
            <v>-3.005325</v>
          </cell>
          <cell r="O641" t="b">
            <v>1</v>
          </cell>
          <cell r="P641" t="str">
            <v>KERMAN</v>
          </cell>
          <cell r="Q641">
            <v>1</v>
          </cell>
          <cell r="R641">
            <v>1</v>
          </cell>
        </row>
        <row r="642">
          <cell r="B642" t="str">
            <v>Distribución</v>
          </cell>
          <cell r="C642">
            <v>2</v>
          </cell>
          <cell r="D642">
            <v>8</v>
          </cell>
          <cell r="E642" t="str">
            <v>TP/0301</v>
          </cell>
          <cell r="F642">
            <v>45946</v>
          </cell>
          <cell r="G642">
            <v>45946</v>
          </cell>
          <cell r="H642" t="str">
            <v>Intalación de contador en C/Plaza Osteguieta n7 (Llodio)</v>
          </cell>
          <cell r="I642" t="str">
            <v>Intalación de contador en C/Plaza Osteguieta n7 (Llodio)</v>
          </cell>
          <cell r="J642" t="str">
            <v>Llodio</v>
          </cell>
          <cell r="M642">
            <v>43.144930000000002</v>
          </cell>
          <cell r="N642">
            <v>-2.9620579999999999</v>
          </cell>
          <cell r="O642" t="b">
            <v>1</v>
          </cell>
          <cell r="P642" t="str">
            <v>KERMAN</v>
          </cell>
          <cell r="Q642">
            <v>1</v>
          </cell>
          <cell r="R642">
            <v>1</v>
          </cell>
        </row>
        <row r="643">
          <cell r="B643" t="str">
            <v>Distribución</v>
          </cell>
          <cell r="C643">
            <v>2</v>
          </cell>
          <cell r="D643">
            <v>8</v>
          </cell>
          <cell r="E643" t="str">
            <v>TP/0302</v>
          </cell>
          <cell r="F643">
            <v>45946</v>
          </cell>
          <cell r="G643">
            <v>45946</v>
          </cell>
          <cell r="H643" t="str">
            <v>Instalación de contador en Plaza Osteguieta n7 (Llodio)</v>
          </cell>
          <cell r="I643" t="str">
            <v>Instalación de contador en Plaza Osteguieta n7 (Llodio)</v>
          </cell>
          <cell r="J643" t="str">
            <v>Llodio</v>
          </cell>
          <cell r="M643">
            <v>43.144930000000002</v>
          </cell>
          <cell r="N643">
            <v>-2.9620579999999999</v>
          </cell>
          <cell r="O643" t="b">
            <v>1</v>
          </cell>
          <cell r="P643" t="str">
            <v>KERMAN</v>
          </cell>
          <cell r="Q643">
            <v>1</v>
          </cell>
          <cell r="R643">
            <v>1</v>
          </cell>
        </row>
        <row r="644">
          <cell r="B644" t="str">
            <v>Distribución</v>
          </cell>
          <cell r="C644">
            <v>2</v>
          </cell>
          <cell r="D644">
            <v>10</v>
          </cell>
          <cell r="E644" t="str">
            <v>TP/0303</v>
          </cell>
          <cell r="F644">
            <v>45946</v>
          </cell>
          <cell r="G644">
            <v>45947</v>
          </cell>
          <cell r="H644" t="str">
            <v>Sustitución de contador en C/Sandolla n11 (Atziniega)</v>
          </cell>
          <cell r="I644" t="str">
            <v>Sustitución de contador en C/Sandolla n11 (Atziniega)</v>
          </cell>
          <cell r="J644" t="str">
            <v>Artziniega</v>
          </cell>
          <cell r="M644">
            <v>43.123829999999998</v>
          </cell>
          <cell r="N644">
            <v>-3.1357010000000001</v>
          </cell>
          <cell r="O644" t="b">
            <v>1</v>
          </cell>
          <cell r="P644" t="str">
            <v>KERMAN MIGUEL Y ZOVITA</v>
          </cell>
          <cell r="Q644">
            <v>1</v>
          </cell>
          <cell r="R644">
            <v>1</v>
          </cell>
        </row>
        <row r="645">
          <cell r="B645" t="str">
            <v>Distribución</v>
          </cell>
          <cell r="C645">
            <v>2</v>
          </cell>
          <cell r="D645">
            <v>5</v>
          </cell>
          <cell r="E645" t="str">
            <v>TP/0304</v>
          </cell>
          <cell r="F645">
            <v>45946</v>
          </cell>
          <cell r="G645">
            <v>45947</v>
          </cell>
          <cell r="H645" t="str">
            <v>Inventario y digitalización red de abastecimiento en (Alegría)</v>
          </cell>
          <cell r="I645" t="str">
            <v>Inventario y digitalización red de abastecimiento en (Alegría)</v>
          </cell>
          <cell r="J645" t="str">
            <v>Alegría</v>
          </cell>
          <cell r="M645" t="str">
            <v/>
          </cell>
          <cell r="N645" t="str">
            <v/>
          </cell>
          <cell r="O645" t="b">
            <v>1</v>
          </cell>
          <cell r="P645" t="str">
            <v>ENEKO</v>
          </cell>
          <cell r="Q645">
            <v>3</v>
          </cell>
          <cell r="R645">
            <v>3</v>
          </cell>
        </row>
        <row r="646">
          <cell r="B646" t="str">
            <v>Distribución</v>
          </cell>
          <cell r="C646">
            <v>2</v>
          </cell>
          <cell r="D646">
            <v>9</v>
          </cell>
          <cell r="E646" t="str">
            <v>TP/0305</v>
          </cell>
          <cell r="F646">
            <v>45946</v>
          </cell>
          <cell r="G646">
            <v>45946</v>
          </cell>
          <cell r="H646" t="str">
            <v>Retirada contador C/Pagolar n10 (Llodio)</v>
          </cell>
          <cell r="I646" t="str">
            <v>Retirada contador C/Pagolar n10 (Llodio)</v>
          </cell>
          <cell r="J646" t="str">
            <v>Llodio</v>
          </cell>
          <cell r="M646">
            <v>43.139386000000002</v>
          </cell>
          <cell r="N646">
            <v>-2.9617019999999998</v>
          </cell>
          <cell r="O646" t="b">
            <v>1</v>
          </cell>
          <cell r="P646" t="str">
            <v>KERMAN</v>
          </cell>
          <cell r="Q646">
            <v>1</v>
          </cell>
          <cell r="R646">
            <v>1</v>
          </cell>
        </row>
        <row r="647">
          <cell r="B647" t="str">
            <v>Aducción</v>
          </cell>
          <cell r="C647">
            <v>2</v>
          </cell>
          <cell r="D647">
            <v>2</v>
          </cell>
          <cell r="E647" t="str">
            <v>TP/0306</v>
          </cell>
          <cell r="F647">
            <v>45947</v>
          </cell>
          <cell r="G647">
            <v>45947</v>
          </cell>
          <cell r="H647" t="str">
            <v>Limpieza captaciones Katzabazo,Delika,Agiñiga,Intxulaspe,Artomana</v>
          </cell>
          <cell r="I647" t="str">
            <v>Limpieza captaciones Katzabazo,Delika,Agiñiga,Intxulaspe,Artomana</v>
          </cell>
          <cell r="J647" t="str">
            <v>Delika</v>
          </cell>
          <cell r="M647" t="str">
            <v/>
          </cell>
          <cell r="N647" t="str">
            <v/>
          </cell>
          <cell r="O647" t="b">
            <v>1</v>
          </cell>
          <cell r="P647" t="str">
            <v>V</v>
          </cell>
          <cell r="Q647">
            <v>1</v>
          </cell>
          <cell r="R647">
            <v>1</v>
          </cell>
        </row>
        <row r="648">
          <cell r="B648" t="str">
            <v>Distribución</v>
          </cell>
          <cell r="C648">
            <v>2</v>
          </cell>
          <cell r="D648">
            <v>12</v>
          </cell>
          <cell r="E648" t="str">
            <v>TP/0307</v>
          </cell>
          <cell r="F648">
            <v>45947</v>
          </cell>
          <cell r="G648">
            <v>45947</v>
          </cell>
          <cell r="H648" t="str">
            <v>Corte de Agua en Lateorro (Llodio)</v>
          </cell>
          <cell r="I648" t="str">
            <v>Corte de Agua en Lateorro (Llodio)</v>
          </cell>
          <cell r="J648" t="str">
            <v>Llodio</v>
          </cell>
          <cell r="M648">
            <v>43.138773</v>
          </cell>
          <cell r="N648">
            <v>-2.96048</v>
          </cell>
          <cell r="O648" t="b">
            <v>1</v>
          </cell>
          <cell r="P648" t="str">
            <v>IÑIGO</v>
          </cell>
          <cell r="Q648">
            <v>1</v>
          </cell>
          <cell r="R648">
            <v>1</v>
          </cell>
        </row>
        <row r="649">
          <cell r="B649" t="str">
            <v>Distribución</v>
          </cell>
          <cell r="C649">
            <v>2</v>
          </cell>
          <cell r="D649">
            <v>7</v>
          </cell>
          <cell r="E649" t="str">
            <v>TP/0308</v>
          </cell>
          <cell r="F649">
            <v>45947</v>
          </cell>
          <cell r="G649">
            <v>45947</v>
          </cell>
          <cell r="H649" t="str">
            <v>Localización de fugas en Villanueva de Valdegovia</v>
          </cell>
          <cell r="I649" t="str">
            <v>Localización de fugas en Villanueva de Valdegovia</v>
          </cell>
          <cell r="J649" t="str">
            <v>Gaubea</v>
          </cell>
          <cell r="M649" t="str">
            <v/>
          </cell>
          <cell r="N649" t="str">
            <v/>
          </cell>
          <cell r="O649" t="b">
            <v>1</v>
          </cell>
          <cell r="P649" t="str">
            <v>ENEKO</v>
          </cell>
          <cell r="Q649">
            <v>5</v>
          </cell>
          <cell r="R649">
            <v>5</v>
          </cell>
          <cell r="S649">
            <v>1</v>
          </cell>
        </row>
        <row r="650">
          <cell r="B650" t="str">
            <v>Saneamiento</v>
          </cell>
          <cell r="C650">
            <v>2</v>
          </cell>
          <cell r="D650">
            <v>7</v>
          </cell>
          <cell r="E650" t="str">
            <v>TP/0309</v>
          </cell>
          <cell r="F650">
            <v>45947</v>
          </cell>
          <cell r="G650">
            <v>45947</v>
          </cell>
          <cell r="H650" t="str">
            <v>Mantenimiento preventivo saneamiento Alegría</v>
          </cell>
          <cell r="I650" t="str">
            <v>Mantenimiento preventivo saneamiento Alegría</v>
          </cell>
          <cell r="J650" t="str">
            <v>Alegría</v>
          </cell>
          <cell r="M650">
            <v>42.852398000000001</v>
          </cell>
          <cell r="N650">
            <v>-2.3900299999999999</v>
          </cell>
          <cell r="O650" t="b">
            <v>1</v>
          </cell>
          <cell r="P650" t="str">
            <v>ANGEL KERMAN EDU</v>
          </cell>
          <cell r="Q650">
            <v>3</v>
          </cell>
          <cell r="R650">
            <v>3</v>
          </cell>
        </row>
        <row r="651">
          <cell r="B651" t="str">
            <v>Saneamiento</v>
          </cell>
          <cell r="C651">
            <v>2</v>
          </cell>
          <cell r="D651">
            <v>1</v>
          </cell>
          <cell r="E651" t="str">
            <v>TP/0310</v>
          </cell>
          <cell r="F651">
            <v>45947</v>
          </cell>
          <cell r="G651">
            <v>45947</v>
          </cell>
          <cell r="H651" t="str">
            <v>Mantenimiento preventivo saneamiento Agurain</v>
          </cell>
          <cell r="I651" t="str">
            <v>Mantenimiento preventivo saneamiento Agurain</v>
          </cell>
          <cell r="J651" t="str">
            <v>Agurain</v>
          </cell>
          <cell r="M651">
            <v>42.852474999999998</v>
          </cell>
          <cell r="N651">
            <v>-2.3902260000000002</v>
          </cell>
          <cell r="O651" t="b">
            <v>1</v>
          </cell>
          <cell r="P651" t="str">
            <v>ANGEL KERMAN EDU</v>
          </cell>
          <cell r="Q651">
            <v>3</v>
          </cell>
          <cell r="R651">
            <v>3</v>
          </cell>
        </row>
        <row r="652">
          <cell r="B652" t="str">
            <v>Saneamiento</v>
          </cell>
          <cell r="C652">
            <v>1</v>
          </cell>
          <cell r="E652" t="str">
            <v>OT/0427</v>
          </cell>
          <cell r="F652">
            <v>45948</v>
          </cell>
          <cell r="G652">
            <v>45948</v>
          </cell>
          <cell r="H652" t="str">
            <v>Atasco en saneamiento en Zurbano</v>
          </cell>
          <cell r="I652" t="str">
            <v>Atasco en saneamiento en Zurbano</v>
          </cell>
          <cell r="J652" t="str">
            <v>Zurbano</v>
          </cell>
          <cell r="M652">
            <v>42.869999</v>
          </cell>
          <cell r="N652">
            <v>-2.6171440000000001</v>
          </cell>
          <cell r="O652" t="b">
            <v>1</v>
          </cell>
          <cell r="P652" t="str">
            <v>V</v>
          </cell>
          <cell r="Q652">
            <v>4</v>
          </cell>
          <cell r="R652">
            <v>4</v>
          </cell>
          <cell r="S652">
            <v>2</v>
          </cell>
        </row>
        <row r="653">
          <cell r="B653" t="str">
            <v>Distribución</v>
          </cell>
          <cell r="C653">
            <v>1</v>
          </cell>
          <cell r="E653" t="str">
            <v>OT/0428</v>
          </cell>
          <cell r="F653">
            <v>45948</v>
          </cell>
          <cell r="G653">
            <v>45948</v>
          </cell>
          <cell r="H653" t="str">
            <v>Aviso abonado sin presión en Astúlez</v>
          </cell>
          <cell r="I653" t="str">
            <v>Aviso abonado sin presión en Astúlez</v>
          </cell>
          <cell r="J653" t="str">
            <v>Astúlez</v>
          </cell>
          <cell r="M653">
            <v>42.882237000000003</v>
          </cell>
          <cell r="N653">
            <v>-3.0874009999999998</v>
          </cell>
          <cell r="O653" t="b">
            <v>1</v>
          </cell>
          <cell r="P653" t="str">
            <v>V</v>
          </cell>
          <cell r="Q653">
            <v>5</v>
          </cell>
          <cell r="R653">
            <v>5</v>
          </cell>
          <cell r="S653">
            <v>3</v>
          </cell>
        </row>
        <row r="654">
          <cell r="B654" t="str">
            <v>Distribución</v>
          </cell>
          <cell r="C654">
            <v>1</v>
          </cell>
          <cell r="E654" t="str">
            <v>OT/0429</v>
          </cell>
          <cell r="F654">
            <v>45948</v>
          </cell>
          <cell r="G654">
            <v>45948</v>
          </cell>
          <cell r="H654" t="str">
            <v>Aviso por fuga en Pobes C/Fuente Pudia n48</v>
          </cell>
          <cell r="I654" t="str">
            <v>Aviso por fuga en Pobes C/Fuente Pudia n48</v>
          </cell>
          <cell r="J654" t="str">
            <v>Pobes</v>
          </cell>
          <cell r="M654">
            <v>42.802503000000002</v>
          </cell>
          <cell r="N654">
            <v>-2.9108749999999999</v>
          </cell>
          <cell r="O654" t="b">
            <v>1</v>
          </cell>
          <cell r="P654" t="str">
            <v>V</v>
          </cell>
          <cell r="Q654">
            <v>5</v>
          </cell>
          <cell r="R654">
            <v>5</v>
          </cell>
          <cell r="S654">
            <v>1</v>
          </cell>
        </row>
        <row r="655">
          <cell r="B655" t="str">
            <v>Distribución</v>
          </cell>
          <cell r="C655">
            <v>1</v>
          </cell>
          <cell r="E655" t="str">
            <v>OT/0430</v>
          </cell>
          <cell r="F655">
            <v>45950</v>
          </cell>
          <cell r="G655">
            <v>45950</v>
          </cell>
          <cell r="H655" t="str">
            <v>Aviso abonado sin agua en C/Gazarriza n11 (Rivabellosa)</v>
          </cell>
          <cell r="I655" t="str">
            <v>Aviso abonado sin agua en C/Gazarriza n11 (Rivabellosa)</v>
          </cell>
          <cell r="J655" t="str">
            <v>Ribabellosa</v>
          </cell>
          <cell r="M655">
            <v>42.710346000000001</v>
          </cell>
          <cell r="N655">
            <v>-2.9183020000000002</v>
          </cell>
          <cell r="O655" t="b">
            <v>1</v>
          </cell>
          <cell r="P655" t="str">
            <v>EDU</v>
          </cell>
          <cell r="Q655">
            <v>5</v>
          </cell>
          <cell r="R655">
            <v>5</v>
          </cell>
          <cell r="S655">
            <v>3</v>
          </cell>
        </row>
        <row r="656">
          <cell r="B656" t="str">
            <v>Saneamiento</v>
          </cell>
          <cell r="C656">
            <v>2</v>
          </cell>
          <cell r="D656">
            <v>1</v>
          </cell>
          <cell r="E656" t="str">
            <v>TP/0311</v>
          </cell>
          <cell r="F656">
            <v>45950</v>
          </cell>
          <cell r="G656">
            <v>45950</v>
          </cell>
          <cell r="H656" t="str">
            <v>Mantenimiento preventivo enLlodio (Ellakuri,Tubacex,Gokoplaza)</v>
          </cell>
          <cell r="I656" t="str">
            <v>Mantenimiento preventivo en Llodio (Ellakuri,Tubacex,Goikoplaza)</v>
          </cell>
          <cell r="J656" t="str">
            <v>Llodio</v>
          </cell>
          <cell r="M656">
            <v>43.134931000000002</v>
          </cell>
          <cell r="N656">
            <v>-2.968648</v>
          </cell>
          <cell r="O656" t="b">
            <v>1</v>
          </cell>
          <cell r="P656" t="str">
            <v>EMILIO MIGUEL</v>
          </cell>
          <cell r="Q656">
            <v>1</v>
          </cell>
          <cell r="R656">
            <v>1</v>
          </cell>
        </row>
        <row r="657">
          <cell r="B657" t="str">
            <v>Distribución</v>
          </cell>
          <cell r="C657">
            <v>2</v>
          </cell>
          <cell r="D657">
            <v>10</v>
          </cell>
          <cell r="E657" t="str">
            <v>TP/0312</v>
          </cell>
          <cell r="F657">
            <v>45950</v>
          </cell>
          <cell r="G657">
            <v>45950</v>
          </cell>
          <cell r="H657" t="str">
            <v>Sustitución de contador C/Arquitecto Jesus Guinea n94 (Villanueva)</v>
          </cell>
          <cell r="I657" t="str">
            <v>Sustitución de contador C/Arquitecto Jesus Guinea N94 (Villanueva)</v>
          </cell>
          <cell r="J657" t="str">
            <v>Villanueva</v>
          </cell>
          <cell r="M657">
            <v>42.847788000000001</v>
          </cell>
          <cell r="N657">
            <v>-3.1048339999999999</v>
          </cell>
          <cell r="O657" t="b">
            <v>1</v>
          </cell>
          <cell r="P657" t="str">
            <v>KERMAN Y ZOUITA</v>
          </cell>
          <cell r="Q657">
            <v>5</v>
          </cell>
          <cell r="R657">
            <v>5</v>
          </cell>
        </row>
        <row r="658">
          <cell r="B658" t="str">
            <v>Distribución</v>
          </cell>
          <cell r="C658">
            <v>1</v>
          </cell>
          <cell r="E658" t="str">
            <v>OT/0431</v>
          </cell>
          <cell r="F658">
            <v>45950</v>
          </cell>
          <cell r="G658">
            <v>45950</v>
          </cell>
          <cell r="H658" t="str">
            <v>Reparación de fuga en C/Arquitecto Jesus Guinea n9 (Villanueva)</v>
          </cell>
          <cell r="I658" t="str">
            <v>Reparación de fuga en C/Arquitecto Jesus Guinea n9 (Villanueva)</v>
          </cell>
          <cell r="J658" t="str">
            <v>Villanueva</v>
          </cell>
          <cell r="M658">
            <v>42.847549999999998</v>
          </cell>
          <cell r="N658">
            <v>-3.101988</v>
          </cell>
          <cell r="O658" t="b">
            <v>1</v>
          </cell>
          <cell r="P658" t="str">
            <v>KERMAN Y ZOUITA</v>
          </cell>
          <cell r="Q658">
            <v>5</v>
          </cell>
          <cell r="R658">
            <v>5</v>
          </cell>
          <cell r="S658">
            <v>1</v>
          </cell>
        </row>
        <row r="659">
          <cell r="B659" t="str">
            <v>Distribución</v>
          </cell>
          <cell r="C659">
            <v>1</v>
          </cell>
          <cell r="E659" t="str">
            <v>OT/0432</v>
          </cell>
          <cell r="F659">
            <v>45950</v>
          </cell>
          <cell r="G659">
            <v>45950</v>
          </cell>
          <cell r="H659" t="str">
            <v>Reparación de fuga en C/Omecillo n13 (Espejo)</v>
          </cell>
          <cell r="I659" t="str">
            <v>Reparación de fuga en C/Omecillo n13 (Espejo)</v>
          </cell>
          <cell r="J659" t="str">
            <v>Espejo</v>
          </cell>
          <cell r="M659">
            <v>42.808506000000001</v>
          </cell>
          <cell r="N659">
            <v>-3.050214</v>
          </cell>
          <cell r="O659" t="b">
            <v>1</v>
          </cell>
          <cell r="P659" t="str">
            <v>KERMAN Y ZOUITA</v>
          </cell>
          <cell r="Q659">
            <v>5</v>
          </cell>
          <cell r="R659">
            <v>5</v>
          </cell>
          <cell r="S659">
            <v>1</v>
          </cell>
        </row>
        <row r="660">
          <cell r="B660" t="str">
            <v>Distribución</v>
          </cell>
          <cell r="C660">
            <v>2</v>
          </cell>
          <cell r="D660">
            <v>8</v>
          </cell>
          <cell r="E660" t="str">
            <v>TP/0313</v>
          </cell>
          <cell r="F660">
            <v>45950</v>
          </cell>
          <cell r="G660">
            <v>45950</v>
          </cell>
          <cell r="H660" t="str">
            <v>Instalación contador C/Bañuetaibar n1 (Amurrio)</v>
          </cell>
          <cell r="I660" t="str">
            <v>Instalación contador C/Bañuetaibar n1 (Amurrio)</v>
          </cell>
          <cell r="J660" t="str">
            <v>Amurrio</v>
          </cell>
          <cell r="M660">
            <v>43.054042000000003</v>
          </cell>
          <cell r="N660">
            <v>-2.997814</v>
          </cell>
          <cell r="O660" t="b">
            <v>1</v>
          </cell>
          <cell r="P660" t="str">
            <v>KERMAN Y ZOUITA</v>
          </cell>
          <cell r="Q660">
            <v>1</v>
          </cell>
          <cell r="R660">
            <v>1</v>
          </cell>
        </row>
        <row r="661">
          <cell r="B661" t="str">
            <v>Distribución</v>
          </cell>
          <cell r="C661">
            <v>2</v>
          </cell>
          <cell r="D661">
            <v>8</v>
          </cell>
          <cell r="E661" t="str">
            <v>TP/0314</v>
          </cell>
          <cell r="F661">
            <v>45950</v>
          </cell>
          <cell r="G661">
            <v>45950</v>
          </cell>
          <cell r="H661" t="str">
            <v>Instalación contador C/Jose Pikatza n9 (Amurrio)</v>
          </cell>
          <cell r="I661" t="str">
            <v>Instalación contador C/Jose Pikatza n9 (Amurrio)</v>
          </cell>
          <cell r="J661" t="str">
            <v>Amurrio</v>
          </cell>
          <cell r="M661">
            <v>43.052826000000003</v>
          </cell>
          <cell r="N661">
            <v>-3.0045289999999998</v>
          </cell>
          <cell r="O661" t="b">
            <v>1</v>
          </cell>
          <cell r="P661" t="str">
            <v>KERMAN Y ZOUITA</v>
          </cell>
          <cell r="Q661">
            <v>1</v>
          </cell>
          <cell r="R661">
            <v>1</v>
          </cell>
        </row>
        <row r="662">
          <cell r="B662" t="str">
            <v>Distribución</v>
          </cell>
          <cell r="C662">
            <v>2</v>
          </cell>
          <cell r="D662">
            <v>12</v>
          </cell>
          <cell r="E662" t="str">
            <v>TP/0315</v>
          </cell>
          <cell r="F662">
            <v>45951</v>
          </cell>
          <cell r="G662">
            <v>45951</v>
          </cell>
          <cell r="H662" t="str">
            <v>Colocación de avisos corte de agua en Espejo</v>
          </cell>
          <cell r="I662" t="str">
            <v>Colocación de avisos corte de agua en Espejo</v>
          </cell>
          <cell r="J662" t="str">
            <v>Espejo</v>
          </cell>
          <cell r="M662" t="str">
            <v/>
          </cell>
          <cell r="N662" t="str">
            <v/>
          </cell>
          <cell r="O662" t="b">
            <v>1</v>
          </cell>
          <cell r="P662" t="str">
            <v>EDUARDO</v>
          </cell>
          <cell r="Q662">
            <v>5</v>
          </cell>
          <cell r="R662">
            <v>5</v>
          </cell>
        </row>
        <row r="663">
          <cell r="B663" t="str">
            <v>Distribución</v>
          </cell>
          <cell r="C663">
            <v>1</v>
          </cell>
          <cell r="E663" t="str">
            <v>OT/0433</v>
          </cell>
          <cell r="F663">
            <v>45951</v>
          </cell>
          <cell r="G663">
            <v>45951</v>
          </cell>
          <cell r="H663" t="str">
            <v>Aviso por falta de presión en C/Asudio n1 (Llodio)</v>
          </cell>
          <cell r="I663" t="str">
            <v>Aviso por falta de presión en C/Asudio n1 (Llodio)</v>
          </cell>
          <cell r="J663" t="str">
            <v>Llodio</v>
          </cell>
          <cell r="M663">
            <v>43.13935</v>
          </cell>
          <cell r="N663">
            <v>-2.9643540000000002</v>
          </cell>
          <cell r="O663" t="b">
            <v>1</v>
          </cell>
          <cell r="P663" t="str">
            <v>TOMAS</v>
          </cell>
          <cell r="Q663">
            <v>1</v>
          </cell>
          <cell r="R663">
            <v>1</v>
          </cell>
          <cell r="S663">
            <v>3</v>
          </cell>
        </row>
        <row r="664">
          <cell r="B664" t="str">
            <v>Saneamiento</v>
          </cell>
          <cell r="C664">
            <v>1</v>
          </cell>
          <cell r="E664" t="str">
            <v>OT/0434</v>
          </cell>
          <cell r="F664">
            <v>45951</v>
          </cell>
          <cell r="G664">
            <v>45952</v>
          </cell>
          <cell r="H664" t="str">
            <v>Aviso por filtraciónes en saneamiento C/Nerbion n10 (Llodio)</v>
          </cell>
          <cell r="I664" t="str">
            <v>Aviso por filtraciónes en C/Nerbioi n10 (Llodio)</v>
          </cell>
          <cell r="J664" t="str">
            <v>Llodio</v>
          </cell>
          <cell r="M664">
            <v>43.141786000000003</v>
          </cell>
          <cell r="N664">
            <v>-2.9619460000000002</v>
          </cell>
          <cell r="O664" t="b">
            <v>1</v>
          </cell>
          <cell r="P664" t="str">
            <v>TOMAS</v>
          </cell>
          <cell r="Q664">
            <v>1</v>
          </cell>
          <cell r="R664">
            <v>1</v>
          </cell>
          <cell r="S664">
            <v>1</v>
          </cell>
        </row>
        <row r="665">
          <cell r="B665" t="str">
            <v>Distribución</v>
          </cell>
          <cell r="C665">
            <v>1</v>
          </cell>
          <cell r="E665" t="str">
            <v>OT/0435</v>
          </cell>
          <cell r="F665">
            <v>45951</v>
          </cell>
          <cell r="G665">
            <v>45951</v>
          </cell>
          <cell r="H665" t="str">
            <v>Aviso por avería en C/Goikolarra (Amurrio)</v>
          </cell>
          <cell r="I665" t="str">
            <v>Aviso por avería en C/Goikolarra (Amurrio)</v>
          </cell>
          <cell r="J665" t="str">
            <v>Amurrio</v>
          </cell>
          <cell r="M665">
            <v>43.060304000000002</v>
          </cell>
          <cell r="N665">
            <v>-3.0019909999999999</v>
          </cell>
          <cell r="O665" t="b">
            <v>1</v>
          </cell>
          <cell r="P665" t="str">
            <v>IÑIGO</v>
          </cell>
          <cell r="Q665">
            <v>1</v>
          </cell>
          <cell r="R665">
            <v>1</v>
          </cell>
          <cell r="S665">
            <v>3</v>
          </cell>
        </row>
        <row r="666">
          <cell r="B666" t="str">
            <v>Distribución</v>
          </cell>
          <cell r="C666">
            <v>2</v>
          </cell>
          <cell r="D666">
            <v>12</v>
          </cell>
          <cell r="E666" t="str">
            <v>TP/0316</v>
          </cell>
          <cell r="F666">
            <v>45951</v>
          </cell>
          <cell r="G666">
            <v>45951</v>
          </cell>
          <cell r="H666" t="str">
            <v>Corte de agua en Lateorro (Llodio)</v>
          </cell>
          <cell r="I666" t="str">
            <v>Corte de agua en Lateorro (Llodio)</v>
          </cell>
          <cell r="J666" t="str">
            <v>Llodio</v>
          </cell>
          <cell r="M666">
            <v>43.138648000000003</v>
          </cell>
          <cell r="N666">
            <v>-2.961284</v>
          </cell>
          <cell r="O666" t="b">
            <v>1</v>
          </cell>
          <cell r="P666" t="str">
            <v>IÑIGO</v>
          </cell>
          <cell r="Q666">
            <v>1</v>
          </cell>
          <cell r="R666">
            <v>1</v>
          </cell>
        </row>
        <row r="667">
          <cell r="B667" t="str">
            <v>Distribución</v>
          </cell>
          <cell r="C667">
            <v>1</v>
          </cell>
          <cell r="E667" t="str">
            <v>OT/0436</v>
          </cell>
          <cell r="F667">
            <v>45951</v>
          </cell>
          <cell r="G667">
            <v>45951</v>
          </cell>
          <cell r="H667" t="str">
            <v>Reparación de fuga en Lekamaña n6</v>
          </cell>
          <cell r="I667" t="str">
            <v>Reparación de fuga en Lekamaña n6</v>
          </cell>
          <cell r="J667" t="str">
            <v>Lekamaña</v>
          </cell>
          <cell r="M667">
            <v>43.020856999999999</v>
          </cell>
          <cell r="N667">
            <v>-2.996143</v>
          </cell>
          <cell r="O667" t="b">
            <v>1</v>
          </cell>
          <cell r="P667" t="str">
            <v>IÑIGO</v>
          </cell>
          <cell r="Q667">
            <v>1</v>
          </cell>
          <cell r="R667">
            <v>1</v>
          </cell>
          <cell r="S667">
            <v>1</v>
          </cell>
        </row>
        <row r="668">
          <cell r="B668" t="str">
            <v>Distribución</v>
          </cell>
          <cell r="C668">
            <v>1</v>
          </cell>
          <cell r="E668" t="str">
            <v>OT/0437</v>
          </cell>
          <cell r="F668">
            <v>45951</v>
          </cell>
          <cell r="G668">
            <v>45951</v>
          </cell>
          <cell r="H668" t="str">
            <v>Reparación de fuga en C/Las Panlejas ( Pobes)</v>
          </cell>
          <cell r="I668" t="str">
            <v>Reparación de fuga en C/Las Panlejas ( Pobes)</v>
          </cell>
          <cell r="J668" t="str">
            <v>Pobes</v>
          </cell>
          <cell r="M668">
            <v>42.803846999999998</v>
          </cell>
          <cell r="N668">
            <v>-2.9080170000000001</v>
          </cell>
          <cell r="O668" t="b">
            <v>1</v>
          </cell>
          <cell r="P668" t="str">
            <v>KERMAN</v>
          </cell>
          <cell r="Q668">
            <v>5</v>
          </cell>
          <cell r="R668">
            <v>5</v>
          </cell>
          <cell r="S668">
            <v>1</v>
          </cell>
        </row>
        <row r="669">
          <cell r="B669" t="str">
            <v>Distribución</v>
          </cell>
          <cell r="C669">
            <v>1</v>
          </cell>
          <cell r="E669" t="str">
            <v>OT/0438</v>
          </cell>
          <cell r="F669">
            <v>45951</v>
          </cell>
          <cell r="G669">
            <v>45951</v>
          </cell>
          <cell r="H669" t="str">
            <v>Reparación de fuga en C/Sorginetxe-Arrizala (Opakua)</v>
          </cell>
          <cell r="I669" t="str">
            <v>Reparación de fuga en C/Sorginetxe-Arrizala (Opakua)</v>
          </cell>
          <cell r="J669" t="str">
            <v>Opacua</v>
          </cell>
          <cell r="M669">
            <v>42.827922999999998</v>
          </cell>
          <cell r="N669">
            <v>-2.3718490000000001</v>
          </cell>
          <cell r="O669" t="b">
            <v>1</v>
          </cell>
          <cell r="P669" t="str">
            <v>KERMAN</v>
          </cell>
          <cell r="Q669">
            <v>3</v>
          </cell>
          <cell r="R669">
            <v>3</v>
          </cell>
          <cell r="S669">
            <v>1</v>
          </cell>
        </row>
        <row r="670">
          <cell r="B670" t="str">
            <v>Distribución</v>
          </cell>
          <cell r="C670">
            <v>2</v>
          </cell>
          <cell r="D670">
            <v>8</v>
          </cell>
          <cell r="E670" t="str">
            <v>TP/0317</v>
          </cell>
          <cell r="F670">
            <v>45951</v>
          </cell>
          <cell r="G670">
            <v>45951</v>
          </cell>
          <cell r="H670" t="str">
            <v>Instalación contador en Colegio Lateorro (Llodio)</v>
          </cell>
          <cell r="I670" t="str">
            <v>Instalación contador en Colegio Lateorro (Llodio)</v>
          </cell>
          <cell r="J670" t="str">
            <v>Llodio</v>
          </cell>
          <cell r="M670">
            <v>43.138330000000003</v>
          </cell>
          <cell r="N670">
            <v>-2.9585900000000001</v>
          </cell>
          <cell r="O670" t="b">
            <v>1</v>
          </cell>
          <cell r="P670" t="str">
            <v>IÑIGO</v>
          </cell>
          <cell r="Q670">
            <v>1</v>
          </cell>
          <cell r="R670">
            <v>1</v>
          </cell>
        </row>
        <row r="671">
          <cell r="B671" t="str">
            <v>Distribución</v>
          </cell>
          <cell r="C671">
            <v>1</v>
          </cell>
          <cell r="E671" t="str">
            <v>OT/0439</v>
          </cell>
          <cell r="F671">
            <v>45951</v>
          </cell>
          <cell r="G671">
            <v>45951</v>
          </cell>
          <cell r="H671" t="str">
            <v>Reparación de fuga en Larrazabal n33-34 (Llodio)</v>
          </cell>
          <cell r="I671" t="str">
            <v>Reparación de fuga en Larrazabal n33-34 (Llodio)</v>
          </cell>
          <cell r="J671" t="str">
            <v>Llodio</v>
          </cell>
          <cell r="M671">
            <v>43.140017999999998</v>
          </cell>
          <cell r="N671">
            <v>-2.9815659999999999</v>
          </cell>
          <cell r="O671" t="b">
            <v>1</v>
          </cell>
          <cell r="P671" t="str">
            <v>MIGUEL</v>
          </cell>
          <cell r="Q671">
            <v>1</v>
          </cell>
          <cell r="R671">
            <v>1</v>
          </cell>
          <cell r="S671">
            <v>1</v>
          </cell>
        </row>
        <row r="672">
          <cell r="B672" t="str">
            <v>Distribución</v>
          </cell>
          <cell r="C672">
            <v>1</v>
          </cell>
          <cell r="E672" t="str">
            <v>OT/0440</v>
          </cell>
          <cell r="F672">
            <v>45950</v>
          </cell>
          <cell r="G672">
            <v>45951</v>
          </cell>
          <cell r="H672" t="str">
            <v>Fuga en C/Mayor n33 en Berantevilla</v>
          </cell>
          <cell r="I672" t="str">
            <v>Fuga en C/Mayor n33 en Berantevilla</v>
          </cell>
          <cell r="J672" t="str">
            <v>Berantevilla</v>
          </cell>
          <cell r="M672">
            <v>42.683660000000003</v>
          </cell>
          <cell r="N672">
            <v>-2.8569900000000001</v>
          </cell>
          <cell r="O672" t="b">
            <v>1</v>
          </cell>
          <cell r="P672" t="str">
            <v>V</v>
          </cell>
          <cell r="Q672">
            <v>5</v>
          </cell>
          <cell r="R672">
            <v>5</v>
          </cell>
          <cell r="S672">
            <v>1</v>
          </cell>
        </row>
        <row r="673">
          <cell r="B673" t="str">
            <v>Distribución</v>
          </cell>
          <cell r="C673">
            <v>1</v>
          </cell>
          <cell r="E673" t="str">
            <v>OT/0441</v>
          </cell>
          <cell r="F673">
            <v>45950</v>
          </cell>
          <cell r="G673">
            <v>45951</v>
          </cell>
          <cell r="H673" t="str">
            <v>Reparación de Fuga en Pobes C/Fuente pudia n48</v>
          </cell>
          <cell r="I673" t="str">
            <v>Fuga en Pobes C/Fuente pudia n48</v>
          </cell>
          <cell r="J673" t="str">
            <v>Pobes</v>
          </cell>
          <cell r="M673">
            <v>42.802503000000002</v>
          </cell>
          <cell r="N673">
            <v>-2.9108749999999999</v>
          </cell>
          <cell r="O673" t="b">
            <v>1</v>
          </cell>
          <cell r="P673" t="str">
            <v>V</v>
          </cell>
          <cell r="Q673">
            <v>5</v>
          </cell>
          <cell r="R673">
            <v>5</v>
          </cell>
          <cell r="S673">
            <v>1</v>
          </cell>
        </row>
        <row r="674">
          <cell r="B674" t="str">
            <v>Distribución</v>
          </cell>
          <cell r="C674">
            <v>2</v>
          </cell>
          <cell r="D674">
            <v>12</v>
          </cell>
          <cell r="E674" t="str">
            <v>TP/0318</v>
          </cell>
          <cell r="F674">
            <v>45952</v>
          </cell>
          <cell r="G674">
            <v>45952</v>
          </cell>
          <cell r="H674" t="str">
            <v>Corte de agua en Agurain C/HarriKrutz</v>
          </cell>
          <cell r="I674" t="str">
            <v>Corte de agua en Agurain C/HarriKrutz</v>
          </cell>
          <cell r="J674" t="str">
            <v>Agurain</v>
          </cell>
          <cell r="M674" t="str">
            <v/>
          </cell>
          <cell r="N674" t="str">
            <v/>
          </cell>
          <cell r="O674" t="b">
            <v>1</v>
          </cell>
          <cell r="P674" t="str">
            <v>V</v>
          </cell>
          <cell r="Q674">
            <v>3</v>
          </cell>
          <cell r="R674">
            <v>3</v>
          </cell>
        </row>
        <row r="675">
          <cell r="B675" t="str">
            <v>Distribución</v>
          </cell>
          <cell r="C675">
            <v>1</v>
          </cell>
          <cell r="E675" t="str">
            <v>OT/0442</v>
          </cell>
          <cell r="F675">
            <v>45952</v>
          </cell>
          <cell r="G675">
            <v>45952</v>
          </cell>
          <cell r="H675" t="str">
            <v>Reparación de fuga en Retes de Tudela</v>
          </cell>
          <cell r="I675" t="str">
            <v>Reparación de fuga en Retes de Tudela</v>
          </cell>
          <cell r="J675" t="str">
            <v>Retes de Tudela</v>
          </cell>
          <cell r="M675">
            <v>43.114828000000003</v>
          </cell>
          <cell r="N675">
            <v>-3.1690990000000001</v>
          </cell>
          <cell r="O675" t="b">
            <v>1</v>
          </cell>
          <cell r="P675" t="str">
            <v>V</v>
          </cell>
          <cell r="Q675">
            <v>1</v>
          </cell>
          <cell r="R675">
            <v>1</v>
          </cell>
          <cell r="S675">
            <v>1</v>
          </cell>
        </row>
        <row r="676">
          <cell r="B676" t="str">
            <v>Depuración</v>
          </cell>
          <cell r="C676">
            <v>2</v>
          </cell>
          <cell r="D676">
            <v>3</v>
          </cell>
          <cell r="E676" t="str">
            <v>TP/0319</v>
          </cell>
          <cell r="F676">
            <v>45952</v>
          </cell>
          <cell r="G676">
            <v>45952</v>
          </cell>
          <cell r="H676" t="str">
            <v>Mantenimiento de fosas Sépticas en Mendibil</v>
          </cell>
          <cell r="I676" t="str">
            <v>Mantenimiento de fosas Sépticas en Mendibil</v>
          </cell>
          <cell r="J676" t="str">
            <v>Mendibil</v>
          </cell>
          <cell r="M676">
            <v>42.905535999999998</v>
          </cell>
          <cell r="N676">
            <v>-2.6296080000000002</v>
          </cell>
          <cell r="O676" t="b">
            <v>1</v>
          </cell>
          <cell r="P676" t="str">
            <v>EMILIO KERMAN</v>
          </cell>
          <cell r="Q676">
            <v>4</v>
          </cell>
          <cell r="R676">
            <v>4</v>
          </cell>
        </row>
        <row r="677">
          <cell r="B677" t="str">
            <v>Otros</v>
          </cell>
          <cell r="C677">
            <v>3</v>
          </cell>
          <cell r="E677" t="str">
            <v>GF/0005</v>
          </cell>
          <cell r="F677">
            <v>45931</v>
          </cell>
          <cell r="G677">
            <v>45961</v>
          </cell>
          <cell r="H677" t="str">
            <v>Gastos fijos de explotación totales</v>
          </cell>
          <cell r="I677" t="str">
            <v>Gastos fijos de explotación totales</v>
          </cell>
          <cell r="J677" t="str">
            <v/>
          </cell>
          <cell r="M677" t="str">
            <v/>
          </cell>
          <cell r="N677" t="str">
            <v/>
          </cell>
          <cell r="O677" t="b">
            <v>1</v>
          </cell>
          <cell r="P677" t="str">
            <v>ELENA</v>
          </cell>
          <cell r="Q677">
            <v>10</v>
          </cell>
          <cell r="R677">
            <v>10</v>
          </cell>
        </row>
        <row r="678">
          <cell r="B678" t="str">
            <v>Otros</v>
          </cell>
          <cell r="C678">
            <v>3</v>
          </cell>
          <cell r="E678" t="str">
            <v>GF/0006</v>
          </cell>
          <cell r="F678">
            <v>45931</v>
          </cell>
          <cell r="G678">
            <v>45961</v>
          </cell>
          <cell r="H678" t="str">
            <v>Gestión documental del contrato</v>
          </cell>
          <cell r="I678" t="str">
            <v>Gestión documental del contrato</v>
          </cell>
          <cell r="J678" t="str">
            <v/>
          </cell>
          <cell r="M678" t="str">
            <v/>
          </cell>
          <cell r="N678" t="str">
            <v/>
          </cell>
          <cell r="O678" t="b">
            <v>1</v>
          </cell>
          <cell r="P678" t="str">
            <v>ELENA</v>
          </cell>
          <cell r="Q678">
            <v>10</v>
          </cell>
          <cell r="R678">
            <v>10</v>
          </cell>
        </row>
        <row r="679">
          <cell r="B679" t="str">
            <v>Depuración</v>
          </cell>
          <cell r="C679">
            <v>2</v>
          </cell>
          <cell r="D679">
            <v>3</v>
          </cell>
          <cell r="E679" t="str">
            <v>TP/0320</v>
          </cell>
          <cell r="F679">
            <v>45952</v>
          </cell>
          <cell r="G679">
            <v>45952</v>
          </cell>
          <cell r="H679" t="str">
            <v>Vaciado y limpieza de fosas sépticas de Luko</v>
          </cell>
          <cell r="I679" t="str">
            <v>Vaciado y limpieza de fosas sépticas de Luko</v>
          </cell>
          <cell r="J679" t="str">
            <v>Luko</v>
          </cell>
          <cell r="M679">
            <v>42.933149999999998</v>
          </cell>
          <cell r="N679">
            <v>-2.6412689999999999</v>
          </cell>
          <cell r="O679" t="b">
            <v>1</v>
          </cell>
          <cell r="P679" t="str">
            <v>EMILIO KERMAN</v>
          </cell>
          <cell r="Q679">
            <v>4</v>
          </cell>
          <cell r="R679">
            <v>4</v>
          </cell>
        </row>
        <row r="680">
          <cell r="B680" t="str">
            <v>Distribución</v>
          </cell>
          <cell r="C680">
            <v>1</v>
          </cell>
          <cell r="E680" t="str">
            <v>OT/0443</v>
          </cell>
          <cell r="F680">
            <v>45952</v>
          </cell>
          <cell r="G680">
            <v>45952</v>
          </cell>
          <cell r="H680" t="str">
            <v>Reparación de fuga en acometida en C/Gauna n43 (Gauna)</v>
          </cell>
          <cell r="I680" t="str">
            <v>Reparación de fuga en acometida en C/Gauna n43 (Gauna)</v>
          </cell>
          <cell r="J680" t="str">
            <v>Gauna</v>
          </cell>
          <cell r="M680">
            <v>42.823960999999997</v>
          </cell>
          <cell r="N680">
            <v>-2.4965540000000002</v>
          </cell>
          <cell r="O680" t="b">
            <v>1</v>
          </cell>
          <cell r="P680" t="str">
            <v>EDU ZOUITA</v>
          </cell>
          <cell r="Q680">
            <v>3</v>
          </cell>
          <cell r="R680">
            <v>3</v>
          </cell>
          <cell r="S680">
            <v>1</v>
          </cell>
        </row>
        <row r="681">
          <cell r="B681" t="str">
            <v>Distribución</v>
          </cell>
          <cell r="C681">
            <v>1</v>
          </cell>
          <cell r="E681" t="str">
            <v>OT/0444</v>
          </cell>
          <cell r="F681">
            <v>45953</v>
          </cell>
          <cell r="G681">
            <v>45953</v>
          </cell>
          <cell r="H681" t="str">
            <v>Aviso de falta de presión en C/Otazu n1 (Luiando)</v>
          </cell>
          <cell r="I681" t="str">
            <v>Aviso de falta de presión en C/Otazu n1 (Luiando)</v>
          </cell>
          <cell r="J681" t="str">
            <v>Luiando</v>
          </cell>
          <cell r="M681">
            <v>43.106623999999996</v>
          </cell>
          <cell r="N681">
            <v>-2.9961289999999998</v>
          </cell>
          <cell r="O681" t="b">
            <v>1</v>
          </cell>
          <cell r="P681" t="str">
            <v>TOMAS</v>
          </cell>
          <cell r="Q681">
            <v>1</v>
          </cell>
          <cell r="R681">
            <v>1</v>
          </cell>
          <cell r="S681">
            <v>3</v>
          </cell>
        </row>
        <row r="682">
          <cell r="B682" t="str">
            <v>Saneamiento</v>
          </cell>
          <cell r="C682">
            <v>2</v>
          </cell>
          <cell r="D682">
            <v>1</v>
          </cell>
          <cell r="E682" t="str">
            <v>TP/0321</v>
          </cell>
          <cell r="F682">
            <v>45953</v>
          </cell>
          <cell r="G682">
            <v>45953</v>
          </cell>
          <cell r="H682" t="str">
            <v>Mantenimiento preventivo saneamiento TUBACEX en ArtzIniega</v>
          </cell>
          <cell r="I682" t="str">
            <v>Mantenimiento preventivo saneamiento TUBACEX en Artzeniega</v>
          </cell>
          <cell r="J682" t="str">
            <v>Artziniega</v>
          </cell>
          <cell r="M682">
            <v>43.123460000000001</v>
          </cell>
          <cell r="N682">
            <v>-3.1190600000000002</v>
          </cell>
          <cell r="O682" t="b">
            <v>1</v>
          </cell>
          <cell r="P682" t="str">
            <v/>
          </cell>
          <cell r="Q682">
            <v>1</v>
          </cell>
          <cell r="R682">
            <v>1</v>
          </cell>
        </row>
        <row r="683">
          <cell r="B683" t="str">
            <v>Distribución</v>
          </cell>
          <cell r="C683">
            <v>1</v>
          </cell>
          <cell r="E683" t="str">
            <v>OT/0445</v>
          </cell>
          <cell r="F683">
            <v>45953</v>
          </cell>
          <cell r="G683">
            <v>45953</v>
          </cell>
          <cell r="H683" t="str">
            <v>Reparación de fuga en Lacorzanilla  Berantevilla (Ermita la Virgen)</v>
          </cell>
          <cell r="I683" t="str">
            <v>Reparación de fuga en Lacorzanilla  Berantevilla (Ermita la Virgen)</v>
          </cell>
          <cell r="J683" t="str">
            <v>Lacorzanilla</v>
          </cell>
          <cell r="M683">
            <v>42.679879999999997</v>
          </cell>
          <cell r="N683">
            <v>-2.8829500000000001</v>
          </cell>
          <cell r="O683" t="b">
            <v>1</v>
          </cell>
          <cell r="P683" t="str">
            <v>EDU MIGUEL</v>
          </cell>
          <cell r="Q683">
            <v>5</v>
          </cell>
          <cell r="R683">
            <v>5</v>
          </cell>
          <cell r="S683">
            <v>1</v>
          </cell>
        </row>
        <row r="684">
          <cell r="B684" t="str">
            <v>Distribución</v>
          </cell>
          <cell r="C684">
            <v>2</v>
          </cell>
          <cell r="D684">
            <v>12</v>
          </cell>
          <cell r="E684" t="str">
            <v>TP/0322</v>
          </cell>
          <cell r="F684">
            <v>45953</v>
          </cell>
          <cell r="G684">
            <v>45953</v>
          </cell>
          <cell r="H684" t="str">
            <v>Corte de agua en C/San Jose (Amurrio)</v>
          </cell>
          <cell r="I684" t="str">
            <v>Corte de agua en C/San Jose (Amurrio)</v>
          </cell>
          <cell r="J684" t="str">
            <v>Amurrio</v>
          </cell>
          <cell r="M684" t="str">
            <v/>
          </cell>
          <cell r="N684" t="str">
            <v/>
          </cell>
          <cell r="O684" t="b">
            <v>1</v>
          </cell>
          <cell r="P684" t="str">
            <v>V</v>
          </cell>
          <cell r="Q684">
            <v>1</v>
          </cell>
          <cell r="R684">
            <v>1</v>
          </cell>
        </row>
        <row r="685">
          <cell r="B685" t="str">
            <v>Distribución</v>
          </cell>
          <cell r="C685">
            <v>2</v>
          </cell>
          <cell r="D685">
            <v>8</v>
          </cell>
          <cell r="E685" t="str">
            <v>TP/0323</v>
          </cell>
          <cell r="F685">
            <v>45953</v>
          </cell>
          <cell r="G685">
            <v>45953</v>
          </cell>
          <cell r="H685" t="str">
            <v>Instalación contador C/La paz n7 (Rivabellosa)</v>
          </cell>
          <cell r="I685" t="str">
            <v>Instalación contador C/La paz n7 (Rivabellosa)</v>
          </cell>
          <cell r="J685" t="str">
            <v>Ribabellosa</v>
          </cell>
          <cell r="M685">
            <v>42.708427</v>
          </cell>
          <cell r="N685">
            <v>-2.919311</v>
          </cell>
          <cell r="O685" t="b">
            <v>1</v>
          </cell>
          <cell r="P685" t="str">
            <v>KERMAN</v>
          </cell>
          <cell r="Q685">
            <v>5</v>
          </cell>
          <cell r="R685">
            <v>5</v>
          </cell>
        </row>
        <row r="686">
          <cell r="B686" t="str">
            <v>Distribución</v>
          </cell>
          <cell r="C686">
            <v>2</v>
          </cell>
          <cell r="D686">
            <v>9</v>
          </cell>
          <cell r="E686" t="str">
            <v>TP/0324</v>
          </cell>
          <cell r="F686">
            <v>45953</v>
          </cell>
          <cell r="G686">
            <v>45953</v>
          </cell>
          <cell r="H686" t="str">
            <v>Retirada contador junto al cemanterio en Jokano</v>
          </cell>
          <cell r="I686" t="str">
            <v>Retirada contador junto al cemanterio en Jokano</v>
          </cell>
          <cell r="J686" t="str">
            <v>Jókano</v>
          </cell>
          <cell r="M686">
            <v>42.870984999999997</v>
          </cell>
          <cell r="N686">
            <v>-2.9169450000000001</v>
          </cell>
          <cell r="O686" t="b">
            <v>1</v>
          </cell>
          <cell r="P686" t="str">
            <v>KERMAN</v>
          </cell>
          <cell r="Q686">
            <v>5</v>
          </cell>
          <cell r="R686">
            <v>5</v>
          </cell>
        </row>
        <row r="687">
          <cell r="B687" t="str">
            <v>Distribución</v>
          </cell>
          <cell r="C687">
            <v>1</v>
          </cell>
          <cell r="E687" t="str">
            <v>OT/0446</v>
          </cell>
          <cell r="F687">
            <v>45953</v>
          </cell>
          <cell r="G687">
            <v>45953</v>
          </cell>
          <cell r="H687" t="str">
            <v>Reparar fuga en contador en C/Lorrabido n28 (Barrio)</v>
          </cell>
          <cell r="I687" t="str">
            <v>Reparar fuga en contador en C/Lorrabido n28 (Barrio)</v>
          </cell>
          <cell r="J687" t="str">
            <v>Barrio</v>
          </cell>
          <cell r="M687">
            <v>42.808264999999999</v>
          </cell>
          <cell r="N687">
            <v>-3.088498</v>
          </cell>
          <cell r="O687" t="b">
            <v>1</v>
          </cell>
          <cell r="P687" t="str">
            <v>KERMAN</v>
          </cell>
          <cell r="Q687">
            <v>5</v>
          </cell>
          <cell r="R687">
            <v>5</v>
          </cell>
          <cell r="S687">
            <v>1</v>
          </cell>
        </row>
        <row r="688">
          <cell r="B688" t="str">
            <v>Distribución</v>
          </cell>
          <cell r="C688">
            <v>1</v>
          </cell>
          <cell r="E688" t="str">
            <v>OT/0447</v>
          </cell>
          <cell r="F688">
            <v>45953</v>
          </cell>
          <cell r="G688">
            <v>45953</v>
          </cell>
          <cell r="H688" t="str">
            <v>Reparación de fuga en Carretera Bilbao 68 ( Espejo)</v>
          </cell>
          <cell r="I688" t="str">
            <v>Reparación de fuga en Carretera Bilbao 68 ( Espejo)</v>
          </cell>
          <cell r="J688" t="str">
            <v>Espejo</v>
          </cell>
          <cell r="M688">
            <v>42.809967999999998</v>
          </cell>
          <cell r="N688">
            <v>-3.0467870000000001</v>
          </cell>
          <cell r="O688" t="b">
            <v>1</v>
          </cell>
          <cell r="P688" t="str">
            <v>KERMAN</v>
          </cell>
          <cell r="Q688">
            <v>5</v>
          </cell>
          <cell r="R688">
            <v>5</v>
          </cell>
          <cell r="S688">
            <v>1</v>
          </cell>
        </row>
        <row r="689">
          <cell r="B689" t="str">
            <v>Distribución</v>
          </cell>
          <cell r="C689">
            <v>1</v>
          </cell>
          <cell r="E689" t="str">
            <v>OT/0448</v>
          </cell>
          <cell r="F689">
            <v>45953</v>
          </cell>
          <cell r="G689">
            <v>45953</v>
          </cell>
          <cell r="H689" t="str">
            <v>Aviso de fuga en C/Zumalakarregi n38 (Llodio)</v>
          </cell>
          <cell r="I689" t="str">
            <v>Aviso de fuga en C/Zumalakarregi n38 (Llodio)</v>
          </cell>
          <cell r="J689" t="str">
            <v>Llodio</v>
          </cell>
          <cell r="M689">
            <v>43.14302</v>
          </cell>
          <cell r="N689">
            <v>-2.9635799999999999</v>
          </cell>
          <cell r="O689" t="b">
            <v>1</v>
          </cell>
          <cell r="P689" t="str">
            <v>JOSEBA</v>
          </cell>
          <cell r="Q689">
            <v>1</v>
          </cell>
          <cell r="R689">
            <v>1</v>
          </cell>
          <cell r="S689">
            <v>1</v>
          </cell>
        </row>
        <row r="690">
          <cell r="B690" t="str">
            <v>Distribución</v>
          </cell>
          <cell r="C690">
            <v>1</v>
          </cell>
          <cell r="E690" t="str">
            <v>OT/0449</v>
          </cell>
          <cell r="F690">
            <v>45954</v>
          </cell>
          <cell r="G690">
            <v>45955</v>
          </cell>
          <cell r="H690" t="str">
            <v>Aviso por falta de agua en C/Larrimbe n29 (Amurrio)</v>
          </cell>
          <cell r="I690" t="str">
            <v>Aviso por falta de agua en C/Larrimbe n29 (Amurrio)</v>
          </cell>
          <cell r="J690" t="str">
            <v>Amurrio</v>
          </cell>
          <cell r="M690">
            <v>43.035997000000002</v>
          </cell>
          <cell r="N690">
            <v>-2.9750459999999999</v>
          </cell>
          <cell r="O690" t="b">
            <v>1</v>
          </cell>
          <cell r="P690" t="str">
            <v>MIGUEL JOSEBA</v>
          </cell>
          <cell r="Q690">
            <v>1</v>
          </cell>
          <cell r="R690">
            <v>1</v>
          </cell>
          <cell r="S690">
            <v>3</v>
          </cell>
        </row>
        <row r="691">
          <cell r="B691" t="str">
            <v>Aducción</v>
          </cell>
          <cell r="C691">
            <v>2</v>
          </cell>
          <cell r="D691">
            <v>2</v>
          </cell>
          <cell r="E691" t="str">
            <v>TP/0325</v>
          </cell>
          <cell r="F691">
            <v>45954</v>
          </cell>
          <cell r="G691">
            <v>45954</v>
          </cell>
          <cell r="H691" t="str">
            <v>Limpieza de captaciones Aiaraldea</v>
          </cell>
          <cell r="I691" t="str">
            <v>Limpieza de captaciones Aiaraldea</v>
          </cell>
          <cell r="J691" t="str">
            <v>Aiaraldea</v>
          </cell>
          <cell r="M691" t="str">
            <v/>
          </cell>
          <cell r="N691" t="str">
            <v/>
          </cell>
          <cell r="O691" t="b">
            <v>1</v>
          </cell>
          <cell r="P691" t="str">
            <v>V</v>
          </cell>
          <cell r="Q691">
            <v>1</v>
          </cell>
          <cell r="R691">
            <v>1</v>
          </cell>
        </row>
        <row r="692">
          <cell r="B692" t="str">
            <v>Distribución</v>
          </cell>
          <cell r="C692">
            <v>2</v>
          </cell>
          <cell r="D692">
            <v>12</v>
          </cell>
          <cell r="E692" t="str">
            <v>TP/0326</v>
          </cell>
          <cell r="F692">
            <v>45954</v>
          </cell>
          <cell r="G692">
            <v>45954</v>
          </cell>
          <cell r="H692" t="str">
            <v>Corte de agua en C/Goikolarra en Amurrio</v>
          </cell>
          <cell r="I692" t="str">
            <v>Corte de agua en C/Goikolarra en Amurrio</v>
          </cell>
          <cell r="J692" t="str">
            <v>Amurrio</v>
          </cell>
          <cell r="M692" t="str">
            <v/>
          </cell>
          <cell r="N692" t="str">
            <v/>
          </cell>
          <cell r="O692" t="b">
            <v>1</v>
          </cell>
          <cell r="P692" t="str">
            <v>V</v>
          </cell>
          <cell r="Q692">
            <v>1</v>
          </cell>
          <cell r="R692">
            <v>1</v>
          </cell>
        </row>
        <row r="693">
          <cell r="B693" t="str">
            <v>Distribución</v>
          </cell>
          <cell r="C693">
            <v>2</v>
          </cell>
          <cell r="D693">
            <v>17</v>
          </cell>
          <cell r="E693" t="str">
            <v>TP/0327</v>
          </cell>
          <cell r="F693">
            <v>45954</v>
          </cell>
          <cell r="G693">
            <v>45954</v>
          </cell>
          <cell r="H693" t="str">
            <v>Limpieza de red en Olabezar (La Cadena)</v>
          </cell>
          <cell r="I693" t="str">
            <v>Limpieza de red en Olabezar (La Cadena)</v>
          </cell>
          <cell r="J693" t="str">
            <v>Olabezar</v>
          </cell>
          <cell r="M693" t="str">
            <v/>
          </cell>
          <cell r="N693" t="str">
            <v/>
          </cell>
          <cell r="O693" t="b">
            <v>1</v>
          </cell>
          <cell r="P693" t="str">
            <v>V</v>
          </cell>
          <cell r="Q693">
            <v>1</v>
          </cell>
          <cell r="R693">
            <v>1</v>
          </cell>
        </row>
        <row r="694">
          <cell r="B694" t="str">
            <v>Distribución</v>
          </cell>
          <cell r="C694">
            <v>2</v>
          </cell>
          <cell r="D694">
            <v>10</v>
          </cell>
          <cell r="E694" t="str">
            <v>TP/0328</v>
          </cell>
          <cell r="F694">
            <v>45954</v>
          </cell>
          <cell r="G694">
            <v>45954</v>
          </cell>
          <cell r="H694" t="str">
            <v>Sustitución de contador en C/Goikolarra (Amurrio)</v>
          </cell>
          <cell r="I694" t="str">
            <v>Sustitución de contador en C/Goikolarra (Amurrio)</v>
          </cell>
          <cell r="J694" t="str">
            <v>Amurrio</v>
          </cell>
          <cell r="M694" t="str">
            <v/>
          </cell>
          <cell r="N694" t="str">
            <v/>
          </cell>
          <cell r="O694" t="b">
            <v>1</v>
          </cell>
          <cell r="P694" t="str">
            <v>IÑIGO</v>
          </cell>
          <cell r="Q694">
            <v>1</v>
          </cell>
          <cell r="R694">
            <v>1</v>
          </cell>
        </row>
        <row r="695">
          <cell r="B695" t="str">
            <v>Distribución</v>
          </cell>
          <cell r="C695">
            <v>2</v>
          </cell>
          <cell r="D695">
            <v>8</v>
          </cell>
          <cell r="E695" t="str">
            <v>TP/0329</v>
          </cell>
          <cell r="F695">
            <v>45954</v>
          </cell>
          <cell r="G695">
            <v>45954</v>
          </cell>
          <cell r="H695" t="str">
            <v>Instalación contador C/Treviño n5 (Agurain)</v>
          </cell>
          <cell r="I695" t="str">
            <v>Instalación contador C/Treviño n5 (Agurain)</v>
          </cell>
          <cell r="J695" t="str">
            <v>Agurain</v>
          </cell>
          <cell r="M695">
            <v>42.846809999999998</v>
          </cell>
          <cell r="N695">
            <v>-2.3890099999999999</v>
          </cell>
          <cell r="O695" t="b">
            <v>1</v>
          </cell>
          <cell r="P695" t="str">
            <v>IÑIGO</v>
          </cell>
          <cell r="Q695">
            <v>3</v>
          </cell>
          <cell r="R695">
            <v>3</v>
          </cell>
        </row>
        <row r="696">
          <cell r="B696" t="str">
            <v>Saneamiento</v>
          </cell>
          <cell r="C696">
            <v>2</v>
          </cell>
          <cell r="D696">
            <v>1</v>
          </cell>
          <cell r="E696" t="str">
            <v>TP/0330</v>
          </cell>
          <cell r="F696">
            <v>45954</v>
          </cell>
          <cell r="G696">
            <v>45954</v>
          </cell>
          <cell r="H696" t="str">
            <v>Mantenimiento preventivo saneamiento C/Aldai (Amurrio)</v>
          </cell>
          <cell r="I696" t="str">
            <v>Mantenimiento preventivo saneamiento C/Aldai (Amurrio)</v>
          </cell>
          <cell r="J696" t="str">
            <v>Amurrio</v>
          </cell>
          <cell r="M696">
            <v>43.050424999999997</v>
          </cell>
          <cell r="N696">
            <v>-3.0031759999999998</v>
          </cell>
          <cell r="O696" t="b">
            <v>1</v>
          </cell>
          <cell r="P696" t="str">
            <v>EMILIO IÑIGO EDU MIGUEL</v>
          </cell>
          <cell r="Q696">
            <v>1</v>
          </cell>
          <cell r="R696">
            <v>1</v>
          </cell>
        </row>
        <row r="697">
          <cell r="B697" t="str">
            <v>Distribución</v>
          </cell>
          <cell r="C697">
            <v>1</v>
          </cell>
          <cell r="E697" t="str">
            <v>OT/0450</v>
          </cell>
          <cell r="F697">
            <v>45955</v>
          </cell>
          <cell r="G697">
            <v>45955</v>
          </cell>
          <cell r="H697" t="str">
            <v>Aviso por falta de presión en C/Puente en Armiñon</v>
          </cell>
          <cell r="I697" t="str">
            <v>Aviso por falta de presión en C/Puente en Armiñon</v>
          </cell>
          <cell r="J697" t="str">
            <v>Armiñon</v>
          </cell>
          <cell r="M697">
            <v>42.723115999999997</v>
          </cell>
          <cell r="N697">
            <v>-2.8742169999999998</v>
          </cell>
          <cell r="O697" t="b">
            <v>1</v>
          </cell>
          <cell r="P697" t="str">
            <v/>
          </cell>
          <cell r="Q697">
            <v>5</v>
          </cell>
          <cell r="R697">
            <v>5</v>
          </cell>
          <cell r="S697">
            <v>3</v>
          </cell>
        </row>
        <row r="698">
          <cell r="B698" t="str">
            <v>Distribución</v>
          </cell>
          <cell r="C698">
            <v>1</v>
          </cell>
          <cell r="E698" t="str">
            <v>OT/0451</v>
          </cell>
          <cell r="F698">
            <v>45957</v>
          </cell>
          <cell r="G698">
            <v>45958</v>
          </cell>
          <cell r="H698" t="str">
            <v>Fuga en Maroño</v>
          </cell>
          <cell r="I698" t="str">
            <v>Fuga en Maroño</v>
          </cell>
          <cell r="J698" t="str">
            <v>Maroño</v>
          </cell>
          <cell r="M698">
            <v>43.043495999999998</v>
          </cell>
          <cell r="N698" t="str">
            <v>-3,063023</v>
          </cell>
          <cell r="O698" t="b">
            <v>1</v>
          </cell>
          <cell r="P698" t="str">
            <v>V</v>
          </cell>
          <cell r="Q698">
            <v>1</v>
          </cell>
          <cell r="R698">
            <v>1</v>
          </cell>
          <cell r="S698">
            <v>1</v>
          </cell>
        </row>
        <row r="699">
          <cell r="B699" t="str">
            <v>Distribución</v>
          </cell>
          <cell r="C699">
            <v>1</v>
          </cell>
          <cell r="E699" t="str">
            <v>OT/0452</v>
          </cell>
          <cell r="F699">
            <v>45955</v>
          </cell>
          <cell r="G699">
            <v>45955</v>
          </cell>
          <cell r="H699" t="str">
            <v>Abonado sin agua en Espejo C/Las Arenas n6</v>
          </cell>
          <cell r="I699" t="str">
            <v>Abonado sin agua en Espejo C/Las Arenas n6</v>
          </cell>
          <cell r="J699" t="str">
            <v>Espejo</v>
          </cell>
          <cell r="M699">
            <v>42.809910000000002</v>
          </cell>
          <cell r="N699">
            <v>-3.04542</v>
          </cell>
          <cell r="O699" t="b">
            <v>1</v>
          </cell>
          <cell r="P699" t="str">
            <v>V</v>
          </cell>
          <cell r="Q699">
            <v>5</v>
          </cell>
          <cell r="R699">
            <v>5</v>
          </cell>
          <cell r="S699">
            <v>3</v>
          </cell>
        </row>
        <row r="700">
          <cell r="B700" t="str">
            <v>Saneamiento</v>
          </cell>
          <cell r="C700">
            <v>1</v>
          </cell>
          <cell r="E700" t="str">
            <v>OT/0453</v>
          </cell>
          <cell r="F700">
            <v>45955</v>
          </cell>
          <cell r="G700">
            <v>45955</v>
          </cell>
          <cell r="H700" t="str">
            <v>Atasco saneamiento C/Perrutxito n19-17 en Salinas de Añana</v>
          </cell>
          <cell r="I700" t="str">
            <v>Atasco saneamiento C/Perrutxito n19-17 en Salinas de Añana</v>
          </cell>
          <cell r="J700" t="str">
            <v xml:space="preserve"> Salinas de Añana</v>
          </cell>
          <cell r="M700">
            <v>42.801842999999998</v>
          </cell>
          <cell r="N700">
            <v>-2.9848249999999998</v>
          </cell>
          <cell r="O700" t="b">
            <v>1</v>
          </cell>
          <cell r="P700" t="str">
            <v>V</v>
          </cell>
          <cell r="Q700">
            <v>1</v>
          </cell>
          <cell r="R700">
            <v>1</v>
          </cell>
          <cell r="S700">
            <v>2</v>
          </cell>
        </row>
        <row r="701">
          <cell r="B701" t="str">
            <v>Depuración</v>
          </cell>
          <cell r="C701">
            <v>2</v>
          </cell>
          <cell r="D701">
            <v>3</v>
          </cell>
          <cell r="E701" t="str">
            <v>TP/0334</v>
          </cell>
          <cell r="F701">
            <v>45951</v>
          </cell>
          <cell r="G701">
            <v>45957</v>
          </cell>
          <cell r="H701" t="str">
            <v>Limpieza y vaciado de fosa Anucita</v>
          </cell>
          <cell r="I701" t="str">
            <v>Limpieza y vaciado de fosa Anucita</v>
          </cell>
          <cell r="J701" t="str">
            <v>Anucita</v>
          </cell>
          <cell r="M701">
            <v>42.804118000000003</v>
          </cell>
          <cell r="N701">
            <v>-2.9063880000000002</v>
          </cell>
          <cell r="O701" t="b">
            <v>1</v>
          </cell>
          <cell r="P701" t="str">
            <v>ENEKO EMILIO KERMAN</v>
          </cell>
          <cell r="Q701">
            <v>5</v>
          </cell>
          <cell r="R701">
            <v>5</v>
          </cell>
        </row>
        <row r="702">
          <cell r="B702" t="str">
            <v>Distribución</v>
          </cell>
          <cell r="C702">
            <v>2</v>
          </cell>
          <cell r="D702">
            <v>7</v>
          </cell>
          <cell r="E702" t="str">
            <v>TP/0331</v>
          </cell>
          <cell r="F702">
            <v>45950</v>
          </cell>
          <cell r="G702">
            <v>45950</v>
          </cell>
          <cell r="H702" t="str">
            <v>Localización de fuga en Depósito reparto-Arbigano</v>
          </cell>
          <cell r="I702" t="str">
            <v>Localización de fuga en Depósito reparto-Arbigano</v>
          </cell>
          <cell r="J702" t="str">
            <v>Arbígano</v>
          </cell>
          <cell r="M702" t="str">
            <v/>
          </cell>
          <cell r="N702" t="str">
            <v/>
          </cell>
          <cell r="O702" t="b">
            <v>1</v>
          </cell>
          <cell r="P702" t="str">
            <v>ENEKO</v>
          </cell>
          <cell r="Q702">
            <v>5</v>
          </cell>
          <cell r="R702">
            <v>5</v>
          </cell>
          <cell r="S702">
            <v>1</v>
          </cell>
        </row>
        <row r="703">
          <cell r="B703" t="str">
            <v>Distribución</v>
          </cell>
          <cell r="C703">
            <v>2</v>
          </cell>
          <cell r="D703">
            <v>20</v>
          </cell>
          <cell r="E703" t="str">
            <v>TP/0332</v>
          </cell>
          <cell r="F703">
            <v>45950</v>
          </cell>
          <cell r="G703">
            <v>45950</v>
          </cell>
          <cell r="H703" t="str">
            <v>Localización de fuga en bajada-Depósito en Armiñon</v>
          </cell>
          <cell r="I703" t="str">
            <v>Localización de fuga en bajada-Depósito en Armiñon</v>
          </cell>
          <cell r="J703" t="str">
            <v>Armiñon</v>
          </cell>
          <cell r="M703" t="str">
            <v/>
          </cell>
          <cell r="N703" t="str">
            <v/>
          </cell>
          <cell r="O703" t="b">
            <v>1</v>
          </cell>
          <cell r="P703" t="str">
            <v>ENEKO</v>
          </cell>
          <cell r="Q703">
            <v>5</v>
          </cell>
          <cell r="R703">
            <v>5</v>
          </cell>
          <cell r="S703">
            <v>1</v>
          </cell>
        </row>
        <row r="704">
          <cell r="B704" t="str">
            <v>Distribución</v>
          </cell>
          <cell r="C704">
            <v>2</v>
          </cell>
          <cell r="D704">
            <v>7</v>
          </cell>
          <cell r="E704" t="str">
            <v>TP/0333</v>
          </cell>
          <cell r="F704">
            <v>45951</v>
          </cell>
          <cell r="G704">
            <v>45951</v>
          </cell>
          <cell r="H704" t="str">
            <v>Localización de fuga en Lacorzanilla</v>
          </cell>
          <cell r="I704" t="str">
            <v>Localización de fuga en Lacorzanilla</v>
          </cell>
          <cell r="J704" t="str">
            <v>Lacorzanilla</v>
          </cell>
          <cell r="M704" t="str">
            <v/>
          </cell>
          <cell r="N704" t="str">
            <v/>
          </cell>
          <cell r="O704" t="b">
            <v>1</v>
          </cell>
          <cell r="P704" t="str">
            <v>ENEKO</v>
          </cell>
          <cell r="Q704">
            <v>5</v>
          </cell>
          <cell r="R704">
            <v>5</v>
          </cell>
          <cell r="S704">
            <v>1</v>
          </cell>
        </row>
        <row r="705">
          <cell r="B705" t="str">
            <v>Distribución</v>
          </cell>
          <cell r="C705">
            <v>2</v>
          </cell>
          <cell r="D705">
            <v>7</v>
          </cell>
          <cell r="E705" t="str">
            <v>TP/0335</v>
          </cell>
          <cell r="F705">
            <v>45951</v>
          </cell>
          <cell r="G705">
            <v>45951</v>
          </cell>
          <cell r="H705" t="str">
            <v>Localización de fuga en Retes de Tudela</v>
          </cell>
          <cell r="I705" t="str">
            <v>Localización de fuga en Retes de Tudela</v>
          </cell>
          <cell r="J705" t="str">
            <v>Retes de Tudela</v>
          </cell>
          <cell r="M705">
            <v>43.114828000000003</v>
          </cell>
          <cell r="N705">
            <v>-3.1690990000000001</v>
          </cell>
          <cell r="O705" t="b">
            <v>1</v>
          </cell>
          <cell r="P705" t="str">
            <v>ENEKO</v>
          </cell>
          <cell r="Q705">
            <v>1</v>
          </cell>
          <cell r="R705">
            <v>1</v>
          </cell>
          <cell r="S705">
            <v>1</v>
          </cell>
        </row>
        <row r="706">
          <cell r="B706" t="str">
            <v>Distribución</v>
          </cell>
          <cell r="C706">
            <v>1</v>
          </cell>
          <cell r="E706" t="str">
            <v>OT/0454</v>
          </cell>
          <cell r="F706">
            <v>45946</v>
          </cell>
          <cell r="G706">
            <v>45947</v>
          </cell>
          <cell r="H706" t="str">
            <v>Reparación de fuga en Llanteno</v>
          </cell>
          <cell r="I706" t="str">
            <v>Reparación de fuga en Llanteno</v>
          </cell>
          <cell r="J706" t="str">
            <v>Llanteno</v>
          </cell>
          <cell r="M706">
            <v>43.11148</v>
          </cell>
          <cell r="N706">
            <v>-3.0927199999999999</v>
          </cell>
          <cell r="O706" t="b">
            <v>1</v>
          </cell>
          <cell r="P706" t="str">
            <v>KERMAN</v>
          </cell>
          <cell r="Q706">
            <v>1</v>
          </cell>
          <cell r="R706">
            <v>1</v>
          </cell>
          <cell r="S706">
            <v>1</v>
          </cell>
        </row>
        <row r="707">
          <cell r="B707" t="str">
            <v>Distribución</v>
          </cell>
          <cell r="C707">
            <v>1</v>
          </cell>
          <cell r="E707" t="str">
            <v>OT/0455</v>
          </cell>
          <cell r="F707">
            <v>45957</v>
          </cell>
          <cell r="G707">
            <v>45957</v>
          </cell>
          <cell r="H707" t="str">
            <v>Abonado sin presión en C/Larrimbe n29 (Amurrio)</v>
          </cell>
          <cell r="I707" t="str">
            <v>Abonado sin presión en C/Larrimbe n29 (Amurrio)</v>
          </cell>
          <cell r="J707" t="str">
            <v>Amurrio</v>
          </cell>
          <cell r="M707">
            <v>43.044199999999996</v>
          </cell>
          <cell r="N707">
            <v>-2.9856099999999999</v>
          </cell>
          <cell r="O707" t="b">
            <v>1</v>
          </cell>
          <cell r="P707" t="str">
            <v>ENEKO</v>
          </cell>
          <cell r="Q707">
            <v>1</v>
          </cell>
          <cell r="R707">
            <v>1</v>
          </cell>
          <cell r="S707">
            <v>3</v>
          </cell>
        </row>
        <row r="708">
          <cell r="B708" t="str">
            <v>Distribución</v>
          </cell>
          <cell r="C708">
            <v>1</v>
          </cell>
          <cell r="E708" t="str">
            <v>OT/0456</v>
          </cell>
          <cell r="F708">
            <v>45957</v>
          </cell>
          <cell r="G708">
            <v>45957</v>
          </cell>
          <cell r="H708" t="str">
            <v>Aviso abonado por llave de acometida que no cierra C/El Arenal n1 (Armiñon)</v>
          </cell>
          <cell r="I708" t="str">
            <v>Aviso abonado por llave de acometida que no cierra C/El Arenal n1 (Armiñon)</v>
          </cell>
          <cell r="J708" t="str">
            <v>Armiñon</v>
          </cell>
          <cell r="M708">
            <v>42.722850000000001</v>
          </cell>
          <cell r="N708">
            <v>-2.8703400000000001</v>
          </cell>
          <cell r="O708" t="b">
            <v>1</v>
          </cell>
          <cell r="P708" t="str">
            <v>EDU</v>
          </cell>
          <cell r="Q708">
            <v>5</v>
          </cell>
          <cell r="R708">
            <v>5</v>
          </cell>
          <cell r="S708">
            <v>1</v>
          </cell>
        </row>
        <row r="709">
          <cell r="B709" t="str">
            <v>Distribución</v>
          </cell>
          <cell r="C709">
            <v>2</v>
          </cell>
          <cell r="D709">
            <v>10</v>
          </cell>
          <cell r="E709" t="str">
            <v>TP/0336</v>
          </cell>
          <cell r="F709">
            <v>45957</v>
          </cell>
          <cell r="G709">
            <v>45957</v>
          </cell>
          <cell r="H709" t="str">
            <v>Sustitución de contador de control en C/Arraño (Acometida atxa)</v>
          </cell>
          <cell r="I709" t="str">
            <v>Sustitución de contador de control en C/Arraño (Acometida atxa)</v>
          </cell>
          <cell r="J709" t="str">
            <v>Llodio</v>
          </cell>
          <cell r="M709">
            <v>43.151313000000002</v>
          </cell>
          <cell r="N709">
            <v>-2.9831949999999998</v>
          </cell>
          <cell r="O709" t="b">
            <v>1</v>
          </cell>
          <cell r="P709" t="str">
            <v>TOMAS</v>
          </cell>
          <cell r="Q709">
            <v>1</v>
          </cell>
          <cell r="R709">
            <v>1</v>
          </cell>
        </row>
        <row r="710">
          <cell r="B710" t="str">
            <v>Saneamiento</v>
          </cell>
          <cell r="C710">
            <v>2</v>
          </cell>
          <cell r="D710">
            <v>1</v>
          </cell>
          <cell r="E710" t="str">
            <v>TP/0337</v>
          </cell>
          <cell r="F710">
            <v>45957</v>
          </cell>
          <cell r="G710">
            <v>45957</v>
          </cell>
          <cell r="H710" t="str">
            <v>Mantenimiento peventivo en vias de tren en Pobes</v>
          </cell>
          <cell r="I710" t="str">
            <v>Mantenimiento peventivo en vias de tren en Pobes</v>
          </cell>
          <cell r="J710" t="str">
            <v>Pobes</v>
          </cell>
          <cell r="M710">
            <v>42.504575000000003</v>
          </cell>
          <cell r="N710">
            <v>-2.9075869999999999</v>
          </cell>
          <cell r="O710" t="b">
            <v>1</v>
          </cell>
          <cell r="P710" t="str">
            <v>EMILIO KERMAN</v>
          </cell>
          <cell r="Q710">
            <v>5</v>
          </cell>
          <cell r="R710">
            <v>5</v>
          </cell>
        </row>
        <row r="711">
          <cell r="B711" t="str">
            <v>Saneamiento</v>
          </cell>
          <cell r="C711">
            <v>2</v>
          </cell>
          <cell r="D711">
            <v>1</v>
          </cell>
          <cell r="E711" t="str">
            <v>TP/0338</v>
          </cell>
          <cell r="F711">
            <v>45961</v>
          </cell>
          <cell r="G711">
            <v>45961</v>
          </cell>
          <cell r="H711" t="str">
            <v>Mantenimiento peventivo en Saneamiento en Artzeniaga</v>
          </cell>
          <cell r="I711" t="str">
            <v>Mantenimiento peventivo en Saneamiento en Artzeniaga</v>
          </cell>
          <cell r="J711" t="str">
            <v>Artziniega</v>
          </cell>
          <cell r="M711">
            <v>43.119509999999998</v>
          </cell>
          <cell r="N711">
            <v>-3.1326000000000001</v>
          </cell>
          <cell r="O711" t="b">
            <v>1</v>
          </cell>
          <cell r="P711" t="str">
            <v/>
          </cell>
          <cell r="Q711">
            <v>1</v>
          </cell>
          <cell r="R711">
            <v>1</v>
          </cell>
        </row>
        <row r="712">
          <cell r="B712" t="str">
            <v>Saneamiento</v>
          </cell>
          <cell r="C712">
            <v>1</v>
          </cell>
          <cell r="E712" t="str">
            <v>OT/0457</v>
          </cell>
          <cell r="F712">
            <v>45958</v>
          </cell>
          <cell r="G712">
            <v>45958</v>
          </cell>
          <cell r="H712" t="str">
            <v>Desatasco en C/Virgen del Carmen N36-38 (Llodio)</v>
          </cell>
          <cell r="I712" t="str">
            <v>Desatasco en C/Virgen del Carmen N36-38 (Llodio)</v>
          </cell>
          <cell r="J712" t="str">
            <v>Llodio</v>
          </cell>
          <cell r="M712">
            <v>43.145980000000002</v>
          </cell>
          <cell r="N712">
            <v>-2.95818</v>
          </cell>
          <cell r="O712" t="b">
            <v>1</v>
          </cell>
          <cell r="P712" t="str">
            <v>EMILIO KERMAN</v>
          </cell>
          <cell r="Q712">
            <v>1</v>
          </cell>
          <cell r="R712">
            <v>1</v>
          </cell>
          <cell r="S712">
            <v>2</v>
          </cell>
        </row>
        <row r="713">
          <cell r="B713" t="str">
            <v>Distribución</v>
          </cell>
          <cell r="C713">
            <v>2</v>
          </cell>
          <cell r="D713">
            <v>4</v>
          </cell>
          <cell r="E713" t="str">
            <v>TP/0339</v>
          </cell>
          <cell r="F713">
            <v>45952</v>
          </cell>
          <cell r="G713">
            <v>45952</v>
          </cell>
          <cell r="H713" t="str">
            <v>Revisión de la red de abastecimiento de Llanteno</v>
          </cell>
          <cell r="I713" t="str">
            <v>Revisión de la red de abastecimiento de Llanteno</v>
          </cell>
          <cell r="J713" t="str">
            <v>Llanteno</v>
          </cell>
          <cell r="M713" t="str">
            <v/>
          </cell>
          <cell r="N713" t="str">
            <v/>
          </cell>
          <cell r="O713" t="b">
            <v>1</v>
          </cell>
          <cell r="P713" t="str">
            <v>ENEKO</v>
          </cell>
          <cell r="Q713">
            <v>1</v>
          </cell>
          <cell r="R713">
            <v>1</v>
          </cell>
        </row>
        <row r="714">
          <cell r="B714" t="str">
            <v>Distribución</v>
          </cell>
          <cell r="C714">
            <v>2</v>
          </cell>
          <cell r="D714">
            <v>11</v>
          </cell>
          <cell r="E714" t="str">
            <v>TP/0340</v>
          </cell>
          <cell r="F714">
            <v>45952</v>
          </cell>
          <cell r="G714">
            <v>45952</v>
          </cell>
          <cell r="H714" t="str">
            <v>Ruta de lecturas mensuales de caudalímetro</v>
          </cell>
          <cell r="I714" t="str">
            <v>Ruta de lecturas mensuales de caudalímetro</v>
          </cell>
          <cell r="J714" t="str">
            <v>Aiaraldea</v>
          </cell>
          <cell r="M714" t="str">
            <v/>
          </cell>
          <cell r="N714" t="str">
            <v/>
          </cell>
          <cell r="O714" t="b">
            <v>1</v>
          </cell>
          <cell r="P714" t="str">
            <v>ENEKO</v>
          </cell>
          <cell r="Q714">
            <v>1</v>
          </cell>
          <cell r="R714">
            <v>1</v>
          </cell>
        </row>
        <row r="715">
          <cell r="B715" t="str">
            <v>Saneamiento</v>
          </cell>
          <cell r="C715">
            <v>2</v>
          </cell>
          <cell r="D715">
            <v>3</v>
          </cell>
          <cell r="E715" t="str">
            <v>TP/0341</v>
          </cell>
          <cell r="F715">
            <v>45953</v>
          </cell>
          <cell r="G715">
            <v>45953</v>
          </cell>
          <cell r="H715" t="str">
            <v>Revisión sistemas depuradores de fosas en Oreitia</v>
          </cell>
          <cell r="I715" t="str">
            <v>Revisión sistemas depuradores de fosas en Oreitia</v>
          </cell>
          <cell r="J715" t="str">
            <v>Oreitia</v>
          </cell>
          <cell r="M715" t="str">
            <v/>
          </cell>
          <cell r="N715" t="str">
            <v/>
          </cell>
          <cell r="O715" t="b">
            <v>1</v>
          </cell>
          <cell r="P715" t="str">
            <v>ENEKO</v>
          </cell>
          <cell r="Q715">
            <v>9</v>
          </cell>
          <cell r="R715">
            <v>9</v>
          </cell>
        </row>
        <row r="716">
          <cell r="B716" t="str">
            <v>Distribución</v>
          </cell>
          <cell r="C716">
            <v>2</v>
          </cell>
          <cell r="D716">
            <v>7</v>
          </cell>
          <cell r="E716" t="str">
            <v>TP/0342</v>
          </cell>
          <cell r="F716">
            <v>45953</v>
          </cell>
          <cell r="G716">
            <v>45953</v>
          </cell>
          <cell r="H716" t="str">
            <v>Localización de fuga en Arbigano</v>
          </cell>
          <cell r="I716" t="str">
            <v>Localización de fuga en Arbigano</v>
          </cell>
          <cell r="J716" t="str">
            <v>Arbígano</v>
          </cell>
          <cell r="M716" t="str">
            <v/>
          </cell>
          <cell r="N716" t="str">
            <v/>
          </cell>
          <cell r="O716" t="b">
            <v>1</v>
          </cell>
          <cell r="P716" t="str">
            <v>ENEKO</v>
          </cell>
          <cell r="Q716">
            <v>5</v>
          </cell>
          <cell r="R716">
            <v>5</v>
          </cell>
          <cell r="S716">
            <v>1</v>
          </cell>
        </row>
        <row r="717">
          <cell r="B717" t="str">
            <v>Distribución</v>
          </cell>
          <cell r="C717">
            <v>1</v>
          </cell>
          <cell r="E717" t="str">
            <v>OT/0458</v>
          </cell>
          <cell r="F717">
            <v>45957</v>
          </cell>
          <cell r="G717">
            <v>45961</v>
          </cell>
          <cell r="H717" t="str">
            <v>Colocación llave acometida en C/Juan de Lazcano n10-12 (Zambrana)</v>
          </cell>
          <cell r="I717" t="str">
            <v>Colocación llave acometida en C/Juan de Lazcano n12 (Zambrana)</v>
          </cell>
          <cell r="J717" t="str">
            <v>Zambrana</v>
          </cell>
          <cell r="M717">
            <v>42.661366000000001</v>
          </cell>
          <cell r="N717">
            <v>-2.8772739999999999</v>
          </cell>
          <cell r="O717" t="b">
            <v>1</v>
          </cell>
          <cell r="P717" t="str">
            <v>KERMAN</v>
          </cell>
          <cell r="Q717">
            <v>5</v>
          </cell>
          <cell r="R717">
            <v>5</v>
          </cell>
          <cell r="S717">
            <v>3</v>
          </cell>
        </row>
        <row r="718">
          <cell r="B718" t="str">
            <v>Distribución</v>
          </cell>
          <cell r="C718">
            <v>2</v>
          </cell>
          <cell r="D718">
            <v>4</v>
          </cell>
          <cell r="E718" t="str">
            <v>TP/0343</v>
          </cell>
          <cell r="F718">
            <v>45931</v>
          </cell>
          <cell r="G718">
            <v>45961</v>
          </cell>
          <cell r="H718" t="str">
            <v>Digitalización de redes abastecimiento y saneamiento</v>
          </cell>
          <cell r="I718" t="str">
            <v>Lekamaña,Onsoño,Pobes,Alegría</v>
          </cell>
          <cell r="J718" t="str">
            <v>Aiaraldea</v>
          </cell>
          <cell r="M718" t="str">
            <v/>
          </cell>
          <cell r="N718" t="str">
            <v/>
          </cell>
          <cell r="O718" t="b">
            <v>1</v>
          </cell>
          <cell r="P718" t="str">
            <v>JORGE</v>
          </cell>
          <cell r="Q718">
            <v>1</v>
          </cell>
          <cell r="R718">
            <v>1</v>
          </cell>
        </row>
        <row r="719">
          <cell r="B719" t="str">
            <v>Distribución</v>
          </cell>
          <cell r="C719">
            <v>1</v>
          </cell>
          <cell r="E719" t="str">
            <v>OT/0459</v>
          </cell>
          <cell r="F719">
            <v>45958</v>
          </cell>
          <cell r="G719">
            <v>45958</v>
          </cell>
          <cell r="H719" t="str">
            <v>Colocación de avisos de corte de agua en C/Isasi n20 (Llodio)</v>
          </cell>
          <cell r="I719" t="str">
            <v>Colocación de avisos de corte de agua en C/Isasi n20 (Llodio)</v>
          </cell>
          <cell r="J719" t="str">
            <v>Llodio</v>
          </cell>
          <cell r="M719">
            <v>43.151114</v>
          </cell>
          <cell r="N719">
            <v>-2.9713579999999999</v>
          </cell>
          <cell r="O719" t="b">
            <v>1</v>
          </cell>
          <cell r="P719" t="str">
            <v>TOMAS</v>
          </cell>
          <cell r="Q719">
            <v>1</v>
          </cell>
          <cell r="R719">
            <v>1</v>
          </cell>
          <cell r="S719">
            <v>3</v>
          </cell>
        </row>
        <row r="720">
          <cell r="B720" t="str">
            <v>Saneamiento</v>
          </cell>
          <cell r="C720">
            <v>1</v>
          </cell>
          <cell r="E720" t="str">
            <v>OT/0460</v>
          </cell>
          <cell r="F720">
            <v>45958</v>
          </cell>
          <cell r="G720">
            <v>45958</v>
          </cell>
          <cell r="H720" t="str">
            <v>Desatasco saneamiento es Esquina Abajo n24  en Respaldiza</v>
          </cell>
          <cell r="I720" t="str">
            <v>Desatasco saneamiento es Esquina Abajo n24  en Respaldiza</v>
          </cell>
          <cell r="J720" t="str">
            <v>Respaldiza</v>
          </cell>
          <cell r="M720">
            <v>43.097340000000003</v>
          </cell>
          <cell r="N720">
            <v>-3.0437720000000001</v>
          </cell>
          <cell r="O720" t="b">
            <v>1</v>
          </cell>
          <cell r="P720" t="str">
            <v>EMILIO KERMAN</v>
          </cell>
          <cell r="Q720">
            <v>1</v>
          </cell>
          <cell r="R720">
            <v>1</v>
          </cell>
          <cell r="S720">
            <v>2</v>
          </cell>
        </row>
        <row r="721">
          <cell r="B721" t="str">
            <v>Distribución</v>
          </cell>
          <cell r="C721">
            <v>1</v>
          </cell>
          <cell r="E721" t="str">
            <v>OT/0461</v>
          </cell>
          <cell r="F721">
            <v>45958</v>
          </cell>
          <cell r="G721">
            <v>45958</v>
          </cell>
          <cell r="H721" t="str">
            <v>Acondicionamiento asfalto en Espejo por cata de Facsa</v>
          </cell>
          <cell r="I721" t="str">
            <v>Acondicionamiento asfalto en Espejo por cata de Facsa</v>
          </cell>
          <cell r="J721" t="str">
            <v>Espejo</v>
          </cell>
          <cell r="M721">
            <v>42.808259999999997</v>
          </cell>
          <cell r="N721">
            <v>-3.0462799999999999</v>
          </cell>
          <cell r="O721" t="b">
            <v>1</v>
          </cell>
          <cell r="P721" t="str">
            <v>MIGUEL KERMAN EMILIO ALBERTO</v>
          </cell>
          <cell r="Q721">
            <v>5</v>
          </cell>
          <cell r="R721">
            <v>5</v>
          </cell>
          <cell r="S721">
            <v>3</v>
          </cell>
        </row>
        <row r="722">
          <cell r="B722" t="str">
            <v>Distribución</v>
          </cell>
          <cell r="C722">
            <v>1</v>
          </cell>
          <cell r="E722" t="str">
            <v>OT/0462</v>
          </cell>
          <cell r="F722">
            <v>45957</v>
          </cell>
          <cell r="G722">
            <v>45957</v>
          </cell>
          <cell r="H722" t="str">
            <v>Reparación de fuga en C/Aldai n1</v>
          </cell>
          <cell r="I722" t="str">
            <v>Reparación de fuga en C/Aldai n1</v>
          </cell>
          <cell r="J722" t="str">
            <v>Amurrio</v>
          </cell>
          <cell r="M722">
            <v>43.051189999999998</v>
          </cell>
          <cell r="N722">
            <v>-3.00224</v>
          </cell>
          <cell r="O722" t="b">
            <v>1</v>
          </cell>
          <cell r="P722" t="str">
            <v>KHARIM RAFNIR</v>
          </cell>
          <cell r="Q722">
            <v>1</v>
          </cell>
          <cell r="R722">
            <v>1</v>
          </cell>
          <cell r="S722">
            <v>1</v>
          </cell>
        </row>
        <row r="723">
          <cell r="B723" t="str">
            <v>Distribución</v>
          </cell>
          <cell r="C723">
            <v>1</v>
          </cell>
          <cell r="E723" t="str">
            <v>OT/0463</v>
          </cell>
          <cell r="F723">
            <v>45958</v>
          </cell>
          <cell r="G723">
            <v>45958</v>
          </cell>
          <cell r="H723" t="str">
            <v>Fugas C/Esquina Abajo en Respaldiza</v>
          </cell>
          <cell r="I723" t="str">
            <v>Fugas C/Esquina Abajo en Respaldiza</v>
          </cell>
          <cell r="J723" t="str">
            <v>Respaldiza</v>
          </cell>
          <cell r="M723">
            <v>43.086793</v>
          </cell>
          <cell r="N723">
            <v>-3.0431550000000001</v>
          </cell>
          <cell r="O723" t="b">
            <v>1</v>
          </cell>
          <cell r="P723" t="str">
            <v>MIGUEL Y ZOUITA</v>
          </cell>
          <cell r="Q723">
            <v>1</v>
          </cell>
          <cell r="R723">
            <v>1</v>
          </cell>
          <cell r="S723">
            <v>1</v>
          </cell>
        </row>
        <row r="724">
          <cell r="B724" t="str">
            <v>Distribución</v>
          </cell>
          <cell r="C724">
            <v>1</v>
          </cell>
          <cell r="E724" t="str">
            <v>OT/0464</v>
          </cell>
          <cell r="F724">
            <v>45959</v>
          </cell>
          <cell r="G724">
            <v>45959</v>
          </cell>
          <cell r="H724" t="str">
            <v>Reparación de fuga en C/Esquina Abajo n109 en Respaldiza</v>
          </cell>
          <cell r="I724" t="str">
            <v>Reparación de fuga en C/Esquina Abajo n109 en Respaldiza</v>
          </cell>
          <cell r="J724" t="str">
            <v>Respaldiza</v>
          </cell>
          <cell r="M724">
            <v>43.083544000000003</v>
          </cell>
          <cell r="N724">
            <v>-3.0443709999999999</v>
          </cell>
          <cell r="O724" t="b">
            <v>1</v>
          </cell>
          <cell r="P724" t="str">
            <v>MIGUEL</v>
          </cell>
          <cell r="Q724">
            <v>1</v>
          </cell>
          <cell r="R724">
            <v>1</v>
          </cell>
          <cell r="S724">
            <v>1</v>
          </cell>
        </row>
        <row r="725">
          <cell r="B725" t="str">
            <v>Distribución</v>
          </cell>
          <cell r="C725">
            <v>2</v>
          </cell>
          <cell r="D725">
            <v>9</v>
          </cell>
          <cell r="E725" t="str">
            <v>TP/0344</v>
          </cell>
          <cell r="F725">
            <v>45959</v>
          </cell>
          <cell r="G725">
            <v>45959</v>
          </cell>
          <cell r="H725" t="str">
            <v>Retirada de contador en la C/Pagolar n10 (Llodio)</v>
          </cell>
          <cell r="I725" t="str">
            <v>Retirada de contador en la C/Pagolar n10 (Llodio)</v>
          </cell>
          <cell r="J725" t="str">
            <v>Llodio</v>
          </cell>
          <cell r="M725">
            <v>43.139766000000002</v>
          </cell>
          <cell r="N725">
            <v>-2.9614090000000002</v>
          </cell>
          <cell r="O725" t="b">
            <v>1</v>
          </cell>
          <cell r="P725" t="str">
            <v>KERMAN JUAN</v>
          </cell>
          <cell r="Q725">
            <v>1</v>
          </cell>
          <cell r="R725">
            <v>1</v>
          </cell>
        </row>
        <row r="726">
          <cell r="B726" t="str">
            <v>Distribución</v>
          </cell>
          <cell r="C726">
            <v>2</v>
          </cell>
          <cell r="D726">
            <v>8</v>
          </cell>
          <cell r="E726" t="str">
            <v>TP/0345</v>
          </cell>
          <cell r="F726">
            <v>45959</v>
          </cell>
          <cell r="G726">
            <v>45959</v>
          </cell>
          <cell r="H726" t="str">
            <v>Intalación de contador en C/Javier Zaballa n3 (Llodio)</v>
          </cell>
          <cell r="I726" t="str">
            <v>Intalación de contador en C/Javier Zaballa n3 (Llodio)</v>
          </cell>
          <cell r="J726" t="str">
            <v>Llodio</v>
          </cell>
          <cell r="M726">
            <v>43.139608000000003</v>
          </cell>
          <cell r="N726">
            <v>-2.9657610000000001</v>
          </cell>
          <cell r="O726" t="b">
            <v>1</v>
          </cell>
          <cell r="P726" t="str">
            <v>KERMAN JUAN</v>
          </cell>
          <cell r="Q726">
            <v>1</v>
          </cell>
          <cell r="R726">
            <v>1</v>
          </cell>
        </row>
        <row r="727">
          <cell r="B727" t="str">
            <v>Saneamiento</v>
          </cell>
          <cell r="C727">
            <v>2</v>
          </cell>
          <cell r="D727">
            <v>1</v>
          </cell>
          <cell r="E727" t="str">
            <v>TP/0346</v>
          </cell>
          <cell r="F727">
            <v>45959</v>
          </cell>
          <cell r="G727">
            <v>45959</v>
          </cell>
          <cell r="H727" t="str">
            <v>Mantenimiento preventivo saneamiento C/Izoria (Llodio)</v>
          </cell>
          <cell r="I727" t="str">
            <v>Mantenimiento preventivo saneamiento C/Izoria (Llodio)</v>
          </cell>
          <cell r="J727" t="str">
            <v>Llodio</v>
          </cell>
          <cell r="M727">
            <v>43.144911999999998</v>
          </cell>
          <cell r="N727">
            <v>-2.9598317000000001</v>
          </cell>
          <cell r="O727" t="b">
            <v>1</v>
          </cell>
          <cell r="P727" t="str">
            <v>EMILIO</v>
          </cell>
          <cell r="Q727">
            <v>1</v>
          </cell>
          <cell r="R727">
            <v>1</v>
          </cell>
        </row>
        <row r="728">
          <cell r="B728" t="str">
            <v>Distribución</v>
          </cell>
          <cell r="C728">
            <v>2</v>
          </cell>
          <cell r="D728">
            <v>11</v>
          </cell>
          <cell r="E728" t="str">
            <v>TP/0347</v>
          </cell>
          <cell r="F728">
            <v>45959</v>
          </cell>
          <cell r="G728">
            <v>45961</v>
          </cell>
          <cell r="H728" t="str">
            <v>Lectura de contadores septoriales (Amurrio y Aiaraldea)</v>
          </cell>
          <cell r="I728" t="str">
            <v>Lectura de contadores septoriales (Amurrio y Aiaraldea)</v>
          </cell>
          <cell r="J728" t="str">
            <v>Aiaraldea</v>
          </cell>
          <cell r="M728" t="str">
            <v/>
          </cell>
          <cell r="N728" t="str">
            <v/>
          </cell>
          <cell r="O728" t="b">
            <v>1</v>
          </cell>
          <cell r="P728" t="str">
            <v>KERMAN JUAN</v>
          </cell>
          <cell r="Q728">
            <v>1</v>
          </cell>
          <cell r="R728">
            <v>1</v>
          </cell>
        </row>
        <row r="729">
          <cell r="B729" t="str">
            <v>Distribución</v>
          </cell>
          <cell r="C729">
            <v>2</v>
          </cell>
          <cell r="D729">
            <v>12</v>
          </cell>
          <cell r="E729" t="str">
            <v>TP/0348</v>
          </cell>
          <cell r="F729">
            <v>45957</v>
          </cell>
          <cell r="G729">
            <v>45957</v>
          </cell>
          <cell r="H729" t="str">
            <v>Corte de Agua en Erbi por obra</v>
          </cell>
          <cell r="I729" t="str">
            <v>Corte de Agua en Erbi por obra</v>
          </cell>
          <cell r="J729" t="str">
            <v>Erbi</v>
          </cell>
          <cell r="M729" t="str">
            <v/>
          </cell>
          <cell r="N729" t="str">
            <v/>
          </cell>
          <cell r="O729" t="b">
            <v>1</v>
          </cell>
          <cell r="P729" t="str">
            <v>IÑIGO MIGUEL</v>
          </cell>
          <cell r="Q729">
            <v>1</v>
          </cell>
          <cell r="R729">
            <v>1</v>
          </cell>
        </row>
        <row r="730">
          <cell r="B730" t="str">
            <v>Distribución</v>
          </cell>
          <cell r="C730">
            <v>1</v>
          </cell>
          <cell r="E730" t="str">
            <v>OT/0465</v>
          </cell>
          <cell r="F730">
            <v>45957</v>
          </cell>
          <cell r="G730">
            <v>45957</v>
          </cell>
          <cell r="H730" t="str">
            <v>Reparación de fuga en bajada depósito Arbígano</v>
          </cell>
          <cell r="I730" t="str">
            <v>Reparación de fuga en bajada depósito Arbígano</v>
          </cell>
          <cell r="J730" t="str">
            <v>Arbígano</v>
          </cell>
          <cell r="M730">
            <v>42.804417999999998</v>
          </cell>
          <cell r="N730">
            <v>-2.9334579999999999</v>
          </cell>
          <cell r="O730" t="b">
            <v>1</v>
          </cell>
          <cell r="P730" t="str">
            <v>MIGUEL IÑIGO</v>
          </cell>
          <cell r="Q730">
            <v>5</v>
          </cell>
          <cell r="R730">
            <v>5</v>
          </cell>
          <cell r="S730">
            <v>1</v>
          </cell>
        </row>
        <row r="731">
          <cell r="B731" t="str">
            <v>Saneamiento</v>
          </cell>
          <cell r="C731">
            <v>1</v>
          </cell>
          <cell r="E731" t="str">
            <v>OT/0466</v>
          </cell>
          <cell r="F731">
            <v>45959</v>
          </cell>
          <cell r="G731">
            <v>45959</v>
          </cell>
          <cell r="H731" t="str">
            <v>Desatasco saneamiento en C/Nervion n10 (Llodio)</v>
          </cell>
          <cell r="I731" t="str">
            <v>Desatasco saneamiento en C/Nervion n10 (Llodio)</v>
          </cell>
          <cell r="J731" t="str">
            <v>Llodio</v>
          </cell>
          <cell r="M731">
            <v>43.142268999999999</v>
          </cell>
          <cell r="N731">
            <v>-2.9620259999999998</v>
          </cell>
          <cell r="O731" t="b">
            <v>1</v>
          </cell>
          <cell r="P731" t="str">
            <v>EMILIO KERMAN TOMAS JUAN</v>
          </cell>
          <cell r="Q731">
            <v>1</v>
          </cell>
          <cell r="R731">
            <v>1</v>
          </cell>
          <cell r="S731">
            <v>2</v>
          </cell>
        </row>
        <row r="732">
          <cell r="B732" t="str">
            <v>Aducción</v>
          </cell>
          <cell r="C732">
            <v>1</v>
          </cell>
          <cell r="E732" t="str">
            <v>OT/0467</v>
          </cell>
          <cell r="F732">
            <v>45960</v>
          </cell>
          <cell r="G732">
            <v>45961</v>
          </cell>
          <cell r="H732" t="str">
            <v>Reparación de fuga en Lejarzo</v>
          </cell>
          <cell r="I732" t="str">
            <v>Reparación de fuga en Lejarzo</v>
          </cell>
          <cell r="J732" t="str">
            <v>Lejarzo</v>
          </cell>
          <cell r="M732">
            <v>43.057960999999999</v>
          </cell>
          <cell r="N732">
            <v>-3.121699</v>
          </cell>
          <cell r="O732" t="b">
            <v>1</v>
          </cell>
          <cell r="P732" t="str">
            <v/>
          </cell>
          <cell r="Q732">
            <v>1</v>
          </cell>
          <cell r="R732">
            <v>1</v>
          </cell>
          <cell r="S732">
            <v>1</v>
          </cell>
        </row>
        <row r="733">
          <cell r="B733" t="str">
            <v>Distribución</v>
          </cell>
          <cell r="C733">
            <v>1</v>
          </cell>
          <cell r="E733" t="str">
            <v>OT/0468</v>
          </cell>
          <cell r="F733">
            <v>45959</v>
          </cell>
          <cell r="G733">
            <v>45960</v>
          </cell>
          <cell r="H733" t="str">
            <v>Instalación de tubería nueva para Larrinbe 29</v>
          </cell>
          <cell r="I733" t="str">
            <v>Instalación de tubería nueva para Larrinbe 29</v>
          </cell>
          <cell r="J733" t="str">
            <v>Amurrio</v>
          </cell>
          <cell r="M733">
            <v>43.044117</v>
          </cell>
          <cell r="N733">
            <v>-2.9860600000000002</v>
          </cell>
          <cell r="O733" t="b">
            <v>1</v>
          </cell>
          <cell r="P733" t="str">
            <v>KERMAN</v>
          </cell>
          <cell r="Q733">
            <v>1</v>
          </cell>
          <cell r="R733">
            <v>1</v>
          </cell>
          <cell r="S733">
            <v>3</v>
          </cell>
        </row>
        <row r="734">
          <cell r="B734" t="str">
            <v>Saneamiento</v>
          </cell>
          <cell r="C734">
            <v>2</v>
          </cell>
          <cell r="D734">
            <v>1</v>
          </cell>
          <cell r="E734" t="str">
            <v>TP/0349</v>
          </cell>
          <cell r="F734">
            <v>45960</v>
          </cell>
          <cell r="G734">
            <v>45960</v>
          </cell>
          <cell r="H734" t="str">
            <v>Mantenimiento preventivo saneamiento C/Fronton y Jose Madinabeitia (Amurrio)</v>
          </cell>
          <cell r="I734" t="str">
            <v>Mantenimiento preventivo saneamiento C/Fronton y Jose Madinabeitia (Amurrio)</v>
          </cell>
          <cell r="J734" t="str">
            <v>Amurrio</v>
          </cell>
          <cell r="M734">
            <v>43.053567999999999</v>
          </cell>
          <cell r="N734">
            <v>-3.0013700000000001</v>
          </cell>
          <cell r="O734" t="b">
            <v>1</v>
          </cell>
          <cell r="P734" t="str">
            <v>EMILIO RAFIN</v>
          </cell>
          <cell r="Q734">
            <v>1</v>
          </cell>
          <cell r="R734">
            <v>1</v>
          </cell>
        </row>
        <row r="735">
          <cell r="B735" t="str">
            <v>Distribución</v>
          </cell>
          <cell r="C735">
            <v>2</v>
          </cell>
          <cell r="D735">
            <v>13</v>
          </cell>
          <cell r="E735" t="str">
            <v>TP/0350</v>
          </cell>
          <cell r="F735">
            <v>45960</v>
          </cell>
          <cell r="G735">
            <v>45960</v>
          </cell>
          <cell r="H735" t="str">
            <v>Asistencia técnica a obra en ambulatorio OSAKIDETZA (Llodio)</v>
          </cell>
          <cell r="I735" t="str">
            <v>Asistencia técnica a obra en ambulatorio OSAKIDETZA (Llodio)</v>
          </cell>
          <cell r="J735" t="str">
            <v>Llodio</v>
          </cell>
          <cell r="M735">
            <v>43.146759000000003</v>
          </cell>
          <cell r="N735">
            <v>-2.9582929999999998</v>
          </cell>
          <cell r="O735" t="b">
            <v>1</v>
          </cell>
          <cell r="P735" t="str">
            <v>IÑIGO</v>
          </cell>
          <cell r="Q735">
            <v>1</v>
          </cell>
          <cell r="R735">
            <v>1</v>
          </cell>
        </row>
        <row r="736">
          <cell r="B736" t="str">
            <v>Distribución</v>
          </cell>
          <cell r="C736">
            <v>2</v>
          </cell>
          <cell r="D736">
            <v>12</v>
          </cell>
          <cell r="E736" t="str">
            <v>TP/0351</v>
          </cell>
          <cell r="F736">
            <v>45960</v>
          </cell>
          <cell r="G736">
            <v>45960</v>
          </cell>
          <cell r="H736" t="str">
            <v>Corte de agua en C/Isasi n20 (Llodio)</v>
          </cell>
          <cell r="I736" t="str">
            <v>Corte de agua en C/Isasi n20 (Llodio)</v>
          </cell>
          <cell r="J736" t="str">
            <v>Llodio</v>
          </cell>
          <cell r="M736">
            <v>43.151088999999999</v>
          </cell>
          <cell r="N736">
            <v>-2.9713750000000001</v>
          </cell>
          <cell r="O736" t="b">
            <v>1</v>
          </cell>
          <cell r="P736" t="str">
            <v>IÑIGO</v>
          </cell>
          <cell r="Q736">
            <v>1</v>
          </cell>
          <cell r="R736">
            <v>1</v>
          </cell>
        </row>
        <row r="737">
          <cell r="B737" t="str">
            <v>Distribución</v>
          </cell>
          <cell r="C737">
            <v>2</v>
          </cell>
          <cell r="D737">
            <v>12</v>
          </cell>
          <cell r="E737" t="str">
            <v>TP/0352</v>
          </cell>
          <cell r="F737">
            <v>45959</v>
          </cell>
          <cell r="G737">
            <v>45959</v>
          </cell>
          <cell r="H737" t="str">
            <v>Asistencia técnica para corte de agua ambulatorio Agurain</v>
          </cell>
          <cell r="I737" t="str">
            <v>Asistencia técnica para corte de agua ambulatorio Agurain</v>
          </cell>
          <cell r="J737" t="str">
            <v>Agurain</v>
          </cell>
          <cell r="M737" t="str">
            <v/>
          </cell>
          <cell r="N737" t="str">
            <v/>
          </cell>
          <cell r="O737" t="b">
            <v>1</v>
          </cell>
          <cell r="P737" t="str">
            <v>EDUARDO</v>
          </cell>
          <cell r="Q737">
            <v>3</v>
          </cell>
          <cell r="R737">
            <v>3</v>
          </cell>
        </row>
        <row r="738">
          <cell r="B738" t="str">
            <v>Distribución</v>
          </cell>
          <cell r="C738">
            <v>2</v>
          </cell>
          <cell r="D738">
            <v>13</v>
          </cell>
          <cell r="E738" t="str">
            <v>TP/0353</v>
          </cell>
          <cell r="F738">
            <v>45960</v>
          </cell>
          <cell r="G738">
            <v>45966</v>
          </cell>
          <cell r="H738" t="str">
            <v>Obra en parque Lamuza C/Lamuza en Llodio</v>
          </cell>
          <cell r="I738" t="str">
            <v>Obra en parque Lamuza C/Lamuza en Llodio</v>
          </cell>
          <cell r="J738" t="str">
            <v>Llodio</v>
          </cell>
          <cell r="M738">
            <v>43.144101999999997</v>
          </cell>
          <cell r="N738">
            <v>-2.964035</v>
          </cell>
          <cell r="O738" t="b">
            <v>1</v>
          </cell>
          <cell r="P738" t="str">
            <v>TOMAS</v>
          </cell>
          <cell r="Q738">
            <v>1</v>
          </cell>
          <cell r="R738">
            <v>1</v>
          </cell>
        </row>
        <row r="739">
          <cell r="B739" t="str">
            <v>Distribución</v>
          </cell>
          <cell r="C739">
            <v>2</v>
          </cell>
          <cell r="D739">
            <v>13</v>
          </cell>
          <cell r="E739" t="str">
            <v>TP/0354</v>
          </cell>
          <cell r="F739">
            <v>45960</v>
          </cell>
          <cell r="G739">
            <v>45960</v>
          </cell>
          <cell r="H739" t="str">
            <v>Asistencia técnico en C/Nervión n10 (Llodio)</v>
          </cell>
          <cell r="I739" t="str">
            <v>Asistencia técnico en C/Nervión n10 (Llodio)</v>
          </cell>
          <cell r="J739" t="str">
            <v>Llodio</v>
          </cell>
          <cell r="M739">
            <v>43.142268999999999</v>
          </cell>
          <cell r="N739">
            <v>-2.9620259999999998</v>
          </cell>
          <cell r="O739" t="b">
            <v>1</v>
          </cell>
          <cell r="P739" t="str">
            <v>TOMAS</v>
          </cell>
          <cell r="Q739">
            <v>1</v>
          </cell>
          <cell r="R739">
            <v>1</v>
          </cell>
        </row>
        <row r="740">
          <cell r="B740" t="str">
            <v>Depuración</v>
          </cell>
          <cell r="C740">
            <v>2</v>
          </cell>
          <cell r="D740">
            <v>23</v>
          </cell>
          <cell r="E740" t="str">
            <v>TP/0355</v>
          </cell>
          <cell r="F740">
            <v>45959</v>
          </cell>
          <cell r="G740">
            <v>45959</v>
          </cell>
          <cell r="H740" t="str">
            <v>Limpieza y revisión tamices en Ozeka,Añes,Madaria,Onsoñoy Lejarzo</v>
          </cell>
          <cell r="I740" t="str">
            <v>Limpieza y revisión tamices en Ozeka,Añes,Madaria,Onsoñoy Lejarzo</v>
          </cell>
          <cell r="J740" t="str">
            <v>Ozeka</v>
          </cell>
          <cell r="M740" t="str">
            <v/>
          </cell>
          <cell r="N740" t="str">
            <v/>
          </cell>
          <cell r="O740" t="b">
            <v>1</v>
          </cell>
          <cell r="P740" t="str">
            <v>MIGUEL</v>
          </cell>
          <cell r="Q740">
            <v>1</v>
          </cell>
          <cell r="R740">
            <v>1</v>
          </cell>
        </row>
        <row r="741">
          <cell r="B741" t="str">
            <v>Distribución</v>
          </cell>
          <cell r="C741">
            <v>2</v>
          </cell>
          <cell r="D741">
            <v>8</v>
          </cell>
          <cell r="E741" t="str">
            <v>TP/0356</v>
          </cell>
          <cell r="F741">
            <v>45960</v>
          </cell>
          <cell r="G741">
            <v>45960</v>
          </cell>
          <cell r="H741" t="str">
            <v>Instalación de contador en C/Etxegoienbidea n1 Amurrio</v>
          </cell>
          <cell r="I741" t="str">
            <v>Instalación de contador en C/Etxegoienbidea n1 Amurrio</v>
          </cell>
          <cell r="J741" t="str">
            <v>Amurrio</v>
          </cell>
          <cell r="M741">
            <v>43.051105999999997</v>
          </cell>
          <cell r="N741">
            <v>-3.0029300000000001</v>
          </cell>
          <cell r="O741" t="b">
            <v>1</v>
          </cell>
          <cell r="P741" t="str">
            <v>KERMAN</v>
          </cell>
          <cell r="Q741">
            <v>1</v>
          </cell>
          <cell r="R741">
            <v>1</v>
          </cell>
        </row>
        <row r="742">
          <cell r="B742" t="str">
            <v>Distribución</v>
          </cell>
          <cell r="C742">
            <v>2</v>
          </cell>
          <cell r="D742">
            <v>8</v>
          </cell>
          <cell r="E742" t="str">
            <v>TP/0357</v>
          </cell>
          <cell r="F742">
            <v>45960</v>
          </cell>
          <cell r="G742">
            <v>45960</v>
          </cell>
          <cell r="H742" t="str">
            <v>Instalación de contador en C/San Jose n12 (Amurrio)</v>
          </cell>
          <cell r="I742" t="str">
            <v>Instalación de contador en C/San Jose n12 (Amurrio)</v>
          </cell>
          <cell r="J742" t="str">
            <v>Amurrio</v>
          </cell>
          <cell r="M742">
            <v>43.059981000000001</v>
          </cell>
          <cell r="N742">
            <v>-2.998891</v>
          </cell>
          <cell r="O742" t="b">
            <v>1</v>
          </cell>
          <cell r="P742" t="str">
            <v>KERMAN</v>
          </cell>
          <cell r="Q742">
            <v>1</v>
          </cell>
          <cell r="R742">
            <v>1</v>
          </cell>
        </row>
        <row r="743">
          <cell r="B743" t="str">
            <v>Distribución</v>
          </cell>
          <cell r="C743">
            <v>2</v>
          </cell>
          <cell r="D743">
            <v>8</v>
          </cell>
          <cell r="E743" t="str">
            <v>TP/0358</v>
          </cell>
          <cell r="F743">
            <v>45960</v>
          </cell>
          <cell r="G743">
            <v>45960</v>
          </cell>
          <cell r="H743" t="str">
            <v>Instalación de contador en C/Jose Picaza n11 (Amurrio)</v>
          </cell>
          <cell r="I743" t="str">
            <v>Instalación de contador en C/Jose Picaza n11 (Amurrio)</v>
          </cell>
          <cell r="J743" t="str">
            <v>Amurrio</v>
          </cell>
          <cell r="M743">
            <v>43.053400000000003</v>
          </cell>
          <cell r="N743">
            <v>-3.0047139999999999</v>
          </cell>
          <cell r="O743" t="b">
            <v>1</v>
          </cell>
          <cell r="P743" t="str">
            <v>KERMAN</v>
          </cell>
          <cell r="Q743">
            <v>1</v>
          </cell>
          <cell r="R743">
            <v>1</v>
          </cell>
        </row>
        <row r="744">
          <cell r="B744" t="str">
            <v>Distribución</v>
          </cell>
          <cell r="C744">
            <v>1</v>
          </cell>
          <cell r="E744" t="str">
            <v>OT/0469</v>
          </cell>
          <cell r="F744">
            <v>45956</v>
          </cell>
          <cell r="G744">
            <v>45960</v>
          </cell>
          <cell r="H744" t="str">
            <v>Reparación de fuga en C/Gazteiz n1 en Alegría</v>
          </cell>
          <cell r="I744" t="str">
            <v>Reparación de fuga en C/Gazteiz n1 en Alegría</v>
          </cell>
          <cell r="J744" t="str">
            <v>Alegría</v>
          </cell>
          <cell r="M744">
            <v>42.841405000000002</v>
          </cell>
          <cell r="N744">
            <v>-2.513207</v>
          </cell>
          <cell r="O744" t="b">
            <v>1</v>
          </cell>
          <cell r="P744" t="str">
            <v>MIGUEL EDU</v>
          </cell>
          <cell r="Q744">
            <v>3</v>
          </cell>
          <cell r="R744">
            <v>3</v>
          </cell>
          <cell r="S744">
            <v>1</v>
          </cell>
        </row>
        <row r="745">
          <cell r="B745" t="str">
            <v>Distribución</v>
          </cell>
          <cell r="C745">
            <v>1</v>
          </cell>
          <cell r="E745" t="str">
            <v>OT/0470</v>
          </cell>
          <cell r="F745">
            <v>45957</v>
          </cell>
          <cell r="H745" t="str">
            <v>Reparación de fuga en C/Puente n2b en Armiñon</v>
          </cell>
          <cell r="I745" t="str">
            <v>Reparación de fuga en C/Puente n2b en Armiñon</v>
          </cell>
          <cell r="J745" t="str">
            <v>Armiñon</v>
          </cell>
          <cell r="M745">
            <v>42.723129999999998</v>
          </cell>
          <cell r="N745">
            <v>-2.8740700000000001</v>
          </cell>
          <cell r="O745" t="b">
            <v>0</v>
          </cell>
          <cell r="P745" t="str">
            <v>EDU ZOUITA BEÑAT</v>
          </cell>
          <cell r="Q745">
            <v>5</v>
          </cell>
          <cell r="R745">
            <v>5</v>
          </cell>
          <cell r="S745">
            <v>1</v>
          </cell>
        </row>
        <row r="746">
          <cell r="B746" t="str">
            <v>Distribución</v>
          </cell>
          <cell r="C746">
            <v>1</v>
          </cell>
          <cell r="E746" t="str">
            <v>OT/0471</v>
          </cell>
          <cell r="F746">
            <v>45958</v>
          </cell>
          <cell r="G746">
            <v>45958</v>
          </cell>
          <cell r="H746" t="str">
            <v>Sustitución de VRP en C/El Puente en Armiñon</v>
          </cell>
          <cell r="I746" t="str">
            <v>Sustitución de VRP en C/El Puente en Armiñon</v>
          </cell>
          <cell r="J746" t="str">
            <v>Amurrio</v>
          </cell>
          <cell r="M746">
            <v>42.722602000000002</v>
          </cell>
          <cell r="N746">
            <v>-2.876258</v>
          </cell>
          <cell r="O746" t="b">
            <v>1</v>
          </cell>
          <cell r="P746" t="str">
            <v>IÑIGO EDU</v>
          </cell>
          <cell r="Q746">
            <v>1</v>
          </cell>
          <cell r="R746">
            <v>1</v>
          </cell>
          <cell r="S746">
            <v>3</v>
          </cell>
        </row>
        <row r="747">
          <cell r="B747" t="str">
            <v>Saneamiento</v>
          </cell>
          <cell r="C747">
            <v>2</v>
          </cell>
          <cell r="D747">
            <v>1</v>
          </cell>
          <cell r="E747" t="str">
            <v>TP/0359</v>
          </cell>
          <cell r="F747">
            <v>45961</v>
          </cell>
          <cell r="G747">
            <v>45961</v>
          </cell>
          <cell r="H747" t="str">
            <v>Mantenimiento preventivo saneamiento en Lekamaña (Amurrio)</v>
          </cell>
          <cell r="I747" t="str">
            <v>Mantenimiento preventivo saneamiento en Lekamaña</v>
          </cell>
          <cell r="J747" t="str">
            <v>Amurrio</v>
          </cell>
          <cell r="M747" t="str">
            <v/>
          </cell>
          <cell r="N747" t="str">
            <v/>
          </cell>
          <cell r="O747" t="b">
            <v>1</v>
          </cell>
          <cell r="P747" t="str">
            <v/>
          </cell>
          <cell r="Q747">
            <v>1</v>
          </cell>
          <cell r="R747">
            <v>1</v>
          </cell>
        </row>
        <row r="748">
          <cell r="B748" t="str">
            <v>Distribución</v>
          </cell>
          <cell r="C748">
            <v>1</v>
          </cell>
          <cell r="E748" t="str">
            <v>OT/0472</v>
          </cell>
          <cell r="F748">
            <v>45960</v>
          </cell>
          <cell r="G748">
            <v>45961</v>
          </cell>
          <cell r="H748" t="str">
            <v>Reparación de Fuga y reparación del tubo de saneamiento en Barrio Lekamaña en Amurrio</v>
          </cell>
          <cell r="I748" t="str">
            <v>Reparación de Fuga y reparación del tubo de saneamiento en Barrio Lekamaña en Amurrio</v>
          </cell>
          <cell r="J748" t="str">
            <v>Amurrio</v>
          </cell>
          <cell r="M748">
            <v>43.024180999999999</v>
          </cell>
          <cell r="N748">
            <v>-2.9919129999999998</v>
          </cell>
          <cell r="O748" t="b">
            <v>1</v>
          </cell>
          <cell r="P748" t="str">
            <v>KERMAN RAFHIR KARIM</v>
          </cell>
          <cell r="Q748">
            <v>1</v>
          </cell>
          <cell r="R748">
            <v>1</v>
          </cell>
          <cell r="S748">
            <v>1</v>
          </cell>
        </row>
        <row r="749">
          <cell r="B749" t="str">
            <v>Depuración</v>
          </cell>
          <cell r="C749">
            <v>1</v>
          </cell>
          <cell r="E749" t="str">
            <v>OT/0473</v>
          </cell>
          <cell r="F749">
            <v>45961</v>
          </cell>
          <cell r="G749">
            <v>45961</v>
          </cell>
          <cell r="H749" t="str">
            <v>Desatasco en Corro a la entrada de la fosa</v>
          </cell>
          <cell r="I749" t="str">
            <v>Desatasco en Corro a la entrada de la fosa</v>
          </cell>
          <cell r="J749" t="str">
            <v>Corro</v>
          </cell>
          <cell r="M749">
            <v>42.878242</v>
          </cell>
          <cell r="N749">
            <v>-3.1722950000000001</v>
          </cell>
          <cell r="O749" t="b">
            <v>1</v>
          </cell>
          <cell r="P749" t="str">
            <v>MIGUEL RAFIR</v>
          </cell>
          <cell r="Q749">
            <v>5</v>
          </cell>
          <cell r="R749">
            <v>5</v>
          </cell>
          <cell r="S749">
            <v>2</v>
          </cell>
        </row>
        <row r="750">
          <cell r="B750" t="str">
            <v>Distribución</v>
          </cell>
          <cell r="C750">
            <v>1</v>
          </cell>
          <cell r="E750" t="str">
            <v>OT/0474</v>
          </cell>
          <cell r="F750">
            <v>45961</v>
          </cell>
          <cell r="G750">
            <v>45961</v>
          </cell>
          <cell r="H750" t="str">
            <v>Reparación de fuga junto al depósito de Artziniega</v>
          </cell>
          <cell r="I750" t="str">
            <v>Reparación de fuga junto al depósito de Artziniega</v>
          </cell>
          <cell r="J750" t="str">
            <v>Artziniega</v>
          </cell>
          <cell r="M750">
            <v>43.122805</v>
          </cell>
          <cell r="N750">
            <v>-3.1362860000000001</v>
          </cell>
          <cell r="O750" t="b">
            <v>1</v>
          </cell>
          <cell r="P750" t="str">
            <v>KERMAN</v>
          </cell>
          <cell r="Q750">
            <v>1</v>
          </cell>
          <cell r="R750">
            <v>1</v>
          </cell>
          <cell r="S750">
            <v>1</v>
          </cell>
        </row>
        <row r="751">
          <cell r="B751" t="str">
            <v>Distribución</v>
          </cell>
          <cell r="C751">
            <v>2</v>
          </cell>
          <cell r="D751">
            <v>18</v>
          </cell>
          <cell r="E751" t="str">
            <v>TP/0360</v>
          </cell>
          <cell r="F751">
            <v>45961</v>
          </cell>
          <cell r="G751">
            <v>45961</v>
          </cell>
          <cell r="H751" t="str">
            <v>Ejecución y conexión acometida nueva en Murga n58</v>
          </cell>
          <cell r="I751" t="str">
            <v>Ejecución y conexión acometida nueva en Murga n58</v>
          </cell>
          <cell r="J751" t="str">
            <v>Murga</v>
          </cell>
          <cell r="M751">
            <v>43.071060000000003</v>
          </cell>
          <cell r="N751">
            <v>-3.0217999999999998</v>
          </cell>
          <cell r="O751" t="b">
            <v>1</v>
          </cell>
          <cell r="P751" t="str">
            <v>IÑIGO</v>
          </cell>
          <cell r="Q751">
            <v>1</v>
          </cell>
          <cell r="R751">
            <v>1</v>
          </cell>
        </row>
        <row r="752">
          <cell r="B752" t="str">
            <v>Distribución</v>
          </cell>
          <cell r="C752">
            <v>2</v>
          </cell>
          <cell r="D752">
            <v>17</v>
          </cell>
          <cell r="E752" t="str">
            <v>TP/0361</v>
          </cell>
          <cell r="F752">
            <v>45953</v>
          </cell>
          <cell r="G752">
            <v>45953</v>
          </cell>
          <cell r="H752" t="str">
            <v>Limpieza de red en Maeztu por aviso de cal</v>
          </cell>
          <cell r="I752" t="str">
            <v>Limpieza de red en Maeztu por aviso de cal</v>
          </cell>
          <cell r="J752" t="str">
            <v>Maeztu</v>
          </cell>
          <cell r="M752" t="str">
            <v/>
          </cell>
          <cell r="N752" t="str">
            <v/>
          </cell>
          <cell r="O752" t="b">
            <v>1</v>
          </cell>
          <cell r="P752" t="str">
            <v/>
          </cell>
          <cell r="Q752">
            <v>6</v>
          </cell>
          <cell r="R752">
            <v>6</v>
          </cell>
        </row>
        <row r="753">
          <cell r="B753" t="str">
            <v>Distribución</v>
          </cell>
          <cell r="C753">
            <v>2</v>
          </cell>
          <cell r="D753">
            <v>9</v>
          </cell>
          <cell r="E753" t="str">
            <v>TP/0362</v>
          </cell>
          <cell r="F753">
            <v>45961</v>
          </cell>
          <cell r="G753">
            <v>45961</v>
          </cell>
          <cell r="H753" t="str">
            <v>Desistalación de contador en C/Fronton n4 (Amurrio)</v>
          </cell>
          <cell r="I753" t="str">
            <v>Desistalación de contador en C/Fronton n4 (Amurrio)</v>
          </cell>
          <cell r="J753" t="str">
            <v>Amurrio</v>
          </cell>
          <cell r="M753">
            <v>43.053407</v>
          </cell>
          <cell r="N753">
            <v>-3.0012590000000001</v>
          </cell>
          <cell r="O753" t="b">
            <v>1</v>
          </cell>
          <cell r="P753" t="str">
            <v>KERMAN</v>
          </cell>
          <cell r="Q753">
            <v>1</v>
          </cell>
          <cell r="R753">
            <v>1</v>
          </cell>
        </row>
        <row r="754">
          <cell r="B754" t="str">
            <v>Distribución</v>
          </cell>
          <cell r="C754">
            <v>1</v>
          </cell>
          <cell r="E754" t="str">
            <v>OT/0475</v>
          </cell>
          <cell r="F754">
            <v>45960</v>
          </cell>
          <cell r="G754">
            <v>45960</v>
          </cell>
          <cell r="H754" t="str">
            <v>Reparación de fuga en C/Mendiko n49 (Amurrio)</v>
          </cell>
          <cell r="I754" t="str">
            <v>Reparación de fuga en C/Mendiko n49 (Amurrio)</v>
          </cell>
          <cell r="J754" t="str">
            <v>Amurrio</v>
          </cell>
          <cell r="M754">
            <v>43.060079999999999</v>
          </cell>
          <cell r="N754">
            <v>-3.0039500000000001</v>
          </cell>
          <cell r="O754" t="b">
            <v>1</v>
          </cell>
          <cell r="P754" t="str">
            <v>KERMAN JUAN RAFNIR</v>
          </cell>
          <cell r="Q754">
            <v>1</v>
          </cell>
          <cell r="R754">
            <v>1</v>
          </cell>
          <cell r="S754">
            <v>1</v>
          </cell>
        </row>
        <row r="755">
          <cell r="B755" t="str">
            <v>Distribución</v>
          </cell>
          <cell r="C755">
            <v>1</v>
          </cell>
          <cell r="E755" t="str">
            <v>OT/0476</v>
          </cell>
          <cell r="F755">
            <v>45958</v>
          </cell>
          <cell r="G755">
            <v>45989</v>
          </cell>
          <cell r="H755" t="str">
            <v>Sustitución VRP en Armiñon</v>
          </cell>
          <cell r="I755" t="str">
            <v>Sustitución VRP en Armiñon</v>
          </cell>
          <cell r="J755" t="str">
            <v>Armiñon</v>
          </cell>
          <cell r="M755">
            <v>42.722602000000002</v>
          </cell>
          <cell r="N755">
            <v>-2.876258</v>
          </cell>
          <cell r="O755" t="b">
            <v>1</v>
          </cell>
          <cell r="P755" t="str">
            <v>EDUARDO IÑIGO</v>
          </cell>
          <cell r="Q755">
            <v>5</v>
          </cell>
          <cell r="R755">
            <v>5</v>
          </cell>
          <cell r="S755">
            <v>3</v>
          </cell>
        </row>
        <row r="756">
          <cell r="B756" t="str">
            <v>Saneamiento</v>
          </cell>
          <cell r="C756">
            <v>1</v>
          </cell>
          <cell r="E756" t="str">
            <v>OT/0477</v>
          </cell>
          <cell r="F756">
            <v>45962</v>
          </cell>
          <cell r="G756">
            <v>45962</v>
          </cell>
          <cell r="H756" t="str">
            <v>Desatasco restaurante Maroño</v>
          </cell>
          <cell r="I756" t="str">
            <v>Desatasco restaurante Maroño</v>
          </cell>
          <cell r="J756" t="str">
            <v>Maroño</v>
          </cell>
          <cell r="M756">
            <v>43.052152999999997</v>
          </cell>
          <cell r="N756">
            <v>-3.0593490000000001</v>
          </cell>
          <cell r="O756" t="b">
            <v>1</v>
          </cell>
          <cell r="P756" t="str">
            <v>KERMAN MANUEL</v>
          </cell>
          <cell r="Q756">
            <v>1</v>
          </cell>
          <cell r="R756">
            <v>1</v>
          </cell>
          <cell r="S756">
            <v>2</v>
          </cell>
        </row>
        <row r="757">
          <cell r="B757" t="str">
            <v>Saneamiento</v>
          </cell>
          <cell r="C757">
            <v>1</v>
          </cell>
          <cell r="E757" t="str">
            <v>OT/0478</v>
          </cell>
          <cell r="F757">
            <v>45962</v>
          </cell>
          <cell r="G757">
            <v>45962</v>
          </cell>
          <cell r="H757" t="str">
            <v>Vertido al río en C/Zalibar (Amurrio)</v>
          </cell>
          <cell r="I757" t="str">
            <v>Vertido al río en C/Zalibar (Amurrio)</v>
          </cell>
          <cell r="J757" t="str">
            <v>Amurrio</v>
          </cell>
          <cell r="M757">
            <v>43.064109999999999</v>
          </cell>
          <cell r="N757">
            <v>-2.99166</v>
          </cell>
          <cell r="O757" t="b">
            <v>1</v>
          </cell>
          <cell r="P757" t="str">
            <v>V</v>
          </cell>
          <cell r="Q757">
            <v>1</v>
          </cell>
          <cell r="R757">
            <v>1</v>
          </cell>
          <cell r="S757">
            <v>1</v>
          </cell>
        </row>
        <row r="758">
          <cell r="B758" t="str">
            <v>Distribución</v>
          </cell>
          <cell r="C758">
            <v>1</v>
          </cell>
          <cell r="E758" t="str">
            <v>OT/0479</v>
          </cell>
          <cell r="F758">
            <v>45962</v>
          </cell>
          <cell r="H758" t="str">
            <v>Fuga en Maeztu</v>
          </cell>
          <cell r="I758" t="str">
            <v>Fuga en Maeztu</v>
          </cell>
          <cell r="J758" t="str">
            <v>Maeztu</v>
          </cell>
          <cell r="M758" t="str">
            <v/>
          </cell>
          <cell r="N758" t="str">
            <v/>
          </cell>
          <cell r="O758" t="b">
            <v>1</v>
          </cell>
          <cell r="P758" t="str">
            <v>V</v>
          </cell>
          <cell r="Q758">
            <v>6</v>
          </cell>
          <cell r="R758">
            <v>6</v>
          </cell>
          <cell r="S758">
            <v>1</v>
          </cell>
        </row>
        <row r="759">
          <cell r="B759" t="str">
            <v>Distribución</v>
          </cell>
          <cell r="C759">
            <v>1</v>
          </cell>
          <cell r="E759" t="str">
            <v>OT/0480</v>
          </cell>
          <cell r="F759">
            <v>45961</v>
          </cell>
          <cell r="G759">
            <v>45961</v>
          </cell>
          <cell r="H759" t="str">
            <v>Reposición de catas en llaves de acometida en C/Juan Lazcano n10 en Zambrana</v>
          </cell>
          <cell r="I759" t="str">
            <v>Reposición de catas en llaves de acometida en C/Juan Lazcano n10 en Zambrana</v>
          </cell>
          <cell r="J759" t="str">
            <v>Zambrana</v>
          </cell>
          <cell r="M759">
            <v>42.662073999999997</v>
          </cell>
          <cell r="N759">
            <v>-2.8780429999999999</v>
          </cell>
          <cell r="O759" t="b">
            <v>1</v>
          </cell>
          <cell r="P759" t="str">
            <v/>
          </cell>
          <cell r="Q759">
            <v>5</v>
          </cell>
          <cell r="R759">
            <v>5</v>
          </cell>
          <cell r="S759">
            <v>3</v>
          </cell>
        </row>
        <row r="760">
          <cell r="B760" t="str">
            <v>Saneamiento</v>
          </cell>
          <cell r="C760">
            <v>2</v>
          </cell>
          <cell r="D760">
            <v>1</v>
          </cell>
          <cell r="E760" t="str">
            <v>TP/0363</v>
          </cell>
          <cell r="F760">
            <v>45964</v>
          </cell>
          <cell r="G760">
            <v>45964</v>
          </cell>
          <cell r="H760" t="str">
            <v>Mantenimiento preventivo saneamiento en Corro</v>
          </cell>
          <cell r="I760" t="str">
            <v>Mantenimiento preventivo saneamiento en Corro</v>
          </cell>
          <cell r="J760" t="str">
            <v>Corro</v>
          </cell>
          <cell r="M760">
            <v>42.878863000000003</v>
          </cell>
          <cell r="N760">
            <v>-3.1718929999999999</v>
          </cell>
          <cell r="O760" t="b">
            <v>1</v>
          </cell>
          <cell r="P760" t="str">
            <v/>
          </cell>
          <cell r="Q760">
            <v>5</v>
          </cell>
          <cell r="R760">
            <v>5</v>
          </cell>
        </row>
        <row r="761">
          <cell r="B761" t="str">
            <v>Saneamiento</v>
          </cell>
          <cell r="C761">
            <v>1</v>
          </cell>
          <cell r="E761" t="str">
            <v>OT/0481</v>
          </cell>
          <cell r="F761">
            <v>45963</v>
          </cell>
          <cell r="G761">
            <v>45963</v>
          </cell>
          <cell r="H761" t="str">
            <v>Atasco en Espejo</v>
          </cell>
          <cell r="I761" t="str">
            <v>Atasco en Espejo</v>
          </cell>
          <cell r="J761" t="str">
            <v>Espejo</v>
          </cell>
          <cell r="M761" t="str">
            <v/>
          </cell>
          <cell r="N761" t="str">
            <v/>
          </cell>
          <cell r="O761" t="b">
            <v>1</v>
          </cell>
          <cell r="P761" t="str">
            <v>V</v>
          </cell>
          <cell r="Q761">
            <v>5</v>
          </cell>
          <cell r="R761">
            <v>5</v>
          </cell>
          <cell r="S761">
            <v>2</v>
          </cell>
        </row>
        <row r="762">
          <cell r="B762" t="str">
            <v>Distribución</v>
          </cell>
          <cell r="C762">
            <v>1</v>
          </cell>
          <cell r="E762" t="str">
            <v>OT/0482</v>
          </cell>
          <cell r="F762">
            <v>45963</v>
          </cell>
          <cell r="G762">
            <v>45963</v>
          </cell>
          <cell r="H762" t="str">
            <v>Fuga en Erbi</v>
          </cell>
          <cell r="I762" t="str">
            <v>Fuga en Erbi</v>
          </cell>
          <cell r="J762" t="str">
            <v>Erbi</v>
          </cell>
          <cell r="M762" t="str">
            <v/>
          </cell>
          <cell r="N762" t="str">
            <v/>
          </cell>
          <cell r="O762" t="b">
            <v>1</v>
          </cell>
          <cell r="P762" t="str">
            <v>V</v>
          </cell>
          <cell r="Q762">
            <v>1</v>
          </cell>
          <cell r="R762">
            <v>1</v>
          </cell>
          <cell r="S762">
            <v>1</v>
          </cell>
        </row>
        <row r="763">
          <cell r="B763" t="str">
            <v>Distribución</v>
          </cell>
          <cell r="C763">
            <v>1</v>
          </cell>
          <cell r="E763" t="str">
            <v>OT/0483</v>
          </cell>
          <cell r="F763">
            <v>45959</v>
          </cell>
          <cell r="G763">
            <v>45959</v>
          </cell>
          <cell r="H763" t="str">
            <v>Reparación de fuga en Sojoguti (Artziniega)</v>
          </cell>
          <cell r="I763" t="str">
            <v>Reparación de fuga en Sojoguti (Artziniega)</v>
          </cell>
          <cell r="J763" t="str">
            <v>Artziniega</v>
          </cell>
          <cell r="M763">
            <v>43.113869999999999</v>
          </cell>
          <cell r="N763">
            <v>-3.1271620000000002</v>
          </cell>
          <cell r="O763" t="b">
            <v>1</v>
          </cell>
          <cell r="P763" t="str">
            <v>KERMAN JUAN</v>
          </cell>
          <cell r="Q763">
            <v>1</v>
          </cell>
          <cell r="R763">
            <v>1</v>
          </cell>
          <cell r="S763">
            <v>1</v>
          </cell>
        </row>
        <row r="764">
          <cell r="B764" t="str">
            <v>Distribución</v>
          </cell>
          <cell r="C764">
            <v>2</v>
          </cell>
          <cell r="D764">
            <v>14</v>
          </cell>
          <cell r="E764" t="str">
            <v>TP/0364</v>
          </cell>
          <cell r="F764">
            <v>45964</v>
          </cell>
          <cell r="G764">
            <v>45964</v>
          </cell>
          <cell r="H764" t="str">
            <v>Maniobras para dejar fuera de servicio anillo obra Lamuza (Llodio)</v>
          </cell>
          <cell r="I764" t="str">
            <v>Maniobras para dejar fuera de servicio anillo obra Lamuza (Llodio)</v>
          </cell>
          <cell r="J764" t="str">
            <v>Llodio</v>
          </cell>
          <cell r="M764">
            <v>43.138126</v>
          </cell>
          <cell r="N764">
            <v>-2.9668049999999999</v>
          </cell>
          <cell r="O764" t="b">
            <v>1</v>
          </cell>
          <cell r="P764" t="str">
            <v>TOMAS IÑIGO</v>
          </cell>
          <cell r="Q764">
            <v>1</v>
          </cell>
          <cell r="R764">
            <v>1</v>
          </cell>
        </row>
        <row r="765">
          <cell r="B765" t="str">
            <v>Distribución</v>
          </cell>
          <cell r="C765">
            <v>1</v>
          </cell>
          <cell r="E765" t="str">
            <v>OT/0484</v>
          </cell>
          <cell r="F765">
            <v>45964</v>
          </cell>
          <cell r="G765">
            <v>45964</v>
          </cell>
          <cell r="H765" t="str">
            <v>Reparación de fuga en Barrio C/Las Llanas n19 (Respaldiza)</v>
          </cell>
          <cell r="I765" t="str">
            <v>Reparación de fuga en Barrio C/Las Llanas n19 (Respaldiza)</v>
          </cell>
          <cell r="J765" t="str">
            <v>Respaldiza</v>
          </cell>
          <cell r="M765">
            <v>43.075833000000003</v>
          </cell>
          <cell r="N765">
            <v>-3.0434739999999998</v>
          </cell>
          <cell r="O765" t="b">
            <v>1</v>
          </cell>
          <cell r="P765" t="str">
            <v>IÑIGO BEÑAT</v>
          </cell>
          <cell r="Q765">
            <v>1</v>
          </cell>
          <cell r="R765">
            <v>1</v>
          </cell>
          <cell r="S765">
            <v>1</v>
          </cell>
        </row>
        <row r="766">
          <cell r="B766" t="str">
            <v>Saneamiento</v>
          </cell>
          <cell r="C766">
            <v>2</v>
          </cell>
          <cell r="D766">
            <v>1</v>
          </cell>
          <cell r="E766" t="str">
            <v>TP/0365</v>
          </cell>
          <cell r="F766">
            <v>45964</v>
          </cell>
          <cell r="G766">
            <v>45964</v>
          </cell>
          <cell r="H766" t="str">
            <v>Mantenimiento preventivo saneamiento en Llodio</v>
          </cell>
          <cell r="I766" t="str">
            <v>Mantenimiento preventivo saneamiento en Llodio</v>
          </cell>
          <cell r="J766" t="str">
            <v>Llodio</v>
          </cell>
          <cell r="M766" t="str">
            <v/>
          </cell>
          <cell r="N766" t="str">
            <v/>
          </cell>
          <cell r="O766" t="b">
            <v>1</v>
          </cell>
          <cell r="P766" t="str">
            <v>IÑIGO</v>
          </cell>
          <cell r="Q766">
            <v>1</v>
          </cell>
          <cell r="R766">
            <v>1</v>
          </cell>
        </row>
        <row r="767">
          <cell r="B767" t="str">
            <v>Distribución</v>
          </cell>
          <cell r="C767">
            <v>2</v>
          </cell>
          <cell r="D767">
            <v>10</v>
          </cell>
          <cell r="E767" t="str">
            <v>TP/0366</v>
          </cell>
          <cell r="F767">
            <v>45964</v>
          </cell>
          <cell r="G767">
            <v>45964</v>
          </cell>
          <cell r="H767" t="str">
            <v>Sustitución de contador en Barrio C/Las Llanas n19 (Respaldiza)</v>
          </cell>
          <cell r="I767" t="str">
            <v>Sustitución de contador en Barrio C/Las Llanas n19 (Respaldiza)</v>
          </cell>
          <cell r="J767" t="str">
            <v>Respaldiza</v>
          </cell>
          <cell r="M767">
            <v>43.075833000000003</v>
          </cell>
          <cell r="N767">
            <v>-3.0434739999999998</v>
          </cell>
          <cell r="O767" t="b">
            <v>1</v>
          </cell>
          <cell r="P767" t="str">
            <v>IÑIGO</v>
          </cell>
          <cell r="Q767">
            <v>1</v>
          </cell>
          <cell r="R767">
            <v>1</v>
          </cell>
        </row>
        <row r="768">
          <cell r="B768" t="str">
            <v>Distribución</v>
          </cell>
          <cell r="C768">
            <v>1</v>
          </cell>
          <cell r="E768" t="str">
            <v>OT/0485</v>
          </cell>
          <cell r="F768">
            <v>45964</v>
          </cell>
          <cell r="G768">
            <v>45964</v>
          </cell>
          <cell r="H768" t="str">
            <v>Reparación de fuga en Erbi</v>
          </cell>
          <cell r="I768" t="str">
            <v>Reparación de fuga en Erbi</v>
          </cell>
          <cell r="J768" t="str">
            <v>Erbi</v>
          </cell>
          <cell r="M768" t="str">
            <v/>
          </cell>
          <cell r="N768" t="str">
            <v/>
          </cell>
          <cell r="O768" t="b">
            <v>1</v>
          </cell>
          <cell r="P768" t="str">
            <v>IÑIGO</v>
          </cell>
          <cell r="Q768">
            <v>1</v>
          </cell>
          <cell r="R768">
            <v>1</v>
          </cell>
          <cell r="S768">
            <v>1</v>
          </cell>
        </row>
        <row r="769">
          <cell r="B769" t="str">
            <v>Distribución</v>
          </cell>
          <cell r="C769">
            <v>1</v>
          </cell>
          <cell r="E769" t="str">
            <v>OT/0486</v>
          </cell>
          <cell r="F769">
            <v>45961</v>
          </cell>
          <cell r="G769">
            <v>45964</v>
          </cell>
          <cell r="H769" t="str">
            <v>Reparación de fuga en C/Maskuribai n1 (Amurrio)</v>
          </cell>
          <cell r="I769" t="str">
            <v>Reparación de fuga en C/Maskuribai n1 (Amurrio)</v>
          </cell>
          <cell r="J769" t="str">
            <v>Amurrio</v>
          </cell>
          <cell r="M769">
            <v>43.050671000000001</v>
          </cell>
          <cell r="N769">
            <v>-2.9999310000000001</v>
          </cell>
          <cell r="O769" t="b">
            <v>1</v>
          </cell>
          <cell r="P769" t="str">
            <v/>
          </cell>
          <cell r="Q769">
            <v>1</v>
          </cell>
          <cell r="R769">
            <v>1</v>
          </cell>
          <cell r="S769">
            <v>1</v>
          </cell>
        </row>
        <row r="770">
          <cell r="B770" t="str">
            <v>Distribución</v>
          </cell>
          <cell r="C770">
            <v>2</v>
          </cell>
          <cell r="D770">
            <v>12</v>
          </cell>
          <cell r="E770" t="str">
            <v>TP/0367</v>
          </cell>
          <cell r="F770">
            <v>45941</v>
          </cell>
          <cell r="G770">
            <v>45941</v>
          </cell>
          <cell r="H770" t="str">
            <v>Corte de agua en Estabillo C/La Picota</v>
          </cell>
          <cell r="I770" t="str">
            <v>Corte de agua en Estabillo C/La Picota</v>
          </cell>
          <cell r="J770" t="str">
            <v>Estabillo</v>
          </cell>
          <cell r="M770">
            <v>42.728534000000003</v>
          </cell>
          <cell r="N770">
            <v>-2.8615910000000002</v>
          </cell>
          <cell r="O770" t="b">
            <v>1</v>
          </cell>
          <cell r="P770" t="str">
            <v>V</v>
          </cell>
          <cell r="Q770">
            <v>5</v>
          </cell>
          <cell r="R770">
            <v>5</v>
          </cell>
        </row>
        <row r="771">
          <cell r="B771" t="str">
            <v>Saneamiento</v>
          </cell>
          <cell r="C771">
            <v>1</v>
          </cell>
          <cell r="E771" t="str">
            <v>OT/0487</v>
          </cell>
          <cell r="F771">
            <v>45959</v>
          </cell>
          <cell r="G771">
            <v>45959</v>
          </cell>
          <cell r="H771" t="str">
            <v>Atasco en luiando zona Bar (Las Vegas)</v>
          </cell>
          <cell r="I771" t="str">
            <v>Atasco en luiando zona Bar (Las Vegas)</v>
          </cell>
          <cell r="J771" t="str">
            <v>Luiando</v>
          </cell>
          <cell r="M771">
            <v>43.105145999999998</v>
          </cell>
          <cell r="N771">
            <v>-2.9968149999999998</v>
          </cell>
          <cell r="O771" t="b">
            <v>1</v>
          </cell>
          <cell r="P771" t="str">
            <v>V</v>
          </cell>
          <cell r="Q771">
            <v>1</v>
          </cell>
          <cell r="R771">
            <v>1</v>
          </cell>
          <cell r="S771">
            <v>2</v>
          </cell>
        </row>
        <row r="772">
          <cell r="B772" t="str">
            <v>Saneamiento</v>
          </cell>
          <cell r="C772">
            <v>1</v>
          </cell>
          <cell r="E772" t="str">
            <v>OT/0488</v>
          </cell>
          <cell r="F772">
            <v>45959</v>
          </cell>
          <cell r="G772">
            <v>45959</v>
          </cell>
          <cell r="H772" t="str">
            <v>Atasco en salida urb.Palacio en Artziniega</v>
          </cell>
          <cell r="I772" t="str">
            <v>Atasco en salida urb.Palacio en Artziniega</v>
          </cell>
          <cell r="J772" t="str">
            <v>Artziniega</v>
          </cell>
          <cell r="M772">
            <v>43.120704000000003</v>
          </cell>
          <cell r="N772">
            <v>-3.132908</v>
          </cell>
          <cell r="O772" t="b">
            <v>1</v>
          </cell>
          <cell r="P772" t="str">
            <v>V</v>
          </cell>
          <cell r="Q772">
            <v>1</v>
          </cell>
          <cell r="R772">
            <v>1</v>
          </cell>
          <cell r="S772">
            <v>2</v>
          </cell>
        </row>
        <row r="773">
          <cell r="B773" t="str">
            <v>Distribución</v>
          </cell>
          <cell r="C773">
            <v>1</v>
          </cell>
          <cell r="E773" t="str">
            <v>OT/0489</v>
          </cell>
          <cell r="F773">
            <v>45960</v>
          </cell>
          <cell r="G773">
            <v>45961</v>
          </cell>
          <cell r="H773" t="str">
            <v>Reparación de fuga en Murga poligono</v>
          </cell>
          <cell r="I773" t="str">
            <v>Reparación de fuga en Murga poligono</v>
          </cell>
          <cell r="J773" t="str">
            <v>Murga</v>
          </cell>
          <cell r="M773">
            <v>43.067712999999998</v>
          </cell>
          <cell r="N773">
            <v>-3.0225569999999999</v>
          </cell>
          <cell r="O773" t="b">
            <v>1</v>
          </cell>
          <cell r="P773" t="str">
            <v>V</v>
          </cell>
          <cell r="Q773">
            <v>1</v>
          </cell>
          <cell r="R773">
            <v>1</v>
          </cell>
          <cell r="S773">
            <v>1</v>
          </cell>
        </row>
        <row r="774">
          <cell r="B774" t="str">
            <v>Distribución</v>
          </cell>
          <cell r="C774">
            <v>1</v>
          </cell>
          <cell r="E774" t="str">
            <v>OT/0490</v>
          </cell>
          <cell r="F774">
            <v>45960</v>
          </cell>
          <cell r="G774">
            <v>45960</v>
          </cell>
          <cell r="H774" t="str">
            <v>Reparación de fuga en Sobron</v>
          </cell>
          <cell r="I774" t="str">
            <v>Reparación de fuga en Sobron</v>
          </cell>
          <cell r="J774" t="str">
            <v>Sobron</v>
          </cell>
          <cell r="M774">
            <v>42.762095000000002</v>
          </cell>
          <cell r="N774">
            <v>-3.0888559999999998</v>
          </cell>
          <cell r="O774" t="b">
            <v>1</v>
          </cell>
          <cell r="P774" t="str">
            <v>V</v>
          </cell>
          <cell r="Q774">
            <v>5</v>
          </cell>
          <cell r="R774">
            <v>5</v>
          </cell>
          <cell r="S774">
            <v>1</v>
          </cell>
        </row>
        <row r="775">
          <cell r="B775" t="str">
            <v>Saneamiento</v>
          </cell>
          <cell r="C775">
            <v>1</v>
          </cell>
          <cell r="E775" t="str">
            <v>OT/0491</v>
          </cell>
          <cell r="F775">
            <v>45960</v>
          </cell>
          <cell r="G775">
            <v>45960</v>
          </cell>
          <cell r="H775" t="str">
            <v>Atasco Delika</v>
          </cell>
          <cell r="I775" t="str">
            <v>Atasco Delika</v>
          </cell>
          <cell r="J775" t="str">
            <v>Delika</v>
          </cell>
          <cell r="M775">
            <v>42.968293000000003</v>
          </cell>
          <cell r="N775">
            <v>-2.9898910000000001</v>
          </cell>
          <cell r="O775" t="b">
            <v>1</v>
          </cell>
          <cell r="P775" t="str">
            <v>V</v>
          </cell>
          <cell r="Q775">
            <v>1</v>
          </cell>
          <cell r="R775">
            <v>1</v>
          </cell>
          <cell r="S775">
            <v>2</v>
          </cell>
        </row>
        <row r="776">
          <cell r="B776" t="str">
            <v>Aducción</v>
          </cell>
          <cell r="C776">
            <v>2</v>
          </cell>
          <cell r="D776">
            <v>2</v>
          </cell>
          <cell r="E776" t="str">
            <v>TP/0368</v>
          </cell>
          <cell r="F776">
            <v>45961</v>
          </cell>
          <cell r="G776">
            <v>45961</v>
          </cell>
          <cell r="H776" t="str">
            <v>Limpieza de captaciones Aiaraldea</v>
          </cell>
          <cell r="I776" t="str">
            <v>Limpieza de captaciones Aiaraldea</v>
          </cell>
          <cell r="J776" t="str">
            <v>Aiaraldea</v>
          </cell>
          <cell r="M776" t="str">
            <v/>
          </cell>
          <cell r="N776" t="str">
            <v/>
          </cell>
          <cell r="O776" t="b">
            <v>1</v>
          </cell>
          <cell r="P776" t="str">
            <v>V</v>
          </cell>
          <cell r="Q776">
            <v>1</v>
          </cell>
          <cell r="R776">
            <v>1</v>
          </cell>
        </row>
        <row r="777">
          <cell r="B777" t="str">
            <v>Distribución</v>
          </cell>
          <cell r="C777">
            <v>2</v>
          </cell>
          <cell r="D777">
            <v>17</v>
          </cell>
          <cell r="E777" t="str">
            <v>TP/0369</v>
          </cell>
          <cell r="F777">
            <v>45964</v>
          </cell>
          <cell r="G777">
            <v>45964</v>
          </cell>
          <cell r="H777" t="str">
            <v>Limpieza de red en Avda.Zumalakarregui (Llodio)</v>
          </cell>
          <cell r="I777" t="str">
            <v>Limpieza de red en Avda.Zumalakarregui (Llodio)</v>
          </cell>
          <cell r="J777" t="str">
            <v>Llodio</v>
          </cell>
          <cell r="M777">
            <v>43.138525000000001</v>
          </cell>
          <cell r="N777">
            <v>-2.9673400000000001</v>
          </cell>
          <cell r="O777" t="b">
            <v>1</v>
          </cell>
          <cell r="P777" t="str">
            <v/>
          </cell>
          <cell r="Q777">
            <v>1</v>
          </cell>
          <cell r="R777">
            <v>1</v>
          </cell>
        </row>
        <row r="778">
          <cell r="B778" t="str">
            <v>Distribución</v>
          </cell>
          <cell r="C778">
            <v>2</v>
          </cell>
          <cell r="D778">
            <v>17</v>
          </cell>
          <cell r="E778" t="str">
            <v>TP/0370</v>
          </cell>
          <cell r="F778">
            <v>45965</v>
          </cell>
          <cell r="G778">
            <v>45965</v>
          </cell>
          <cell r="H778" t="str">
            <v>Limpieza de red por avisos turbidez por maniobras (Gardea y Katuxa Ibarra) en Llodio</v>
          </cell>
          <cell r="I778" t="str">
            <v>Limpieza de red por avisos turbidez por maniobras (Gardea y Katuxa Ibarra) en Llodio</v>
          </cell>
          <cell r="J778" t="str">
            <v>Llodio</v>
          </cell>
          <cell r="M778">
            <v>43.133223999999998</v>
          </cell>
          <cell r="N778">
            <v>-2.9713609999999999</v>
          </cell>
          <cell r="O778" t="b">
            <v>1</v>
          </cell>
          <cell r="P778" t="str">
            <v/>
          </cell>
          <cell r="Q778">
            <v>1</v>
          </cell>
          <cell r="R778">
            <v>1</v>
          </cell>
        </row>
        <row r="779">
          <cell r="B779" t="str">
            <v>Distribución</v>
          </cell>
          <cell r="C779">
            <v>2</v>
          </cell>
          <cell r="D779">
            <v>9</v>
          </cell>
          <cell r="E779" t="str">
            <v>TP/0371</v>
          </cell>
          <cell r="F779">
            <v>45965</v>
          </cell>
          <cell r="G779">
            <v>45965</v>
          </cell>
          <cell r="H779" t="str">
            <v>Retirada de contador en C/Izoria n2 (Llodio)</v>
          </cell>
          <cell r="I779" t="str">
            <v>Retirada de contador en C/Izoria n2 (Llodio)</v>
          </cell>
          <cell r="J779" t="str">
            <v>Llodio</v>
          </cell>
          <cell r="M779">
            <v>43.145119999999999</v>
          </cell>
          <cell r="N779">
            <v>-2.9596200000000001</v>
          </cell>
          <cell r="O779" t="b">
            <v>1</v>
          </cell>
          <cell r="P779" t="str">
            <v/>
          </cell>
          <cell r="Q779">
            <v>1</v>
          </cell>
          <cell r="R779">
            <v>1</v>
          </cell>
        </row>
        <row r="780">
          <cell r="B780" t="str">
            <v>Saneamiento</v>
          </cell>
          <cell r="C780">
            <v>2</v>
          </cell>
          <cell r="D780">
            <v>3</v>
          </cell>
          <cell r="E780" t="str">
            <v>TP/0372</v>
          </cell>
          <cell r="F780">
            <v>45961</v>
          </cell>
          <cell r="G780">
            <v>45961</v>
          </cell>
          <cell r="H780" t="str">
            <v>Revisión del estado de Fosa en Cuencas Mediterraneas</v>
          </cell>
          <cell r="I780" t="str">
            <v>Revisión del estado de Fosa en Cuencas Mediterraneas</v>
          </cell>
          <cell r="J780" t="str">
            <v>Cuencas Mediterraneas</v>
          </cell>
          <cell r="M780" t="str">
            <v/>
          </cell>
          <cell r="N780" t="str">
            <v/>
          </cell>
          <cell r="O780" t="b">
            <v>1</v>
          </cell>
          <cell r="P780" t="str">
            <v>ENEKO</v>
          </cell>
          <cell r="Q780">
            <v>3</v>
          </cell>
          <cell r="R780">
            <v>3</v>
          </cell>
        </row>
        <row r="781">
          <cell r="B781" t="str">
            <v>Distribución</v>
          </cell>
          <cell r="C781">
            <v>2</v>
          </cell>
          <cell r="D781">
            <v>24</v>
          </cell>
          <cell r="E781" t="str">
            <v>TP/0373</v>
          </cell>
          <cell r="F781">
            <v>45960</v>
          </cell>
          <cell r="G781">
            <v>45960</v>
          </cell>
          <cell r="H781" t="str">
            <v>Verificación de presión de la red de abastecimiento en Armiñon</v>
          </cell>
          <cell r="I781" t="str">
            <v>Verificación de presión de la red de abastecimiento en Armiñon</v>
          </cell>
          <cell r="J781" t="str">
            <v>Armiñon</v>
          </cell>
          <cell r="M781" t="str">
            <v/>
          </cell>
          <cell r="N781" t="str">
            <v/>
          </cell>
          <cell r="O781" t="b">
            <v>1</v>
          </cell>
          <cell r="P781" t="str">
            <v>ENEKO</v>
          </cell>
          <cell r="Q781">
            <v>5</v>
          </cell>
          <cell r="R781">
            <v>5</v>
          </cell>
        </row>
        <row r="782">
          <cell r="B782" t="str">
            <v>Distribución</v>
          </cell>
          <cell r="C782">
            <v>2</v>
          </cell>
          <cell r="D782">
            <v>7</v>
          </cell>
          <cell r="E782" t="str">
            <v>TP/0374</v>
          </cell>
          <cell r="F782">
            <v>45964</v>
          </cell>
          <cell r="G782">
            <v>45964</v>
          </cell>
          <cell r="H782" t="str">
            <v>Localización de fuga en la depuradora de DFA  en Berantevilla</v>
          </cell>
          <cell r="I782" t="str">
            <v>Localización de fuga en la depuradora de DFA  en Berantevilla</v>
          </cell>
          <cell r="J782" t="str">
            <v>Berantevilla</v>
          </cell>
          <cell r="M782" t="str">
            <v/>
          </cell>
          <cell r="N782" t="str">
            <v/>
          </cell>
          <cell r="O782" t="b">
            <v>1</v>
          </cell>
          <cell r="P782" t="str">
            <v>ENEKO</v>
          </cell>
          <cell r="Q782">
            <v>5</v>
          </cell>
          <cell r="R782">
            <v>5</v>
          </cell>
          <cell r="S782">
            <v>1</v>
          </cell>
        </row>
        <row r="783">
          <cell r="B783" t="str">
            <v>Distribución</v>
          </cell>
          <cell r="C783">
            <v>2</v>
          </cell>
          <cell r="D783">
            <v>11</v>
          </cell>
          <cell r="E783" t="str">
            <v>TP/0375</v>
          </cell>
          <cell r="F783">
            <v>45960</v>
          </cell>
          <cell r="G783">
            <v>45960</v>
          </cell>
          <cell r="H783" t="str">
            <v>Lectura contadores sectoriales en Cuencas Mediterraneas</v>
          </cell>
          <cell r="I783" t="str">
            <v>Lectura contadores sectoriales en Cuencas Mediterraneas</v>
          </cell>
          <cell r="J783" t="str">
            <v>Cuencas Mediterraneas</v>
          </cell>
          <cell r="M783" t="str">
            <v/>
          </cell>
          <cell r="N783" t="str">
            <v/>
          </cell>
          <cell r="O783" t="b">
            <v>1</v>
          </cell>
          <cell r="P783" t="str">
            <v>ENEKO</v>
          </cell>
          <cell r="Q783">
            <v>3</v>
          </cell>
          <cell r="R783">
            <v>3</v>
          </cell>
        </row>
        <row r="784">
          <cell r="B784" t="str">
            <v>Saneamiento</v>
          </cell>
          <cell r="C784">
            <v>1</v>
          </cell>
          <cell r="E784" t="str">
            <v>OT/0492</v>
          </cell>
          <cell r="F784">
            <v>45936</v>
          </cell>
          <cell r="G784">
            <v>45940</v>
          </cell>
          <cell r="H784" t="str">
            <v>Sustitución de tubería de saneamiento en C/Santa Lucia en Espejo</v>
          </cell>
          <cell r="I784" t="str">
            <v>Sustitución de tubería de saneamiento en C/Santa Lucia en Espejo</v>
          </cell>
          <cell r="J784" t="str">
            <v>Espejo</v>
          </cell>
          <cell r="M784">
            <v>42.809365999999997</v>
          </cell>
          <cell r="N784">
            <v>-3.044435</v>
          </cell>
          <cell r="O784" t="b">
            <v>1</v>
          </cell>
          <cell r="P784" t="str">
            <v/>
          </cell>
          <cell r="Q784">
            <v>5</v>
          </cell>
          <cell r="R784">
            <v>5</v>
          </cell>
          <cell r="S784">
            <v>3</v>
          </cell>
        </row>
        <row r="785">
          <cell r="B785" t="str">
            <v>Distribución</v>
          </cell>
          <cell r="C785">
            <v>1</v>
          </cell>
          <cell r="E785" t="str">
            <v>OT/0493</v>
          </cell>
          <cell r="F785">
            <v>45952</v>
          </cell>
          <cell r="G785">
            <v>45953</v>
          </cell>
          <cell r="H785" t="str">
            <v>Sustitución de hidrante en caminos viejos en Llodio</v>
          </cell>
          <cell r="I785" t="str">
            <v>Sustitución de hidrante en caminos viejos en Llodio</v>
          </cell>
          <cell r="J785" t="str">
            <v>Llodio</v>
          </cell>
          <cell r="M785">
            <v>43.148367</v>
          </cell>
          <cell r="N785">
            <v>-2.9526080000000001</v>
          </cell>
          <cell r="O785" t="b">
            <v>1</v>
          </cell>
          <cell r="P785" t="str">
            <v/>
          </cell>
          <cell r="Q785">
            <v>1</v>
          </cell>
          <cell r="R785">
            <v>1</v>
          </cell>
          <cell r="S785">
            <v>3</v>
          </cell>
        </row>
        <row r="786">
          <cell r="B786" t="str">
            <v>Saneamiento</v>
          </cell>
          <cell r="C786">
            <v>1</v>
          </cell>
          <cell r="E786" t="str">
            <v>OT/0494</v>
          </cell>
          <cell r="F786">
            <v>45943</v>
          </cell>
          <cell r="G786">
            <v>45943</v>
          </cell>
          <cell r="H786" t="str">
            <v>Reparación de fuga en Lezarrega en Amurrio</v>
          </cell>
          <cell r="I786" t="str">
            <v>Reparación de fuga en Lezarrega en Amurrio</v>
          </cell>
          <cell r="J786" t="str">
            <v>Amurrio</v>
          </cell>
          <cell r="M786">
            <v>43.050229999999999</v>
          </cell>
          <cell r="N786">
            <v>-3.007654</v>
          </cell>
          <cell r="O786" t="b">
            <v>1</v>
          </cell>
          <cell r="P786" t="str">
            <v/>
          </cell>
          <cell r="Q786">
            <v>1</v>
          </cell>
          <cell r="R786">
            <v>1</v>
          </cell>
          <cell r="S786">
            <v>1</v>
          </cell>
        </row>
        <row r="787">
          <cell r="B787" t="str">
            <v>Depuración</v>
          </cell>
          <cell r="C787">
            <v>2</v>
          </cell>
          <cell r="D787">
            <v>23</v>
          </cell>
          <cell r="E787" t="str">
            <v>TP/0376</v>
          </cell>
          <cell r="F787">
            <v>45960</v>
          </cell>
          <cell r="G787">
            <v>45961</v>
          </cell>
          <cell r="H787" t="str">
            <v>Limpieza de Tamices en Añes,Kostera,Ozeka,Madaria,Antoñana,Delika,Artziniega y Lejarzo</v>
          </cell>
          <cell r="I787" t="str">
            <v>Limpieza de Tamices en Añes,Kostera,Ozeka,Madaria,Antoñana,Delika,Artziniega y Lejarzo</v>
          </cell>
          <cell r="J787" t="str">
            <v>Aiaraldea</v>
          </cell>
          <cell r="M787" t="str">
            <v/>
          </cell>
          <cell r="N787" t="str">
            <v/>
          </cell>
          <cell r="O787" t="b">
            <v>1</v>
          </cell>
          <cell r="P787" t="str">
            <v/>
          </cell>
          <cell r="Q787">
            <v>1</v>
          </cell>
          <cell r="R787">
            <v>1</v>
          </cell>
        </row>
        <row r="788">
          <cell r="B788" t="str">
            <v>Distribución</v>
          </cell>
          <cell r="C788">
            <v>1</v>
          </cell>
          <cell r="E788" t="str">
            <v>OT/0495</v>
          </cell>
          <cell r="F788">
            <v>45951</v>
          </cell>
          <cell r="G788">
            <v>45951</v>
          </cell>
          <cell r="H788" t="str">
            <v>Sustitución de boca de riego en C/Urzabal Kalea (Agurain)</v>
          </cell>
          <cell r="I788" t="str">
            <v>Sustitución de boca de riego en Urzabal Kalea (Agurain)</v>
          </cell>
          <cell r="J788" t="str">
            <v>Agurain</v>
          </cell>
          <cell r="M788">
            <v>42.84892</v>
          </cell>
          <cell r="N788">
            <v>-2.3922189999999999</v>
          </cell>
          <cell r="O788" t="b">
            <v>1</v>
          </cell>
          <cell r="P788" t="str">
            <v/>
          </cell>
          <cell r="Q788">
            <v>3</v>
          </cell>
          <cell r="R788">
            <v>3</v>
          </cell>
          <cell r="S788">
            <v>3</v>
          </cell>
        </row>
        <row r="789">
          <cell r="B789" t="str">
            <v>Saneamiento</v>
          </cell>
          <cell r="C789">
            <v>1</v>
          </cell>
          <cell r="E789" t="str">
            <v>OT/0496</v>
          </cell>
          <cell r="F789">
            <v>45938</v>
          </cell>
          <cell r="G789">
            <v>45938</v>
          </cell>
          <cell r="H789" t="str">
            <v>Reparación de tapas de saneamiento C/Landaluce en Llodio</v>
          </cell>
          <cell r="I789" t="str">
            <v>Reparación de tapas de saneamiento C/Landaluce en Llodio</v>
          </cell>
          <cell r="J789" t="str">
            <v>Llodio</v>
          </cell>
          <cell r="M789">
            <v>43.142077</v>
          </cell>
          <cell r="N789">
            <v>-2.9733719999999999</v>
          </cell>
          <cell r="O789" t="b">
            <v>1</v>
          </cell>
          <cell r="P789" t="str">
            <v/>
          </cell>
          <cell r="Q789">
            <v>1</v>
          </cell>
          <cell r="R789">
            <v>1</v>
          </cell>
          <cell r="S789">
            <v>3</v>
          </cell>
        </row>
        <row r="790">
          <cell r="B790" t="str">
            <v>Distribución</v>
          </cell>
          <cell r="C790">
            <v>1</v>
          </cell>
          <cell r="E790" t="str">
            <v>OT/0497</v>
          </cell>
          <cell r="F790">
            <v>45964</v>
          </cell>
          <cell r="G790">
            <v>45964</v>
          </cell>
          <cell r="H790" t="str">
            <v>Colocación de llave de acometida en C/Juan Lazcano n12 en Zambrana</v>
          </cell>
          <cell r="I790" t="str">
            <v>Colocación de llave de acometida en C/Juan Lazcano n12 en Zambrana</v>
          </cell>
          <cell r="J790" t="str">
            <v>Zambrana</v>
          </cell>
          <cell r="M790">
            <v>42.662073999999997</v>
          </cell>
          <cell r="N790">
            <v>-2.8780429999999999</v>
          </cell>
          <cell r="O790" t="b">
            <v>1</v>
          </cell>
          <cell r="P790" t="str">
            <v>KERMAN</v>
          </cell>
          <cell r="Q790">
            <v>5</v>
          </cell>
          <cell r="R790">
            <v>5</v>
          </cell>
          <cell r="S790">
            <v>3</v>
          </cell>
        </row>
        <row r="791">
          <cell r="B791" t="str">
            <v>Saneamiento</v>
          </cell>
          <cell r="C791">
            <v>1</v>
          </cell>
          <cell r="E791" t="str">
            <v>OT/0498</v>
          </cell>
          <cell r="F791">
            <v>45964</v>
          </cell>
          <cell r="G791">
            <v>45964</v>
          </cell>
          <cell r="H791" t="str">
            <v>Desatasco saneamiento en Artziniega</v>
          </cell>
          <cell r="I791" t="str">
            <v>Desatasco saneamiento en Artziniega</v>
          </cell>
          <cell r="J791" t="str">
            <v>Artziniega</v>
          </cell>
          <cell r="M791">
            <v>43.122095999999999</v>
          </cell>
          <cell r="N791">
            <v>-3.125956</v>
          </cell>
          <cell r="O791" t="b">
            <v>1</v>
          </cell>
          <cell r="P791" t="str">
            <v>KERMAN,MIGUEL,ANGEL</v>
          </cell>
          <cell r="Q791">
            <v>1</v>
          </cell>
          <cell r="R791">
            <v>1</v>
          </cell>
          <cell r="S791">
            <v>2</v>
          </cell>
        </row>
        <row r="792">
          <cell r="B792" t="str">
            <v>Distribución</v>
          </cell>
          <cell r="C792">
            <v>2</v>
          </cell>
          <cell r="D792">
            <v>9</v>
          </cell>
          <cell r="E792" t="str">
            <v>TP/0377</v>
          </cell>
          <cell r="F792">
            <v>45964</v>
          </cell>
          <cell r="G792">
            <v>45964</v>
          </cell>
          <cell r="H792" t="str">
            <v>Desistalación de contadores por baja en C/Jesus Galindez n3 en Amurrio</v>
          </cell>
          <cell r="I792" t="str">
            <v>Desistalación de contadores por baja en C/Jesus Galindez n3 en Amurrio</v>
          </cell>
          <cell r="J792" t="str">
            <v>Amurrio</v>
          </cell>
          <cell r="M792">
            <v>43.051839999999999</v>
          </cell>
          <cell r="N792">
            <v>-3.0041799999999999</v>
          </cell>
          <cell r="O792" t="b">
            <v>1</v>
          </cell>
          <cell r="P792" t="str">
            <v>KERMAN</v>
          </cell>
          <cell r="Q792">
            <v>1</v>
          </cell>
          <cell r="R792">
            <v>1</v>
          </cell>
        </row>
        <row r="793">
          <cell r="B793" t="str">
            <v>Saneamiento</v>
          </cell>
          <cell r="C793">
            <v>1</v>
          </cell>
          <cell r="E793" t="str">
            <v>OT/0499</v>
          </cell>
          <cell r="F793">
            <v>45965</v>
          </cell>
          <cell r="G793">
            <v>45965</v>
          </cell>
          <cell r="H793" t="str">
            <v>Reparación de arqueta de saneamiento en Artziniega</v>
          </cell>
          <cell r="I793" t="str">
            <v>Reparación de arqueta de saneamiento en Artziniega</v>
          </cell>
          <cell r="J793" t="str">
            <v>Artziniega</v>
          </cell>
          <cell r="M793">
            <v>43.121775</v>
          </cell>
          <cell r="N793">
            <v>-3.1263930000000002</v>
          </cell>
          <cell r="O793" t="b">
            <v>1</v>
          </cell>
          <cell r="P793" t="str">
            <v>ZOUITA BEÑAT REGOMART</v>
          </cell>
          <cell r="Q793">
            <v>1</v>
          </cell>
          <cell r="R793">
            <v>1</v>
          </cell>
          <cell r="S793">
            <v>3</v>
          </cell>
        </row>
        <row r="794">
          <cell r="B794" t="str">
            <v>Distribución</v>
          </cell>
          <cell r="C794">
            <v>1</v>
          </cell>
          <cell r="E794" t="str">
            <v>OT/0500</v>
          </cell>
          <cell r="F794">
            <v>45965</v>
          </cell>
          <cell r="G794">
            <v>45965</v>
          </cell>
          <cell r="H794" t="str">
            <v>Reparación de fuga en C/Elexondo en Amurrio</v>
          </cell>
          <cell r="I794" t="str">
            <v>Reparación de fuga en C/Elexondo en Amurrio</v>
          </cell>
          <cell r="J794" t="str">
            <v>Amurrio</v>
          </cell>
          <cell r="M794">
            <v>43.051872000000003</v>
          </cell>
          <cell r="N794">
            <v>-3.0015770000000002</v>
          </cell>
          <cell r="O794" t="b">
            <v>1</v>
          </cell>
          <cell r="P794" t="str">
            <v>IÑIGO</v>
          </cell>
          <cell r="Q794">
            <v>1</v>
          </cell>
          <cell r="R794">
            <v>1</v>
          </cell>
          <cell r="S794">
            <v>1</v>
          </cell>
        </row>
        <row r="795">
          <cell r="B795" t="str">
            <v>Distribución</v>
          </cell>
          <cell r="C795">
            <v>1</v>
          </cell>
          <cell r="E795" t="str">
            <v>OT/0501</v>
          </cell>
          <cell r="F795">
            <v>45965</v>
          </cell>
          <cell r="G795">
            <v>45965</v>
          </cell>
          <cell r="H795" t="str">
            <v>Reparación de fuga en Baranbio</v>
          </cell>
          <cell r="I795" t="str">
            <v>Reparación de fuga en Baranbio</v>
          </cell>
          <cell r="J795" t="str">
            <v>Baranbio</v>
          </cell>
          <cell r="M795">
            <v>43.045879999999997</v>
          </cell>
          <cell r="N795">
            <v>-2.9141590000000002</v>
          </cell>
          <cell r="O795" t="b">
            <v>1</v>
          </cell>
          <cell r="P795" t="str">
            <v>IÑIGO</v>
          </cell>
          <cell r="Q795">
            <v>1</v>
          </cell>
          <cell r="R795">
            <v>1</v>
          </cell>
          <cell r="S795">
            <v>1</v>
          </cell>
        </row>
        <row r="796">
          <cell r="B796" t="str">
            <v>Aducción</v>
          </cell>
          <cell r="C796">
            <v>1</v>
          </cell>
          <cell r="E796" t="str">
            <v>OT/0502</v>
          </cell>
          <cell r="F796">
            <v>45965</v>
          </cell>
          <cell r="G796">
            <v>45965</v>
          </cell>
          <cell r="H796" t="str">
            <v>Reparación de fuga en Erbi en agua bruta</v>
          </cell>
          <cell r="I796" t="str">
            <v>Reparación de fuga en Erbi en agua bruta</v>
          </cell>
          <cell r="J796" t="str">
            <v>Erbi</v>
          </cell>
          <cell r="M796">
            <v>43.076608</v>
          </cell>
          <cell r="N796">
            <v>-3.1075149999999998</v>
          </cell>
          <cell r="O796" t="b">
            <v>1</v>
          </cell>
          <cell r="P796" t="str">
            <v>IÑIGO</v>
          </cell>
          <cell r="Q796">
            <v>1</v>
          </cell>
          <cell r="R796">
            <v>1</v>
          </cell>
          <cell r="S796">
            <v>1</v>
          </cell>
        </row>
        <row r="797">
          <cell r="B797" t="str">
            <v>Aducción</v>
          </cell>
          <cell r="C797">
            <v>2</v>
          </cell>
          <cell r="D797">
            <v>12</v>
          </cell>
          <cell r="E797" t="str">
            <v>TP/0378</v>
          </cell>
          <cell r="F797">
            <v>45965</v>
          </cell>
          <cell r="G797">
            <v>45965</v>
          </cell>
          <cell r="H797" t="str">
            <v>Corte de agua por rotura de tubería de aducción en Erbi</v>
          </cell>
          <cell r="I797" t="str">
            <v>Corte de agua por rotura de tubería de aducción en Erbi</v>
          </cell>
          <cell r="J797" t="str">
            <v>Erbi</v>
          </cell>
          <cell r="M797">
            <v>43.074620000000003</v>
          </cell>
          <cell r="N797">
            <v>-3.1134200000000001</v>
          </cell>
          <cell r="O797" t="b">
            <v>1</v>
          </cell>
          <cell r="P797" t="str">
            <v>IÑIGO</v>
          </cell>
          <cell r="Q797">
            <v>1</v>
          </cell>
          <cell r="R797">
            <v>1</v>
          </cell>
        </row>
        <row r="798">
          <cell r="B798" t="str">
            <v>Saneamiento</v>
          </cell>
          <cell r="C798">
            <v>2</v>
          </cell>
          <cell r="D798">
            <v>1</v>
          </cell>
          <cell r="E798" t="str">
            <v>TP/0379</v>
          </cell>
          <cell r="F798">
            <v>45958</v>
          </cell>
          <cell r="G798">
            <v>45959</v>
          </cell>
          <cell r="H798" t="str">
            <v>Recopilación de informacion para mejoras de las redes pluviales y fecales en Alegría</v>
          </cell>
          <cell r="I798" t="str">
            <v>Recopilación de informacion para mejoras de las redes pluviales y fecales en Alegría</v>
          </cell>
          <cell r="J798" t="str">
            <v>Alegría</v>
          </cell>
          <cell r="M798" t="str">
            <v/>
          </cell>
          <cell r="N798" t="str">
            <v/>
          </cell>
          <cell r="O798" t="b">
            <v>1</v>
          </cell>
          <cell r="P798" t="str">
            <v>ENEKO</v>
          </cell>
          <cell r="Q798">
            <v>3</v>
          </cell>
          <cell r="R798">
            <v>3</v>
          </cell>
        </row>
        <row r="799">
          <cell r="B799" t="str">
            <v>Saneamiento</v>
          </cell>
          <cell r="C799">
            <v>1</v>
          </cell>
          <cell r="E799" t="str">
            <v>OT/0503</v>
          </cell>
          <cell r="F799">
            <v>45945</v>
          </cell>
          <cell r="G799">
            <v>45947</v>
          </cell>
          <cell r="H799" t="str">
            <v>Reparación de tapas de saneamiento en Maeztu</v>
          </cell>
          <cell r="I799" t="str">
            <v>Reparación de tapas de saneamiento en Maeztu</v>
          </cell>
          <cell r="J799" t="str">
            <v>Maeztu</v>
          </cell>
          <cell r="M799">
            <v>42.739216999999996</v>
          </cell>
          <cell r="N799">
            <v>-2.4469609999999999</v>
          </cell>
          <cell r="O799" t="b">
            <v>1</v>
          </cell>
          <cell r="P799" t="str">
            <v/>
          </cell>
          <cell r="Q799">
            <v>6</v>
          </cell>
          <cell r="R799">
            <v>6</v>
          </cell>
          <cell r="S799">
            <v>3</v>
          </cell>
        </row>
        <row r="800">
          <cell r="B800" t="str">
            <v>Saneamiento</v>
          </cell>
          <cell r="C800">
            <v>1</v>
          </cell>
          <cell r="E800" t="str">
            <v>OT/0504</v>
          </cell>
          <cell r="F800">
            <v>45966</v>
          </cell>
          <cell r="G800">
            <v>45966</v>
          </cell>
          <cell r="H800" t="str">
            <v>Revisión saneamiento C/Nervión por aviso de filtraciones en Llodio</v>
          </cell>
          <cell r="I800" t="str">
            <v>Revisión saneamiento C/Nervión por aviso de filtraciones en Llodio</v>
          </cell>
          <cell r="J800" t="str">
            <v>Llodio</v>
          </cell>
          <cell r="M800">
            <v>43.142116000000001</v>
          </cell>
          <cell r="N800">
            <v>-2.962116</v>
          </cell>
          <cell r="O800" t="b">
            <v>1</v>
          </cell>
          <cell r="P800" t="str">
            <v>TOMAS IÑIGO KERMAN ANGEL</v>
          </cell>
          <cell r="Q800">
            <v>1</v>
          </cell>
          <cell r="R800">
            <v>1</v>
          </cell>
          <cell r="S800">
            <v>3</v>
          </cell>
        </row>
        <row r="801">
          <cell r="B801" t="str">
            <v>Distribución</v>
          </cell>
          <cell r="C801">
            <v>2</v>
          </cell>
          <cell r="D801">
            <v>13</v>
          </cell>
          <cell r="E801" t="str">
            <v>TP/0380</v>
          </cell>
          <cell r="F801">
            <v>45966</v>
          </cell>
          <cell r="G801">
            <v>45966</v>
          </cell>
          <cell r="H801" t="str">
            <v>Asistencia técnica a organismos públicos y URBIDE</v>
          </cell>
          <cell r="I801" t="str">
            <v>Asistencia técnica a organismos públicos y URBIDE</v>
          </cell>
          <cell r="J801" t="str">
            <v>Llodio</v>
          </cell>
          <cell r="M801">
            <v>43.131610999999999</v>
          </cell>
          <cell r="N801">
            <v>-2.9679479999999998</v>
          </cell>
          <cell r="O801" t="b">
            <v>1</v>
          </cell>
          <cell r="P801" t="str">
            <v>IÑIGO</v>
          </cell>
          <cell r="Q801">
            <v>1</v>
          </cell>
          <cell r="R801">
            <v>1</v>
          </cell>
        </row>
        <row r="802">
          <cell r="B802" t="str">
            <v>Saneamiento</v>
          </cell>
          <cell r="C802">
            <v>1</v>
          </cell>
          <cell r="E802" t="str">
            <v>OT/0505</v>
          </cell>
          <cell r="F802">
            <v>45966</v>
          </cell>
          <cell r="G802">
            <v>45966</v>
          </cell>
          <cell r="H802" t="str">
            <v>Aviso de vertido en Ugarte en Llodio</v>
          </cell>
          <cell r="I802" t="str">
            <v>Aviso de vertido en Ugarte en Llodio</v>
          </cell>
          <cell r="J802" t="str">
            <v>Llodio</v>
          </cell>
          <cell r="M802">
            <v>43.148432999999997</v>
          </cell>
          <cell r="N802">
            <v>-2.9695490000000002</v>
          </cell>
          <cell r="O802" t="b">
            <v>1</v>
          </cell>
          <cell r="P802" t="str">
            <v>IÑIGO KERMAN</v>
          </cell>
          <cell r="Q802">
            <v>1</v>
          </cell>
          <cell r="R802">
            <v>1</v>
          </cell>
          <cell r="S802">
            <v>1</v>
          </cell>
        </row>
        <row r="803">
          <cell r="B803" t="str">
            <v>Depuración</v>
          </cell>
          <cell r="C803">
            <v>2</v>
          </cell>
          <cell r="D803">
            <v>1</v>
          </cell>
          <cell r="E803" t="str">
            <v>TP/0381</v>
          </cell>
          <cell r="F803">
            <v>45966</v>
          </cell>
          <cell r="G803">
            <v>45966</v>
          </cell>
          <cell r="H803" t="str">
            <v>Vaciado de fosa séptica en Lateorro en Llodio</v>
          </cell>
          <cell r="I803" t="str">
            <v>Vaciado de fosa séptica en Lateorro en Llodio</v>
          </cell>
          <cell r="J803" t="str">
            <v>Llodio</v>
          </cell>
          <cell r="M803">
            <v>43.138486999999998</v>
          </cell>
          <cell r="N803">
            <v>-2.962412</v>
          </cell>
          <cell r="O803" t="b">
            <v>1</v>
          </cell>
          <cell r="P803" t="str">
            <v/>
          </cell>
          <cell r="Q803">
            <v>1</v>
          </cell>
          <cell r="R803">
            <v>1</v>
          </cell>
        </row>
        <row r="804">
          <cell r="B804" t="str">
            <v>Distribución</v>
          </cell>
          <cell r="C804">
            <v>1</v>
          </cell>
          <cell r="E804" t="str">
            <v>OT/0506</v>
          </cell>
          <cell r="F804">
            <v>45966</v>
          </cell>
          <cell r="G804">
            <v>45966</v>
          </cell>
          <cell r="H804" t="str">
            <v>Comprobación de fuga en contador en C/Santa Barbara  n1 en Agurain</v>
          </cell>
          <cell r="I804" t="str">
            <v>Comprobación de fuga en contador en Santa Barbara  n1  en Agurain</v>
          </cell>
          <cell r="J804" t="str">
            <v>Agurain</v>
          </cell>
          <cell r="M804">
            <v>42.848759999999999</v>
          </cell>
          <cell r="N804">
            <v>-2.3899400000000002</v>
          </cell>
          <cell r="O804" t="b">
            <v>1</v>
          </cell>
          <cell r="P804" t="str">
            <v/>
          </cell>
          <cell r="Q804">
            <v>3</v>
          </cell>
          <cell r="R804">
            <v>3</v>
          </cell>
          <cell r="S804">
            <v>1</v>
          </cell>
        </row>
        <row r="805">
          <cell r="B805" t="str">
            <v>Distribución</v>
          </cell>
          <cell r="C805">
            <v>2</v>
          </cell>
          <cell r="D805">
            <v>10</v>
          </cell>
          <cell r="E805" t="str">
            <v>TP/0382</v>
          </cell>
          <cell r="F805">
            <v>45966</v>
          </cell>
          <cell r="G805">
            <v>45966</v>
          </cell>
          <cell r="H805" t="str">
            <v>Sustitución de contador en C/Santiagolarra n1 en Ullibarri-Gamboa</v>
          </cell>
          <cell r="I805" t="str">
            <v>Sustitución de contador en C/Santiagolarra n1 en Ullibarri-Gamboa</v>
          </cell>
          <cell r="J805" t="str">
            <v>Ullibarri-Gamboa</v>
          </cell>
          <cell r="M805" t="str">
            <v/>
          </cell>
          <cell r="N805" t="str">
            <v/>
          </cell>
          <cell r="O805" t="b">
            <v>1</v>
          </cell>
          <cell r="P805" t="str">
            <v>GABI</v>
          </cell>
          <cell r="Q805">
            <v>4</v>
          </cell>
          <cell r="R805">
            <v>4</v>
          </cell>
        </row>
        <row r="806">
          <cell r="B806" t="str">
            <v>Distribución</v>
          </cell>
          <cell r="C806">
            <v>2</v>
          </cell>
          <cell r="D806">
            <v>10</v>
          </cell>
          <cell r="E806" t="str">
            <v>TP/0383</v>
          </cell>
          <cell r="F806">
            <v>45966</v>
          </cell>
          <cell r="G806">
            <v>45966</v>
          </cell>
          <cell r="H806" t="str">
            <v>Sustitución de contador en C/Zapatari n25 en Agurain</v>
          </cell>
          <cell r="I806" t="str">
            <v>Sustitución de contador en C/Zapatari n25 en Agurain</v>
          </cell>
          <cell r="J806" t="str">
            <v>Agurain</v>
          </cell>
          <cell r="M806" t="str">
            <v/>
          </cell>
          <cell r="N806" t="str">
            <v/>
          </cell>
          <cell r="O806" t="b">
            <v>1</v>
          </cell>
          <cell r="P806" t="str">
            <v>GABI</v>
          </cell>
          <cell r="Q806">
            <v>3</v>
          </cell>
          <cell r="R806">
            <v>3</v>
          </cell>
        </row>
        <row r="807">
          <cell r="B807" t="str">
            <v>Distribución</v>
          </cell>
          <cell r="C807">
            <v>2</v>
          </cell>
          <cell r="D807">
            <v>10</v>
          </cell>
          <cell r="E807" t="str">
            <v>TP/0384</v>
          </cell>
          <cell r="F807">
            <v>45966</v>
          </cell>
          <cell r="G807">
            <v>45966</v>
          </cell>
          <cell r="H807" t="str">
            <v>Sustitución de contador en C/Bitikuri n8 en Argomaniz</v>
          </cell>
          <cell r="I807" t="str">
            <v>Sustitución de contador en C/Bitikuri n8 en Argomaniz</v>
          </cell>
          <cell r="J807" t="str">
            <v>Argomaniz</v>
          </cell>
          <cell r="M807" t="str">
            <v/>
          </cell>
          <cell r="N807" t="str">
            <v/>
          </cell>
          <cell r="O807" t="b">
            <v>1</v>
          </cell>
          <cell r="P807" t="str">
            <v>GABI</v>
          </cell>
          <cell r="Q807">
            <v>3</v>
          </cell>
          <cell r="R807">
            <v>3</v>
          </cell>
        </row>
        <row r="808">
          <cell r="B808" t="str">
            <v>Distribución</v>
          </cell>
          <cell r="C808">
            <v>1</v>
          </cell>
          <cell r="E808" t="str">
            <v>OT/0507</v>
          </cell>
          <cell r="F808">
            <v>45966</v>
          </cell>
          <cell r="G808">
            <v>45966</v>
          </cell>
          <cell r="H808" t="str">
            <v>Reparación de fuga en C/Bengara n9A en Apellaniz</v>
          </cell>
          <cell r="I808" t="str">
            <v>Reparación de fuga en C/Bengara n9A en Apellaniz</v>
          </cell>
          <cell r="J808" t="str">
            <v>Apellaniz</v>
          </cell>
          <cell r="M808">
            <v>42.733063999999999</v>
          </cell>
          <cell r="N808">
            <v>-2.483158</v>
          </cell>
          <cell r="O808" t="b">
            <v>1</v>
          </cell>
          <cell r="P808" t="str">
            <v>GABI</v>
          </cell>
          <cell r="Q808">
            <v>6</v>
          </cell>
          <cell r="R808">
            <v>6</v>
          </cell>
          <cell r="S808">
            <v>1</v>
          </cell>
        </row>
        <row r="809">
          <cell r="B809" t="str">
            <v>Distribución</v>
          </cell>
          <cell r="C809">
            <v>1</v>
          </cell>
          <cell r="E809" t="str">
            <v>OT/0508</v>
          </cell>
          <cell r="F809">
            <v>45965</v>
          </cell>
          <cell r="G809">
            <v>45965</v>
          </cell>
          <cell r="H809" t="str">
            <v>Reparación de fuga en contador en C/Colina n2 en Corro</v>
          </cell>
          <cell r="I809" t="str">
            <v>Reparación de fuga en contador en C/Colina n2 en Corro</v>
          </cell>
          <cell r="J809" t="str">
            <v>Corro</v>
          </cell>
          <cell r="M809">
            <v>42.880167</v>
          </cell>
          <cell r="N809">
            <v>-3.1712349999999998</v>
          </cell>
          <cell r="O809" t="b">
            <v>1</v>
          </cell>
          <cell r="P809" t="str">
            <v>GABI</v>
          </cell>
          <cell r="Q809">
            <v>5</v>
          </cell>
          <cell r="R809">
            <v>5</v>
          </cell>
          <cell r="S809">
            <v>1</v>
          </cell>
        </row>
        <row r="810">
          <cell r="B810" t="str">
            <v>Distribución</v>
          </cell>
          <cell r="C810">
            <v>1</v>
          </cell>
          <cell r="E810" t="str">
            <v>OT/0509</v>
          </cell>
          <cell r="F810">
            <v>45965</v>
          </cell>
          <cell r="G810">
            <v>45965</v>
          </cell>
          <cell r="H810" t="str">
            <v>Reparación de fuga en contador en C/Alaguero n2 en Villanañe</v>
          </cell>
          <cell r="I810" t="str">
            <v>Reparación de fuga en contador en C/Alaguero n2 en Villanañe</v>
          </cell>
          <cell r="J810" t="str">
            <v>Villanañe</v>
          </cell>
          <cell r="M810">
            <v>42.83614</v>
          </cell>
          <cell r="N810">
            <v>-3.0732300000000001</v>
          </cell>
          <cell r="O810" t="b">
            <v>1</v>
          </cell>
          <cell r="P810" t="str">
            <v>GABI</v>
          </cell>
          <cell r="Q810">
            <v>5</v>
          </cell>
          <cell r="R810">
            <v>5</v>
          </cell>
          <cell r="S810">
            <v>1</v>
          </cell>
        </row>
        <row r="811">
          <cell r="B811" t="str">
            <v>Distribución</v>
          </cell>
          <cell r="C811">
            <v>1</v>
          </cell>
          <cell r="E811" t="str">
            <v>OT/0510</v>
          </cell>
          <cell r="F811">
            <v>45965</v>
          </cell>
          <cell r="G811">
            <v>45965</v>
          </cell>
          <cell r="H811" t="str">
            <v>Reparación de fuga en contador en C/Alaguero n4 en Villanañe</v>
          </cell>
          <cell r="I811" t="str">
            <v>Reparación de fuga en contador en C/Alaguero n4 en Villanañe</v>
          </cell>
          <cell r="J811" t="str">
            <v>Villanañe</v>
          </cell>
          <cell r="M811">
            <v>42.835974</v>
          </cell>
          <cell r="N811">
            <v>-3.0729790000000001</v>
          </cell>
          <cell r="O811" t="b">
            <v>1</v>
          </cell>
          <cell r="P811" t="str">
            <v>GABI</v>
          </cell>
          <cell r="Q811">
            <v>5</v>
          </cell>
          <cell r="R811">
            <v>5</v>
          </cell>
          <cell r="S811">
            <v>1</v>
          </cell>
        </row>
        <row r="812">
          <cell r="B812" t="str">
            <v>Distribución</v>
          </cell>
          <cell r="C812">
            <v>2</v>
          </cell>
          <cell r="D812">
            <v>10</v>
          </cell>
          <cell r="E812" t="str">
            <v>TP/0385</v>
          </cell>
          <cell r="F812">
            <v>45965</v>
          </cell>
          <cell r="G812">
            <v>45965</v>
          </cell>
          <cell r="H812" t="str">
            <v>Sustitución de contador en C/Buenos Aires n8 en Lecicaña</v>
          </cell>
          <cell r="I812" t="str">
            <v>Sustitución de contador en C/Buenos Aires n8 en Lecicaña</v>
          </cell>
          <cell r="J812" t="str">
            <v>Lecicaña</v>
          </cell>
          <cell r="M812" t="str">
            <v/>
          </cell>
          <cell r="N812" t="str">
            <v/>
          </cell>
          <cell r="O812" t="b">
            <v>1</v>
          </cell>
          <cell r="P812" t="str">
            <v>GABI</v>
          </cell>
          <cell r="Q812">
            <v>5</v>
          </cell>
          <cell r="R812">
            <v>5</v>
          </cell>
        </row>
        <row r="813">
          <cell r="B813" t="str">
            <v>Distribución</v>
          </cell>
          <cell r="C813">
            <v>1</v>
          </cell>
          <cell r="E813" t="str">
            <v>OT/0511</v>
          </cell>
          <cell r="F813">
            <v>45965</v>
          </cell>
          <cell r="G813">
            <v>45965</v>
          </cell>
          <cell r="H813" t="str">
            <v>Reparación de fuga en contador en Barrio del Campo n6 en Ocio</v>
          </cell>
          <cell r="I813" t="str">
            <v>Reparación de fuga en contador en Barrio del Campo n6 en Ocio</v>
          </cell>
          <cell r="J813" t="str">
            <v>Ocio</v>
          </cell>
          <cell r="M813">
            <v>42.655642999999998</v>
          </cell>
          <cell r="N813">
            <v>-2.8224649999999998</v>
          </cell>
          <cell r="O813" t="b">
            <v>1</v>
          </cell>
          <cell r="P813" t="str">
            <v>GABI</v>
          </cell>
          <cell r="Q813">
            <v>5</v>
          </cell>
          <cell r="R813">
            <v>5</v>
          </cell>
          <cell r="S813">
            <v>1</v>
          </cell>
        </row>
        <row r="814">
          <cell r="B814" t="str">
            <v>Distribución</v>
          </cell>
          <cell r="C814">
            <v>1</v>
          </cell>
          <cell r="E814" t="str">
            <v>OT/0512</v>
          </cell>
          <cell r="F814">
            <v>45967</v>
          </cell>
          <cell r="G814">
            <v>45967</v>
          </cell>
          <cell r="H814" t="str">
            <v>Reparación de fuga en válvula de contador en C/Real n13 en Armiñon</v>
          </cell>
          <cell r="I814" t="str">
            <v>Reparación de fuga en válvula de contador en C/Real n13 en Armiñon</v>
          </cell>
          <cell r="J814" t="str">
            <v>Armiñon</v>
          </cell>
          <cell r="M814">
            <v>42.722180000000002</v>
          </cell>
          <cell r="N814">
            <v>-2.8726950000000002</v>
          </cell>
          <cell r="O814" t="b">
            <v>1</v>
          </cell>
          <cell r="P814" t="str">
            <v>GABI</v>
          </cell>
          <cell r="Q814">
            <v>5</v>
          </cell>
          <cell r="R814">
            <v>5</v>
          </cell>
          <cell r="S814">
            <v>1</v>
          </cell>
        </row>
        <row r="815">
          <cell r="B815" t="str">
            <v>Distribución</v>
          </cell>
          <cell r="C815">
            <v>1</v>
          </cell>
          <cell r="E815" t="str">
            <v>OT/0513</v>
          </cell>
          <cell r="F815">
            <v>45967</v>
          </cell>
          <cell r="G815">
            <v>45967</v>
          </cell>
          <cell r="H815" t="str">
            <v>Reparación de fuga en Erbi</v>
          </cell>
          <cell r="I815" t="str">
            <v>Reparación de fuga en Erbi</v>
          </cell>
          <cell r="J815" t="str">
            <v>Erbi</v>
          </cell>
          <cell r="M815">
            <v>43.073281000000001</v>
          </cell>
          <cell r="N815">
            <v>-3.108409</v>
          </cell>
          <cell r="O815" t="b">
            <v>1</v>
          </cell>
          <cell r="P815" t="str">
            <v>IÑIGO</v>
          </cell>
          <cell r="Q815">
            <v>1</v>
          </cell>
          <cell r="R815">
            <v>1</v>
          </cell>
          <cell r="S815">
            <v>1</v>
          </cell>
        </row>
        <row r="816">
          <cell r="B816" t="str">
            <v>Saneamiento</v>
          </cell>
          <cell r="C816">
            <v>2</v>
          </cell>
          <cell r="D816">
            <v>1</v>
          </cell>
          <cell r="E816" t="str">
            <v>TP/0386</v>
          </cell>
          <cell r="F816">
            <v>45967</v>
          </cell>
          <cell r="G816">
            <v>45967</v>
          </cell>
          <cell r="H816" t="str">
            <v>Localizar acometidas saneamiento ,pluviales en Alegría</v>
          </cell>
          <cell r="I816" t="str">
            <v>Localizar acometidas saneamiento ,pluviales en Alegría</v>
          </cell>
          <cell r="J816" t="str">
            <v>Alegria</v>
          </cell>
          <cell r="M816">
            <v>42.843777000000003</v>
          </cell>
          <cell r="N816">
            <v>-2.5111849999999998</v>
          </cell>
          <cell r="O816" t="b">
            <v>1</v>
          </cell>
          <cell r="P816" t="str">
            <v>ANGEL Y KERMAN</v>
          </cell>
          <cell r="Q816">
            <v>3</v>
          </cell>
          <cell r="R816">
            <v>3</v>
          </cell>
        </row>
        <row r="817">
          <cell r="B817" t="str">
            <v>Distribución</v>
          </cell>
          <cell r="C817">
            <v>1</v>
          </cell>
          <cell r="E817" t="str">
            <v>OT/0514</v>
          </cell>
          <cell r="F817">
            <v>45967</v>
          </cell>
          <cell r="G817">
            <v>45967</v>
          </cell>
          <cell r="H817" t="str">
            <v>Aviso por turbidez en Katuxa Ibarra (Palacio) en Llodio</v>
          </cell>
          <cell r="I817" t="str">
            <v>Aviso por turbidez en Katuxa Ibarra (Palacio) en Llodio</v>
          </cell>
          <cell r="J817" t="str">
            <v>Llodio</v>
          </cell>
          <cell r="M817">
            <v>43.133439000000003</v>
          </cell>
          <cell r="N817">
            <v>-2.970685</v>
          </cell>
          <cell r="O817" t="b">
            <v>1</v>
          </cell>
          <cell r="P817" t="str">
            <v>TOMAS</v>
          </cell>
          <cell r="Q817">
            <v>1</v>
          </cell>
          <cell r="R817">
            <v>1</v>
          </cell>
          <cell r="S817">
            <v>3</v>
          </cell>
        </row>
        <row r="818">
          <cell r="B818" t="str">
            <v>Distribución</v>
          </cell>
          <cell r="C818">
            <v>1</v>
          </cell>
          <cell r="E818" t="str">
            <v>OT/0515</v>
          </cell>
          <cell r="F818">
            <v>45967</v>
          </cell>
          <cell r="H818" t="str">
            <v>Reparación de fuga en C/Aldai n26 en Amurrio</v>
          </cell>
          <cell r="I818" t="str">
            <v>Reparación de fuga en C/Aldai n26 en Amurrio</v>
          </cell>
          <cell r="J818" t="str">
            <v>Amurrio</v>
          </cell>
          <cell r="M818">
            <v>43.047975000000001</v>
          </cell>
          <cell r="N818">
            <v>-3.004419</v>
          </cell>
          <cell r="O818" t="b">
            <v>1</v>
          </cell>
          <cell r="P818" t="str">
            <v>IÑIGO BEÑAT</v>
          </cell>
          <cell r="Q818">
            <v>1</v>
          </cell>
          <cell r="R818">
            <v>1</v>
          </cell>
          <cell r="S818">
            <v>1</v>
          </cell>
        </row>
        <row r="819">
          <cell r="B819" t="str">
            <v>Distribución</v>
          </cell>
          <cell r="C819">
            <v>1</v>
          </cell>
          <cell r="E819" t="str">
            <v>OT/0516</v>
          </cell>
          <cell r="F819">
            <v>45970</v>
          </cell>
          <cell r="G819">
            <v>45970</v>
          </cell>
          <cell r="H819" t="str">
            <v>Aviso fuga en Espejo</v>
          </cell>
          <cell r="I819" t="str">
            <v>Aviso fuga en Espejo</v>
          </cell>
          <cell r="J819" t="str">
            <v>Espejo</v>
          </cell>
          <cell r="M819">
            <v>42.808616000000001</v>
          </cell>
          <cell r="N819">
            <v>-3.049801</v>
          </cell>
          <cell r="O819" t="b">
            <v>1</v>
          </cell>
          <cell r="P819" t="str">
            <v/>
          </cell>
          <cell r="Q819">
            <v>5</v>
          </cell>
          <cell r="R819">
            <v>5</v>
          </cell>
          <cell r="S819">
            <v>1</v>
          </cell>
        </row>
        <row r="820">
          <cell r="B820" t="str">
            <v>Aducción</v>
          </cell>
          <cell r="C820">
            <v>1</v>
          </cell>
          <cell r="E820" t="str">
            <v>OT/0517</v>
          </cell>
          <cell r="F820">
            <v>45970</v>
          </cell>
          <cell r="G820">
            <v>45970</v>
          </cell>
          <cell r="H820" t="str">
            <v>Aviso de fuga en Erbi</v>
          </cell>
          <cell r="I820" t="str">
            <v>Aviso de fuga en Erbi</v>
          </cell>
          <cell r="J820" t="str">
            <v>Erbi</v>
          </cell>
          <cell r="M820" t="str">
            <v/>
          </cell>
          <cell r="N820" t="str">
            <v/>
          </cell>
          <cell r="O820" t="b">
            <v>1</v>
          </cell>
          <cell r="P820" t="str">
            <v/>
          </cell>
          <cell r="Q820">
            <v>1</v>
          </cell>
          <cell r="R820">
            <v>1</v>
          </cell>
          <cell r="S820">
            <v>1</v>
          </cell>
        </row>
        <row r="821">
          <cell r="B821" t="str">
            <v>Saneamiento</v>
          </cell>
          <cell r="C821">
            <v>1</v>
          </cell>
          <cell r="E821" t="str">
            <v>OT/0518</v>
          </cell>
          <cell r="F821">
            <v>45970</v>
          </cell>
          <cell r="G821">
            <v>45970</v>
          </cell>
          <cell r="H821" t="str">
            <v>Atasco y vaciado de fosa bar sociedad en Sobrón</v>
          </cell>
          <cell r="I821" t="str">
            <v>Atasco y vaciado de fosa bar sociedad en Sobrón</v>
          </cell>
          <cell r="J821" t="str">
            <v>Sobrón</v>
          </cell>
          <cell r="M821" t="str">
            <v/>
          </cell>
          <cell r="N821" t="str">
            <v/>
          </cell>
          <cell r="O821" t="b">
            <v>1</v>
          </cell>
          <cell r="P821" t="str">
            <v/>
          </cell>
          <cell r="Q821">
            <v>5</v>
          </cell>
          <cell r="R821">
            <v>5</v>
          </cell>
          <cell r="S821">
            <v>2</v>
          </cell>
        </row>
        <row r="822">
          <cell r="B822" t="str">
            <v>Distribución</v>
          </cell>
          <cell r="C822">
            <v>1</v>
          </cell>
          <cell r="E822" t="str">
            <v>OT/0519</v>
          </cell>
          <cell r="F822">
            <v>45969</v>
          </cell>
          <cell r="G822">
            <v>45969</v>
          </cell>
          <cell r="H822" t="str">
            <v>Aviso abonados sin agua en C/Zenbidea en Argómaniz</v>
          </cell>
          <cell r="I822" t="str">
            <v>Aviso abonados sin agua en C/Zenbidea en Argómaniz</v>
          </cell>
          <cell r="J822" t="str">
            <v>Argómaniz</v>
          </cell>
          <cell r="M822">
            <v>42.86748</v>
          </cell>
          <cell r="N822">
            <v>-2.5404939999999998</v>
          </cell>
          <cell r="O822" t="b">
            <v>1</v>
          </cell>
          <cell r="P822" t="str">
            <v/>
          </cell>
          <cell r="Q822">
            <v>3</v>
          </cell>
          <cell r="R822">
            <v>3</v>
          </cell>
          <cell r="S822">
            <v>3</v>
          </cell>
        </row>
        <row r="823">
          <cell r="B823" t="str">
            <v>Distribución</v>
          </cell>
          <cell r="C823">
            <v>1</v>
          </cell>
          <cell r="E823" t="str">
            <v>OT/0520</v>
          </cell>
          <cell r="F823">
            <v>45968</v>
          </cell>
          <cell r="G823">
            <v>45968</v>
          </cell>
          <cell r="H823" t="str">
            <v>Reparación de fuga en el Molino (Zuaza)</v>
          </cell>
          <cell r="I823" t="str">
            <v>Reparación de fuga en el Molino (Zuaza)</v>
          </cell>
          <cell r="J823" t="str">
            <v>Zuaza</v>
          </cell>
          <cell r="M823" t="str">
            <v/>
          </cell>
          <cell r="N823" t="str">
            <v/>
          </cell>
          <cell r="O823" t="b">
            <v>1</v>
          </cell>
          <cell r="P823" t="str">
            <v/>
          </cell>
          <cell r="Q823">
            <v>1</v>
          </cell>
          <cell r="R823">
            <v>1</v>
          </cell>
          <cell r="S823">
            <v>1</v>
          </cell>
        </row>
        <row r="824">
          <cell r="B824" t="str">
            <v>Distribución</v>
          </cell>
          <cell r="C824">
            <v>1</v>
          </cell>
          <cell r="E824" t="str">
            <v>OT/0521</v>
          </cell>
          <cell r="F824">
            <v>45965</v>
          </cell>
          <cell r="G824">
            <v>45965</v>
          </cell>
          <cell r="H824" t="str">
            <v>Reparación de fuga en Hijona</v>
          </cell>
          <cell r="I824" t="str">
            <v>Reparación de fuga en Hijona</v>
          </cell>
          <cell r="J824" t="str">
            <v>Hijona</v>
          </cell>
          <cell r="M824">
            <v>42.814362000000003</v>
          </cell>
          <cell r="N824">
            <v>-2.5465819999999999</v>
          </cell>
          <cell r="O824" t="b">
            <v>1</v>
          </cell>
          <cell r="P824" t="str">
            <v>EDUARDO MIGUEL</v>
          </cell>
          <cell r="Q824">
            <v>3</v>
          </cell>
          <cell r="R824">
            <v>3</v>
          </cell>
          <cell r="S824">
            <v>1</v>
          </cell>
        </row>
        <row r="825">
          <cell r="B825" t="str">
            <v>Distribución</v>
          </cell>
          <cell r="C825">
            <v>1</v>
          </cell>
          <cell r="E825" t="str">
            <v>OT/0522</v>
          </cell>
          <cell r="F825">
            <v>45969</v>
          </cell>
          <cell r="G825">
            <v>45969</v>
          </cell>
          <cell r="H825" t="str">
            <v>Reparación de fuga en Agurain</v>
          </cell>
          <cell r="I825" t="str">
            <v>Reparación de fuga en Agurain</v>
          </cell>
          <cell r="J825" t="str">
            <v>Agurain</v>
          </cell>
          <cell r="M825">
            <v>42.857115</v>
          </cell>
          <cell r="N825">
            <v>-2.38781</v>
          </cell>
          <cell r="O825" t="b">
            <v>1</v>
          </cell>
          <cell r="P825" t="str">
            <v>EDUARDO MIGUEL</v>
          </cell>
          <cell r="Q825">
            <v>3</v>
          </cell>
          <cell r="R825">
            <v>3</v>
          </cell>
          <cell r="S825">
            <v>1</v>
          </cell>
        </row>
        <row r="826">
          <cell r="B826" t="str">
            <v>Distribución</v>
          </cell>
          <cell r="C826">
            <v>2</v>
          </cell>
          <cell r="D826">
            <v>24</v>
          </cell>
          <cell r="E826" t="str">
            <v>TP/0387</v>
          </cell>
          <cell r="F826">
            <v>45967</v>
          </cell>
          <cell r="G826">
            <v>45967</v>
          </cell>
          <cell r="H826" t="str">
            <v>Revisión y verificación de contador en Rivabellosa</v>
          </cell>
          <cell r="I826" t="str">
            <v>Revisión y verificación de contador en Rivabellosa</v>
          </cell>
          <cell r="J826" t="str">
            <v>Ribabellosa</v>
          </cell>
          <cell r="M826" t="str">
            <v/>
          </cell>
          <cell r="N826" t="str">
            <v/>
          </cell>
          <cell r="O826" t="b">
            <v>1</v>
          </cell>
          <cell r="P826" t="str">
            <v/>
          </cell>
          <cell r="Q826">
            <v>5</v>
          </cell>
          <cell r="R826">
            <v>5</v>
          </cell>
        </row>
        <row r="827">
          <cell r="B827" t="str">
            <v>Distribución</v>
          </cell>
          <cell r="C827">
            <v>2</v>
          </cell>
          <cell r="D827">
            <v>10</v>
          </cell>
          <cell r="E827" t="str">
            <v>TP/0388</v>
          </cell>
          <cell r="F827">
            <v>45968</v>
          </cell>
          <cell r="G827">
            <v>45968</v>
          </cell>
          <cell r="H827" t="str">
            <v>Sustitución de contador C/Andra Mari n8 en Ullibarri Arana</v>
          </cell>
          <cell r="I827" t="str">
            <v>Sustitución de contador C/Andra Mari n8 en Ullibarri Arana</v>
          </cell>
          <cell r="J827" t="str">
            <v>Ullibarri Arana</v>
          </cell>
          <cell r="M827" t="str">
            <v/>
          </cell>
          <cell r="N827" t="str">
            <v/>
          </cell>
          <cell r="O827" t="b">
            <v>1</v>
          </cell>
          <cell r="P827" t="str">
            <v/>
          </cell>
          <cell r="Q827">
            <v>6</v>
          </cell>
          <cell r="R827">
            <v>6</v>
          </cell>
        </row>
        <row r="828">
          <cell r="B828" t="str">
            <v>Distribución</v>
          </cell>
          <cell r="C828">
            <v>2</v>
          </cell>
          <cell r="D828">
            <v>10</v>
          </cell>
          <cell r="E828" t="str">
            <v>TP/0389</v>
          </cell>
          <cell r="F828">
            <v>45968</v>
          </cell>
          <cell r="G828">
            <v>45968</v>
          </cell>
          <cell r="H828" t="str">
            <v>Sustitución de contador C/Ires Palacios n6 Salinas de Añana</v>
          </cell>
          <cell r="I828" t="str">
            <v>Sustitución de contador C/Ires Palacios n6 Salinas de Añana</v>
          </cell>
          <cell r="J828" t="str">
            <v>Salinas de Añana</v>
          </cell>
          <cell r="M828" t="str">
            <v/>
          </cell>
          <cell r="N828" t="str">
            <v/>
          </cell>
          <cell r="O828" t="b">
            <v>1</v>
          </cell>
          <cell r="P828" t="str">
            <v/>
          </cell>
          <cell r="Q828">
            <v>5</v>
          </cell>
          <cell r="R828">
            <v>5</v>
          </cell>
        </row>
        <row r="829">
          <cell r="B829" t="str">
            <v>Distribución</v>
          </cell>
          <cell r="C829">
            <v>2</v>
          </cell>
          <cell r="D829">
            <v>10</v>
          </cell>
          <cell r="E829" t="str">
            <v>TP/0390</v>
          </cell>
          <cell r="F829">
            <v>45968</v>
          </cell>
          <cell r="G829">
            <v>45968</v>
          </cell>
          <cell r="H829" t="str">
            <v>Sustitución de contador C/Real n17 en Armiñon</v>
          </cell>
          <cell r="I829" t="str">
            <v>Sustitución de contador C/Real n17 en Armiñon</v>
          </cell>
          <cell r="J829" t="str">
            <v>Armiñon</v>
          </cell>
          <cell r="M829" t="str">
            <v/>
          </cell>
          <cell r="N829" t="str">
            <v/>
          </cell>
          <cell r="O829" t="b">
            <v>1</v>
          </cell>
          <cell r="P829" t="str">
            <v>GABI</v>
          </cell>
          <cell r="Q829">
            <v>5</v>
          </cell>
          <cell r="R829">
            <v>5</v>
          </cell>
        </row>
      </sheetData>
      <sheetData sheetId="1"/>
      <sheetData sheetId="2"/>
      <sheetData sheetId="3">
        <row r="1">
          <cell r="C1" t="str">
            <v>Aducción</v>
          </cell>
          <cell r="D1">
            <v>45953.825613425928</v>
          </cell>
          <cell r="E1">
            <v>1</v>
          </cell>
        </row>
        <row r="2">
          <cell r="C2" t="str">
            <v>Depuración</v>
          </cell>
          <cell r="D2">
            <v>45953.825613425928</v>
          </cell>
          <cell r="E2">
            <v>2</v>
          </cell>
        </row>
        <row r="3">
          <cell r="C3" t="str">
            <v>Distribución</v>
          </cell>
          <cell r="D3">
            <v>45953.825613425928</v>
          </cell>
          <cell r="E3">
            <v>3</v>
          </cell>
        </row>
        <row r="4">
          <cell r="C4" t="str">
            <v>Otros</v>
          </cell>
          <cell r="D4">
            <v>45953.825613425928</v>
          </cell>
          <cell r="E4">
            <v>4</v>
          </cell>
        </row>
        <row r="5">
          <cell r="C5" t="str">
            <v>Saneamiento</v>
          </cell>
          <cell r="D5">
            <v>45971.988009259258</v>
          </cell>
          <cell r="E5">
            <v>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544AC3-3BF0-4D20-AB03-C739FAFE2208}">
  <dimension ref="A1:Z829"/>
  <sheetViews>
    <sheetView tabSelected="1" workbookViewId="0">
      <selection activeCell="N2" sqref="N2"/>
    </sheetView>
  </sheetViews>
  <sheetFormatPr baseColWidth="10" defaultRowHeight="14.6" x14ac:dyDescent="0.4"/>
  <cols>
    <col min="10" max="11" width="11.07421875" style="1"/>
  </cols>
  <sheetData>
    <row r="1" spans="1:26" x14ac:dyDescent="0.4">
      <c r="A1" t="s">
        <v>25</v>
      </c>
      <c r="B1" t="s">
        <v>24</v>
      </c>
      <c r="C1" t="s">
        <v>23</v>
      </c>
      <c r="D1" t="s">
        <v>22</v>
      </c>
      <c r="E1" t="s">
        <v>21</v>
      </c>
      <c r="F1" t="s">
        <v>20</v>
      </c>
      <c r="G1" t="s">
        <v>19</v>
      </c>
      <c r="H1" t="s">
        <v>18</v>
      </c>
      <c r="I1" t="s">
        <v>17</v>
      </c>
      <c r="J1" s="1" t="s">
        <v>16</v>
      </c>
      <c r="K1" s="1" t="s">
        <v>15</v>
      </c>
      <c r="L1" t="s">
        <v>14</v>
      </c>
      <c r="M1" t="s">
        <v>13</v>
      </c>
      <c r="N1" t="s">
        <v>12</v>
      </c>
      <c r="O1" t="s">
        <v>11</v>
      </c>
      <c r="P1" t="s">
        <v>10</v>
      </c>
      <c r="Q1" t="s">
        <v>9</v>
      </c>
      <c r="R1" t="s">
        <v>8</v>
      </c>
      <c r="S1" t="s">
        <v>7</v>
      </c>
      <c r="T1" t="s">
        <v>6</v>
      </c>
      <c r="U1" t="s">
        <v>5</v>
      </c>
      <c r="V1" t="s">
        <v>4</v>
      </c>
      <c r="W1" t="s">
        <v>3</v>
      </c>
      <c r="X1" t="s">
        <v>2</v>
      </c>
      <c r="Y1" t="s">
        <v>1</v>
      </c>
      <c r="Z1" t="s">
        <v>0</v>
      </c>
    </row>
    <row r="2" spans="1:26" x14ac:dyDescent="0.4">
      <c r="A2">
        <v>1</v>
      </c>
      <c r="B2" t="str">
        <f>[1]LISTADO_OTS!E2</f>
        <v>TP/0001</v>
      </c>
      <c r="C2">
        <f>VLOOKUP([1]LISTADO_OTS!B2,[1]Redes!$C$1:$E$5,3,FALSE)</f>
        <v>5</v>
      </c>
      <c r="D2">
        <f>[1]LISTADO_OTS!C2</f>
        <v>2</v>
      </c>
      <c r="E2">
        <f>[1]LISTADO_OTS!D2</f>
        <v>1</v>
      </c>
      <c r="F2">
        <f>[1]LISTADO_OTS!Q2</f>
        <v>1</v>
      </c>
      <c r="G2">
        <f>[1]LISTADO_OTS!R2</f>
        <v>3</v>
      </c>
      <c r="H2" t="str">
        <f>[1]LISTADO_OTS!H2</f>
        <v>Limpieza tamices en Lejarzo</v>
      </c>
      <c r="I2" t="str">
        <f>[1]LISTADO_OTS!I2</f>
        <v>Limpieza de las tamices de 7:00 a 12:00 en Lejarzo</v>
      </c>
      <c r="J2" s="1">
        <f>[1]LISTADO_OTS!F2</f>
        <v>45870</v>
      </c>
      <c r="K2" s="1">
        <f>[1]LISTADO_OTS!G2</f>
        <v>45870</v>
      </c>
      <c r="L2">
        <f>[1]LISTADO_OTS!M2</f>
        <v>43.060111111111105</v>
      </c>
      <c r="M2">
        <f>[1]LISTADO_OTS!N2</f>
        <v>-3.1232500000000001</v>
      </c>
      <c r="U2" t="b">
        <f>[1]LISTADO_OTS!O2</f>
        <v>1</v>
      </c>
      <c r="V2" t="str">
        <f>[1]LISTADO_OTS!J2</f>
        <v>Lejarzo</v>
      </c>
      <c r="W2">
        <f>[1]LISTADO_OTS!R2</f>
        <v>3</v>
      </c>
      <c r="X2">
        <f>[1]LISTADO_OTS!P2</f>
        <v>0</v>
      </c>
      <c r="Y2">
        <v>1</v>
      </c>
      <c r="Z2">
        <f>[1]LISTADO_OTS!S2</f>
        <v>0</v>
      </c>
    </row>
    <row r="3" spans="1:26" x14ac:dyDescent="0.4">
      <c r="A3">
        <v>2</v>
      </c>
      <c r="B3" t="str">
        <f>[1]LISTADO_OTS!E3</f>
        <v>OT/0092</v>
      </c>
      <c r="C3">
        <f>VLOOKUP([1]LISTADO_OTS!B3,[1]Redes!$C$1:$E$5,3,FALSE)</f>
        <v>3</v>
      </c>
      <c r="D3">
        <f>[1]LISTADO_OTS!C3</f>
        <v>1</v>
      </c>
      <c r="E3">
        <f>[1]LISTADO_OTS!D3</f>
        <v>0</v>
      </c>
      <c r="F3">
        <f>[1]LISTADO_OTS!Q3</f>
        <v>1</v>
      </c>
      <c r="G3">
        <f>[1]LISTADO_OTS!R3</f>
        <v>1</v>
      </c>
      <c r="H3" t="str">
        <f>[1]LISTADO_OTS!H3</f>
        <v>Abrir válvula en Erbi</v>
      </c>
      <c r="I3" t="str">
        <f>[1]LISTADO_OTS!I3</f>
        <v>Se ha abierto una válvula en Erbi de 14:50 - 15:25</v>
      </c>
      <c r="J3" s="1">
        <f>[1]LISTADO_OTS!F3</f>
        <v>45870</v>
      </c>
      <c r="K3" s="1">
        <f>[1]LISTADO_OTS!G3</f>
        <v>45870</v>
      </c>
      <c r="L3">
        <f>[1]LISTADO_OTS!M3</f>
        <v>43.074916666666667</v>
      </c>
      <c r="M3">
        <f>[1]LISTADO_OTS!N3</f>
        <v>-3.1068611111111113</v>
      </c>
      <c r="U3" t="b">
        <f>[1]LISTADO_OTS!O3</f>
        <v>1</v>
      </c>
      <c r="V3" t="str">
        <f>[1]LISTADO_OTS!J3</f>
        <v>Erbi</v>
      </c>
      <c r="W3">
        <f>[1]LISTADO_OTS!R3</f>
        <v>1</v>
      </c>
      <c r="X3">
        <f>[1]LISTADO_OTS!P3</f>
        <v>0</v>
      </c>
      <c r="Y3">
        <v>1</v>
      </c>
      <c r="Z3">
        <f>[1]LISTADO_OTS!S3</f>
        <v>3</v>
      </c>
    </row>
    <row r="4" spans="1:26" x14ac:dyDescent="0.4">
      <c r="A4">
        <v>3</v>
      </c>
      <c r="B4" t="str">
        <f>[1]LISTADO_OTS!E4</f>
        <v>OT/0093</v>
      </c>
      <c r="C4">
        <f>VLOOKUP([1]LISTADO_OTS!B4,[1]Redes!$C$1:$E$5,3,FALSE)</f>
        <v>3</v>
      </c>
      <c r="D4">
        <f>[1]LISTADO_OTS!C4</f>
        <v>1</v>
      </c>
      <c r="E4">
        <f>[1]LISTADO_OTS!D4</f>
        <v>0</v>
      </c>
      <c r="F4">
        <f>[1]LISTADO_OTS!Q4</f>
        <v>1</v>
      </c>
      <c r="G4">
        <f>[1]LISTADO_OTS!R4</f>
        <v>1</v>
      </c>
      <c r="H4" t="str">
        <f>[1]LISTADO_OTS!H4</f>
        <v>Revisión falta de presión en Amurrio</v>
      </c>
      <c r="I4" t="str">
        <f>[1]LISTADO_OTS!I4</f>
        <v>Se ha revisado la falta de presión, debido a un contador sucio</v>
      </c>
      <c r="J4" s="1">
        <f>[1]LISTADO_OTS!F4</f>
        <v>45870</v>
      </c>
      <c r="K4" s="1">
        <f>[1]LISTADO_OTS!G4</f>
        <v>45870</v>
      </c>
      <c r="L4">
        <f>[1]LISTADO_OTS!M4</f>
        <v>43.054333333333332</v>
      </c>
      <c r="M4">
        <f>[1]LISTADO_OTS!N4</f>
        <v>-3.007138888888889</v>
      </c>
      <c r="U4" t="b">
        <f>[1]LISTADO_OTS!O4</f>
        <v>1</v>
      </c>
      <c r="V4" t="str">
        <f>[1]LISTADO_OTS!J4</f>
        <v>Amurrio</v>
      </c>
      <c r="W4">
        <f>[1]LISTADO_OTS!R4</f>
        <v>1</v>
      </c>
      <c r="X4">
        <f>[1]LISTADO_OTS!P4</f>
        <v>0</v>
      </c>
      <c r="Y4">
        <v>1</v>
      </c>
      <c r="Z4">
        <f>[1]LISTADO_OTS!S4</f>
        <v>2</v>
      </c>
    </row>
    <row r="5" spans="1:26" x14ac:dyDescent="0.4">
      <c r="A5">
        <v>4</v>
      </c>
      <c r="B5" t="str">
        <f>[1]LISTADO_OTS!E5</f>
        <v>OT/0096</v>
      </c>
      <c r="C5">
        <f>VLOOKUP([1]LISTADO_OTS!B5,[1]Redes!$C$1:$E$5,3,FALSE)</f>
        <v>3</v>
      </c>
      <c r="D5">
        <f>[1]LISTADO_OTS!C5</f>
        <v>1</v>
      </c>
      <c r="E5">
        <f>[1]LISTADO_OTS!D5</f>
        <v>0</v>
      </c>
      <c r="F5">
        <f>[1]LISTADO_OTS!Q5</f>
        <v>1</v>
      </c>
      <c r="G5">
        <f>[1]LISTADO_OTS!R5</f>
        <v>1</v>
      </c>
      <c r="H5" t="str">
        <f>[1]LISTADO_OTS!H5</f>
        <v>Aviso por contador fugando en Amurrio</v>
      </c>
      <c r="I5" t="str">
        <f>[1]LISTADO_OTS!I5</f>
        <v>Aviso por contador fugando</v>
      </c>
      <c r="J5" s="1">
        <f>[1]LISTADO_OTS!F5</f>
        <v>45870</v>
      </c>
      <c r="K5" s="1">
        <f>[1]LISTADO_OTS!G5</f>
        <v>45870</v>
      </c>
      <c r="L5">
        <f>[1]LISTADO_OTS!M5</f>
        <v>43.054333333333332</v>
      </c>
      <c r="M5">
        <f>[1]LISTADO_OTS!N5</f>
        <v>-3.0074166666666668</v>
      </c>
      <c r="U5" t="b">
        <f>[1]LISTADO_OTS!O5</f>
        <v>1</v>
      </c>
      <c r="V5" t="str">
        <f>[1]LISTADO_OTS!J5</f>
        <v>Amurrio</v>
      </c>
      <c r="W5">
        <f>[1]LISTADO_OTS!R5</f>
        <v>1</v>
      </c>
      <c r="X5">
        <f>[1]LISTADO_OTS!P5</f>
        <v>0</v>
      </c>
      <c r="Y5">
        <v>1</v>
      </c>
      <c r="Z5">
        <f>[1]LISTADO_OTS!S5</f>
        <v>1</v>
      </c>
    </row>
    <row r="6" spans="1:26" x14ac:dyDescent="0.4">
      <c r="A6">
        <v>5</v>
      </c>
      <c r="B6" t="str">
        <f>[1]LISTADO_OTS!E6</f>
        <v>TP/0003</v>
      </c>
      <c r="C6">
        <f>VLOOKUP([1]LISTADO_OTS!B6,[1]Redes!$C$1:$E$5,3,FALSE)</f>
        <v>2</v>
      </c>
      <c r="D6">
        <f>[1]LISTADO_OTS!C6</f>
        <v>2</v>
      </c>
      <c r="E6">
        <f>[1]LISTADO_OTS!D6</f>
        <v>3</v>
      </c>
      <c r="F6">
        <f>[1]LISTADO_OTS!Q6</f>
        <v>1</v>
      </c>
      <c r="G6">
        <f>[1]LISTADO_OTS!R6</f>
        <v>1</v>
      </c>
      <c r="H6" t="str">
        <f>[1]LISTADO_OTS!H6</f>
        <v>Limpieza fosa en Respaldiza</v>
      </c>
      <c r="I6" t="str">
        <f>[1]LISTADO_OTS!I6</f>
        <v>Limpieza fosa séptica en Respaldiza</v>
      </c>
      <c r="J6" s="1">
        <f>[1]LISTADO_OTS!F6</f>
        <v>45870</v>
      </c>
      <c r="K6" s="1">
        <f>[1]LISTADO_OTS!G6</f>
        <v>45870</v>
      </c>
      <c r="L6">
        <f>[1]LISTADO_OTS!M6</f>
        <v>43.077777777777783</v>
      </c>
      <c r="M6">
        <f>[1]LISTADO_OTS!N6</f>
        <v>-3.0410277777777774</v>
      </c>
      <c r="U6" t="b">
        <f>[1]LISTADO_OTS!O6</f>
        <v>1</v>
      </c>
      <c r="V6" t="str">
        <f>[1]LISTADO_OTS!J6</f>
        <v>Respaldiza</v>
      </c>
      <c r="W6">
        <f>[1]LISTADO_OTS!R6</f>
        <v>1</v>
      </c>
      <c r="X6">
        <f>[1]LISTADO_OTS!P6</f>
        <v>0</v>
      </c>
      <c r="Y6">
        <v>1</v>
      </c>
      <c r="Z6">
        <f>[1]LISTADO_OTS!S6</f>
        <v>0</v>
      </c>
    </row>
    <row r="7" spans="1:26" x14ac:dyDescent="0.4">
      <c r="A7">
        <v>6</v>
      </c>
      <c r="B7" t="str">
        <f>[1]LISTADO_OTS!E7</f>
        <v>TP/0004</v>
      </c>
      <c r="C7">
        <f>VLOOKUP([1]LISTADO_OTS!B7,[1]Redes!$C$1:$E$5,3,FALSE)</f>
        <v>2</v>
      </c>
      <c r="D7">
        <f>[1]LISTADO_OTS!C7</f>
        <v>2</v>
      </c>
      <c r="E7">
        <f>[1]LISTADO_OTS!D7</f>
        <v>3</v>
      </c>
      <c r="F7">
        <f>[1]LISTADO_OTS!Q7</f>
        <v>1</v>
      </c>
      <c r="G7">
        <f>[1]LISTADO_OTS!R7</f>
        <v>1</v>
      </c>
      <c r="H7" t="str">
        <f>[1]LISTADO_OTS!H7</f>
        <v>Limpieza fosa séptica en Menoio</v>
      </c>
      <c r="I7" t="str">
        <f>[1]LISTADO_OTS!I7</f>
        <v>Limpieza fosa séptica en Menoio</v>
      </c>
      <c r="J7" s="1">
        <f>[1]LISTADO_OTS!F7</f>
        <v>45870</v>
      </c>
      <c r="K7" s="1">
        <f>[1]LISTADO_OTS!G7</f>
        <v>45870</v>
      </c>
      <c r="L7">
        <f>[1]LISTADO_OTS!M7</f>
        <v>43.070138888888891</v>
      </c>
      <c r="M7">
        <f>[1]LISTADO_OTS!N7</f>
        <v>-3.0746388888888889</v>
      </c>
      <c r="U7" t="b">
        <f>[1]LISTADO_OTS!O7</f>
        <v>1</v>
      </c>
      <c r="V7" t="str">
        <f>[1]LISTADO_OTS!J7</f>
        <v>Menoio</v>
      </c>
      <c r="W7">
        <f>[1]LISTADO_OTS!R7</f>
        <v>1</v>
      </c>
      <c r="X7">
        <f>[1]LISTADO_OTS!P7</f>
        <v>0</v>
      </c>
      <c r="Y7">
        <v>1</v>
      </c>
      <c r="Z7">
        <f>[1]LISTADO_OTS!S7</f>
        <v>0</v>
      </c>
    </row>
    <row r="8" spans="1:26" x14ac:dyDescent="0.4">
      <c r="A8">
        <v>7</v>
      </c>
      <c r="B8" t="str">
        <f>[1]LISTADO_OTS!E8</f>
        <v>TP/0005</v>
      </c>
      <c r="C8">
        <f>VLOOKUP([1]LISTADO_OTS!B8,[1]Redes!$C$1:$E$5,3,FALSE)</f>
        <v>1</v>
      </c>
      <c r="D8">
        <f>[1]LISTADO_OTS!C8</f>
        <v>2</v>
      </c>
      <c r="E8">
        <f>[1]LISTADO_OTS!D8</f>
        <v>2</v>
      </c>
      <c r="F8">
        <f>[1]LISTADO_OTS!Q8</f>
        <v>3</v>
      </c>
      <c r="G8">
        <f>[1]LISTADO_OTS!R8</f>
        <v>3</v>
      </c>
      <c r="H8" t="str">
        <f>[1]LISTADO_OTS!H8</f>
        <v>Limpieza captaciones</v>
      </c>
      <c r="I8" t="str">
        <f>[1]LISTADO_OTS!I8</f>
        <v>Limpieza captaciones</v>
      </c>
      <c r="J8" s="1">
        <f>[1]LISTADO_OTS!F8</f>
        <v>45870</v>
      </c>
      <c r="K8" s="1">
        <f>[1]LISTADO_OTS!G8</f>
        <v>45870</v>
      </c>
      <c r="L8">
        <f>[1]LISTADO_OTS!M8</f>
        <v>0</v>
      </c>
      <c r="M8">
        <f>[1]LISTADO_OTS!N8</f>
        <v>0</v>
      </c>
      <c r="U8" t="b">
        <f>[1]LISTADO_OTS!O8</f>
        <v>1</v>
      </c>
      <c r="V8" t="str">
        <f>[1]LISTADO_OTS!J8</f>
        <v>Agurain</v>
      </c>
      <c r="W8">
        <f>[1]LISTADO_OTS!R8</f>
        <v>3</v>
      </c>
      <c r="X8">
        <f>[1]LISTADO_OTS!P8</f>
        <v>0</v>
      </c>
      <c r="Y8">
        <v>1</v>
      </c>
      <c r="Z8">
        <f>[1]LISTADO_OTS!S8</f>
        <v>0</v>
      </c>
    </row>
    <row r="9" spans="1:26" x14ac:dyDescent="0.4">
      <c r="A9">
        <v>8</v>
      </c>
      <c r="B9" t="str">
        <f>[1]LISTADO_OTS!E9</f>
        <v>OT/0094</v>
      </c>
      <c r="C9">
        <f>VLOOKUP([1]LISTADO_OTS!B9,[1]Redes!$C$1:$E$5,3,FALSE)</f>
        <v>3</v>
      </c>
      <c r="D9">
        <f>[1]LISTADO_OTS!C9</f>
        <v>1</v>
      </c>
      <c r="E9">
        <f>[1]LISTADO_OTS!D9</f>
        <v>0</v>
      </c>
      <c r="F9">
        <f>[1]LISTADO_OTS!Q9</f>
        <v>1</v>
      </c>
      <c r="G9">
        <f>[1]LISTADO_OTS!R9</f>
        <v>1</v>
      </c>
      <c r="H9" t="str">
        <f>[1]LISTADO_OTS!H9</f>
        <v>Fuga en Cacerías Artziniega</v>
      </c>
      <c r="I9" t="str">
        <f>[1]LISTADO_OTS!I9</f>
        <v>Fuga en Artziniega - Cacerías</v>
      </c>
      <c r="J9" s="1">
        <f>[1]LISTADO_OTS!F9</f>
        <v>45870</v>
      </c>
      <c r="K9" s="1">
        <f>[1]LISTADO_OTS!G9</f>
        <v>45870</v>
      </c>
      <c r="L9">
        <f>[1]LISTADO_OTS!M9</f>
        <v>43.122694444444448</v>
      </c>
      <c r="M9">
        <f>[1]LISTADO_OTS!N9</f>
        <v>-3.1251944444444444</v>
      </c>
      <c r="U9" t="b">
        <f>[1]LISTADO_OTS!O9</f>
        <v>1</v>
      </c>
      <c r="V9" t="str">
        <f>[1]LISTADO_OTS!J9</f>
        <v>Artziniega</v>
      </c>
      <c r="W9">
        <f>[1]LISTADO_OTS!R9</f>
        <v>1</v>
      </c>
      <c r="X9">
        <f>[1]LISTADO_OTS!P9</f>
        <v>0</v>
      </c>
      <c r="Y9">
        <v>1</v>
      </c>
      <c r="Z9">
        <f>[1]LISTADO_OTS!S9</f>
        <v>1</v>
      </c>
    </row>
    <row r="10" spans="1:26" x14ac:dyDescent="0.4">
      <c r="A10">
        <v>9</v>
      </c>
      <c r="B10" t="str">
        <f>[1]LISTADO_OTS!E10</f>
        <v>TP/0006</v>
      </c>
      <c r="C10">
        <f>VLOOKUP([1]LISTADO_OTS!B10,[1]Redes!$C$1:$E$5,3,FALSE)</f>
        <v>5</v>
      </c>
      <c r="D10">
        <f>[1]LISTADO_OTS!C10</f>
        <v>2</v>
      </c>
      <c r="E10">
        <f>[1]LISTADO_OTS!D10</f>
        <v>1</v>
      </c>
      <c r="F10">
        <f>[1]LISTADO_OTS!Q10</f>
        <v>1</v>
      </c>
      <c r="G10">
        <f>[1]LISTADO_OTS!R10</f>
        <v>1</v>
      </c>
      <c r="H10" t="str">
        <f>[1]LISTADO_OTS!H10</f>
        <v>Limpieza fosa en Tamices Onsoño (Amurrio)</v>
      </c>
      <c r="I10" t="str">
        <f>[1]LISTADO_OTS!I10</f>
        <v>Limpieza de fosa séptica Tamices Onsoño</v>
      </c>
      <c r="J10" s="1">
        <f>[1]LISTADO_OTS!F10</f>
        <v>45870</v>
      </c>
      <c r="K10" s="1">
        <f>[1]LISTADO_OTS!G10</f>
        <v>45870</v>
      </c>
      <c r="L10">
        <f>[1]LISTADO_OTS!M10</f>
        <v>43.060499999999998</v>
      </c>
      <c r="M10">
        <f>[1]LISTADO_OTS!N10</f>
        <v>-2.9421388888888891</v>
      </c>
      <c r="U10" t="b">
        <f>[1]LISTADO_OTS!O10</f>
        <v>1</v>
      </c>
      <c r="V10" t="str">
        <f>[1]LISTADO_OTS!J10</f>
        <v>Onsoño-Amurrio</v>
      </c>
      <c r="W10">
        <f>[1]LISTADO_OTS!R10</f>
        <v>1</v>
      </c>
      <c r="X10">
        <f>[1]LISTADO_OTS!P10</f>
        <v>0</v>
      </c>
      <c r="Y10">
        <v>1</v>
      </c>
      <c r="Z10">
        <f>[1]LISTADO_OTS!S10</f>
        <v>0</v>
      </c>
    </row>
    <row r="11" spans="1:26" x14ac:dyDescent="0.4">
      <c r="A11">
        <v>10</v>
      </c>
      <c r="B11" t="str">
        <f>[1]LISTADO_OTS!E11</f>
        <v>OT/0095</v>
      </c>
      <c r="C11">
        <f>VLOOKUP([1]LISTADO_OTS!B11,[1]Redes!$C$1:$E$5,3,FALSE)</f>
        <v>5</v>
      </c>
      <c r="D11">
        <f>[1]LISTADO_OTS!C11</f>
        <v>1</v>
      </c>
      <c r="E11">
        <f>[1]LISTADO_OTS!D11</f>
        <v>0</v>
      </c>
      <c r="F11">
        <f>[1]LISTADO_OTS!Q11</f>
        <v>5</v>
      </c>
      <c r="G11">
        <f>[1]LISTADO_OTS!R11</f>
        <v>44</v>
      </c>
      <c r="H11" t="str">
        <f>[1]LISTADO_OTS!H11</f>
        <v>Desatasco colector saneamiento en Espejo</v>
      </c>
      <c r="I11" t="str">
        <f>[1]LISTADO_OTS!I11</f>
        <v>Desatascar en Espejo</v>
      </c>
      <c r="J11" s="1">
        <f>[1]LISTADO_OTS!F11</f>
        <v>45870</v>
      </c>
      <c r="K11" s="1">
        <f>[1]LISTADO_OTS!G11</f>
        <v>45870</v>
      </c>
      <c r="L11">
        <f>[1]LISTADO_OTS!M11</f>
        <v>42.808916666666661</v>
      </c>
      <c r="M11">
        <f>[1]LISTADO_OTS!N11</f>
        <v>-3.0424166666666665</v>
      </c>
      <c r="U11" t="b">
        <f>[1]LISTADO_OTS!O11</f>
        <v>1</v>
      </c>
      <c r="V11" t="str">
        <f>[1]LISTADO_OTS!J11</f>
        <v>Espejo</v>
      </c>
      <c r="W11">
        <f>[1]LISTADO_OTS!R11</f>
        <v>44</v>
      </c>
      <c r="X11">
        <f>[1]LISTADO_OTS!P11</f>
        <v>0</v>
      </c>
      <c r="Y11">
        <v>1</v>
      </c>
      <c r="Z11">
        <f>[1]LISTADO_OTS!S11</f>
        <v>2</v>
      </c>
    </row>
    <row r="12" spans="1:26" x14ac:dyDescent="0.4">
      <c r="A12">
        <v>11</v>
      </c>
      <c r="B12" t="str">
        <f>[1]LISTADO_OTS!E12</f>
        <v>TP/0002</v>
      </c>
      <c r="C12">
        <f>VLOOKUP([1]LISTADO_OTS!B12,[1]Redes!$C$1:$E$5,3,FALSE)</f>
        <v>3</v>
      </c>
      <c r="D12">
        <f>[1]LISTADO_OTS!C12</f>
        <v>2</v>
      </c>
      <c r="E12">
        <f>[1]LISTADO_OTS!D12</f>
        <v>8</v>
      </c>
      <c r="F12">
        <f>[1]LISTADO_OTS!Q12</f>
        <v>3</v>
      </c>
      <c r="G12">
        <f>[1]LISTADO_OTS!R12</f>
        <v>3</v>
      </c>
      <c r="H12" t="str">
        <f>[1]LISTADO_OTS!H12</f>
        <v>Contadores Polígonos los Fueros en Agurain</v>
      </c>
      <c r="I12" t="str">
        <f>[1]LISTADO_OTS!I12</f>
        <v>Alta de contadores en Polígono los fueros en Agurain</v>
      </c>
      <c r="J12" s="1">
        <f>[1]LISTADO_OTS!F12</f>
        <v>45870</v>
      </c>
      <c r="K12" s="1">
        <f>[1]LISTADO_OTS!G12</f>
        <v>45870</v>
      </c>
      <c r="L12">
        <f>[1]LISTADO_OTS!M12</f>
        <v>42.849944444444446</v>
      </c>
      <c r="M12">
        <f>[1]LISTADO_OTS!N12</f>
        <v>-2.3926944444444445</v>
      </c>
      <c r="U12" t="b">
        <f>[1]LISTADO_OTS!O12</f>
        <v>1</v>
      </c>
      <c r="V12" t="str">
        <f>[1]LISTADO_OTS!J12</f>
        <v>Agurain</v>
      </c>
      <c r="W12">
        <f>[1]LISTADO_OTS!R12</f>
        <v>3</v>
      </c>
      <c r="X12">
        <f>[1]LISTADO_OTS!P12</f>
        <v>0</v>
      </c>
      <c r="Y12">
        <v>1</v>
      </c>
      <c r="Z12">
        <f>[1]LISTADO_OTS!S12</f>
        <v>0</v>
      </c>
    </row>
    <row r="13" spans="1:26" x14ac:dyDescent="0.4">
      <c r="A13">
        <v>12</v>
      </c>
      <c r="B13" t="str">
        <f>[1]LISTADO_OTS!E13</f>
        <v>TP/0007</v>
      </c>
      <c r="C13">
        <f>VLOOKUP([1]LISTADO_OTS!B13,[1]Redes!$C$1:$E$5,3,FALSE)</f>
        <v>3</v>
      </c>
      <c r="D13">
        <f>[1]LISTADO_OTS!C13</f>
        <v>2</v>
      </c>
      <c r="E13">
        <f>[1]LISTADO_OTS!D13</f>
        <v>8</v>
      </c>
      <c r="F13">
        <f>[1]LISTADO_OTS!Q13</f>
        <v>3</v>
      </c>
      <c r="G13">
        <f>[1]LISTADO_OTS!R13</f>
        <v>3</v>
      </c>
      <c r="H13" t="str">
        <f>[1]LISTADO_OTS!H13</f>
        <v>Alta contador en Agurain</v>
      </c>
      <c r="I13" t="str">
        <f>[1]LISTADO_OTS!I13</f>
        <v>Instalación del contador - Alta contador en Agurain</v>
      </c>
      <c r="J13" s="1">
        <f>[1]LISTADO_OTS!F13</f>
        <v>45870</v>
      </c>
      <c r="K13" s="1">
        <f>[1]LISTADO_OTS!G13</f>
        <v>45870</v>
      </c>
      <c r="L13">
        <f>[1]LISTADO_OTS!M13</f>
        <v>42.849944444444446</v>
      </c>
      <c r="M13">
        <f>[1]LISTADO_OTS!N13</f>
        <v>-2.3929722222222223</v>
      </c>
      <c r="U13" t="b">
        <f>[1]LISTADO_OTS!O13</f>
        <v>1</v>
      </c>
      <c r="V13" t="str">
        <f>[1]LISTADO_OTS!J13</f>
        <v>Agurain</v>
      </c>
      <c r="W13">
        <f>[1]LISTADO_OTS!R13</f>
        <v>3</v>
      </c>
      <c r="X13">
        <f>[1]LISTADO_OTS!P13</f>
        <v>0</v>
      </c>
      <c r="Y13">
        <v>1</v>
      </c>
      <c r="Z13">
        <f>[1]LISTADO_OTS!S13</f>
        <v>0</v>
      </c>
    </row>
    <row r="14" spans="1:26" x14ac:dyDescent="0.4">
      <c r="A14">
        <v>13</v>
      </c>
      <c r="B14" t="str">
        <f>[1]LISTADO_OTS!E14</f>
        <v>OT/0097</v>
      </c>
      <c r="C14">
        <f>VLOOKUP([1]LISTADO_OTS!B14,[1]Redes!$C$1:$E$5,3,FALSE)</f>
        <v>3</v>
      </c>
      <c r="D14">
        <f>[1]LISTADO_OTS!C14</f>
        <v>1</v>
      </c>
      <c r="E14">
        <f>[1]LISTADO_OTS!D14</f>
        <v>0</v>
      </c>
      <c r="F14">
        <f>[1]LISTADO_OTS!Q14</f>
        <v>5</v>
      </c>
      <c r="G14">
        <f>[1]LISTADO_OTS!R14</f>
        <v>5</v>
      </c>
      <c r="H14" t="str">
        <f>[1]LISTADO_OTS!H14</f>
        <v>Fuga en Ribabellosa</v>
      </c>
      <c r="I14" t="str">
        <f>[1]LISTADO_OTS!I14</f>
        <v>Fuga en ribabellosa, visita montaña alavesa</v>
      </c>
      <c r="J14" s="1">
        <f>[1]LISTADO_OTS!F14</f>
        <v>45870</v>
      </c>
      <c r="K14" s="1">
        <f>[1]LISTADO_OTS!G14</f>
        <v>45870</v>
      </c>
      <c r="L14">
        <f>[1]LISTADO_OTS!M14</f>
        <v>42.710277777777783</v>
      </c>
      <c r="M14">
        <f>[1]LISTADO_OTS!N14</f>
        <v>-2.9265833333333333</v>
      </c>
      <c r="U14" t="b">
        <f>[1]LISTADO_OTS!O14</f>
        <v>1</v>
      </c>
      <c r="V14" t="str">
        <f>[1]LISTADO_OTS!J14</f>
        <v>Ribabellosa</v>
      </c>
      <c r="W14">
        <f>[1]LISTADO_OTS!R14</f>
        <v>5</v>
      </c>
      <c r="X14">
        <f>[1]LISTADO_OTS!P14</f>
        <v>0</v>
      </c>
      <c r="Y14">
        <v>1</v>
      </c>
      <c r="Z14">
        <f>[1]LISTADO_OTS!S14</f>
        <v>1</v>
      </c>
    </row>
    <row r="15" spans="1:26" x14ac:dyDescent="0.4">
      <c r="A15">
        <v>14</v>
      </c>
      <c r="B15" t="str">
        <f>[1]LISTADO_OTS!E15</f>
        <v>OT/0098</v>
      </c>
      <c r="C15">
        <f>VLOOKUP([1]LISTADO_OTS!B15,[1]Redes!$C$1:$E$5,3,FALSE)</f>
        <v>3</v>
      </c>
      <c r="D15">
        <f>[1]LISTADO_OTS!C15</f>
        <v>1</v>
      </c>
      <c r="E15">
        <f>[1]LISTADO_OTS!D15</f>
        <v>0</v>
      </c>
      <c r="F15">
        <f>[1]LISTADO_OTS!Q15</f>
        <v>1</v>
      </c>
      <c r="G15">
        <f>[1]LISTADO_OTS!R15</f>
        <v>1</v>
      </c>
      <c r="H15" t="str">
        <f>[1]LISTADO_OTS!H15</f>
        <v>Fuga en Larrinbe</v>
      </c>
      <c r="I15" t="str">
        <f>[1]LISTADO_OTS!I15</f>
        <v>Reparación de una fuga en Larrinbe</v>
      </c>
      <c r="J15" s="1">
        <f>[1]LISTADO_OTS!F15</f>
        <v>45871</v>
      </c>
      <c r="K15" s="1">
        <f>[1]LISTADO_OTS!G15</f>
        <v>45871</v>
      </c>
      <c r="L15">
        <f>[1]LISTADO_OTS!M15</f>
        <v>43.045583333333333</v>
      </c>
      <c r="M15">
        <f>[1]LISTADO_OTS!N15</f>
        <v>-2.9768611111111114</v>
      </c>
      <c r="U15" t="b">
        <f>[1]LISTADO_OTS!O15</f>
        <v>1</v>
      </c>
      <c r="V15" t="str">
        <f>[1]LISTADO_OTS!J15</f>
        <v>Larrinbe-Amurrio</v>
      </c>
      <c r="W15">
        <f>[1]LISTADO_OTS!R15</f>
        <v>1</v>
      </c>
      <c r="X15">
        <f>[1]LISTADO_OTS!P15</f>
        <v>0</v>
      </c>
      <c r="Y15">
        <v>1</v>
      </c>
      <c r="Z15">
        <f>[1]LISTADO_OTS!S15</f>
        <v>1</v>
      </c>
    </row>
    <row r="16" spans="1:26" x14ac:dyDescent="0.4">
      <c r="A16">
        <v>15</v>
      </c>
      <c r="B16" t="str">
        <f>[1]LISTADO_OTS!E16</f>
        <v>OT/0099</v>
      </c>
      <c r="C16">
        <f>VLOOKUP([1]LISTADO_OTS!B16,[1]Redes!$C$1:$E$5,3,FALSE)</f>
        <v>3</v>
      </c>
      <c r="D16">
        <f>[1]LISTADO_OTS!C16</f>
        <v>1</v>
      </c>
      <c r="E16">
        <f>[1]LISTADO_OTS!D16</f>
        <v>0</v>
      </c>
      <c r="F16">
        <f>[1]LISTADO_OTS!Q16</f>
        <v>1</v>
      </c>
      <c r="G16">
        <f>[1]LISTADO_OTS!R16</f>
        <v>1</v>
      </c>
      <c r="H16" t="str">
        <f>[1]LISTADO_OTS!H16</f>
        <v>Fuga en Larrinbe</v>
      </c>
      <c r="I16" t="str">
        <f>[1]LISTADO_OTS!I16</f>
        <v>Falso aviso de posible fuga en Larrinbe</v>
      </c>
      <c r="J16" s="1">
        <f>[1]LISTADO_OTS!F16</f>
        <v>45871</v>
      </c>
      <c r="K16" s="1">
        <f>[1]LISTADO_OTS!G16</f>
        <v>45871</v>
      </c>
      <c r="L16">
        <f>[1]LISTADO_OTS!M16</f>
        <v>43.044083333333333</v>
      </c>
      <c r="M16">
        <f>[1]LISTADO_OTS!N16</f>
        <v>-2.9771388888888892</v>
      </c>
      <c r="U16" t="b">
        <f>[1]LISTADO_OTS!O16</f>
        <v>1</v>
      </c>
      <c r="V16" t="str">
        <f>[1]LISTADO_OTS!J16</f>
        <v>Larrinbe-Amurrio</v>
      </c>
      <c r="W16">
        <f>[1]LISTADO_OTS!R16</f>
        <v>1</v>
      </c>
      <c r="X16">
        <f>[1]LISTADO_OTS!P16</f>
        <v>0</v>
      </c>
      <c r="Y16">
        <v>1</v>
      </c>
      <c r="Z16">
        <f>[1]LISTADO_OTS!S16</f>
        <v>1</v>
      </c>
    </row>
    <row r="17" spans="1:26" x14ac:dyDescent="0.4">
      <c r="A17">
        <v>16</v>
      </c>
      <c r="B17" t="str">
        <f>[1]LISTADO_OTS!E17</f>
        <v>OT/0100</v>
      </c>
      <c r="C17">
        <f>VLOOKUP([1]LISTADO_OTS!B17,[1]Redes!$C$1:$E$5,3,FALSE)</f>
        <v>3</v>
      </c>
      <c r="D17">
        <f>[1]LISTADO_OTS!C17</f>
        <v>1</v>
      </c>
      <c r="E17">
        <f>[1]LISTADO_OTS!D17</f>
        <v>0</v>
      </c>
      <c r="F17">
        <f>[1]LISTADO_OTS!Q17</f>
        <v>1</v>
      </c>
      <c r="G17">
        <f>[1]LISTADO_OTS!R17</f>
        <v>1</v>
      </c>
      <c r="H17" t="str">
        <f>[1]LISTADO_OTS!H17</f>
        <v>Aviso de fuga de acometida en Llodio</v>
      </c>
      <c r="I17" t="str">
        <f>[1]LISTADO_OTS!I17</f>
        <v>Aviso de fuga en acometida en edificios en construcción</v>
      </c>
      <c r="J17" s="1">
        <f>[1]LISTADO_OTS!F17</f>
        <v>45872</v>
      </c>
      <c r="K17" s="1">
        <f>[1]LISTADO_OTS!G17</f>
        <v>45872</v>
      </c>
      <c r="L17">
        <f>[1]LISTADO_OTS!M17</f>
        <v>43.140250000000002</v>
      </c>
      <c r="M17">
        <f>[1]LISTADO_OTS!N17</f>
        <v>-2.96075</v>
      </c>
      <c r="U17" t="b">
        <f>[1]LISTADO_OTS!O17</f>
        <v>1</v>
      </c>
      <c r="V17" t="str">
        <f>[1]LISTADO_OTS!J17</f>
        <v>Llodio</v>
      </c>
      <c r="W17">
        <f>[1]LISTADO_OTS!R17</f>
        <v>1</v>
      </c>
      <c r="X17">
        <f>[1]LISTADO_OTS!P17</f>
        <v>0</v>
      </c>
      <c r="Y17">
        <v>1</v>
      </c>
      <c r="Z17">
        <f>[1]LISTADO_OTS!S17</f>
        <v>1</v>
      </c>
    </row>
    <row r="18" spans="1:26" x14ac:dyDescent="0.4">
      <c r="A18">
        <v>17</v>
      </c>
      <c r="B18" t="str">
        <f>[1]LISTADO_OTS!E18</f>
        <v>OT/0101</v>
      </c>
      <c r="C18">
        <f>VLOOKUP([1]LISTADO_OTS!B18,[1]Redes!$C$1:$E$5,3,FALSE)</f>
        <v>5</v>
      </c>
      <c r="D18">
        <f>[1]LISTADO_OTS!C18</f>
        <v>1</v>
      </c>
      <c r="E18">
        <f>[1]LISTADO_OTS!D18</f>
        <v>0</v>
      </c>
      <c r="F18">
        <f>[1]LISTADO_OTS!Q18</f>
        <v>5</v>
      </c>
      <c r="G18">
        <f>[1]LISTADO_OTS!R18</f>
        <v>41</v>
      </c>
      <c r="H18" t="str">
        <f>[1]LISTADO_OTS!H18</f>
        <v>Atasco en Anucita</v>
      </c>
      <c r="I18" t="str">
        <f>[1]LISTADO_OTS!I18</f>
        <v>Atasco en Anucita en dos días 03/08-04/08</v>
      </c>
      <c r="J18" s="1">
        <f>[1]LISTADO_OTS!F18</f>
        <v>45872</v>
      </c>
      <c r="K18" s="1">
        <f>[1]LISTADO_OTS!G18</f>
        <v>45872</v>
      </c>
      <c r="L18">
        <f>[1]LISTADO_OTS!M18</f>
        <v>42.801444444444442</v>
      </c>
      <c r="M18">
        <f>[1]LISTADO_OTS!N18</f>
        <v>-2.8943611111111109</v>
      </c>
      <c r="U18" t="b">
        <f>[1]LISTADO_OTS!O18</f>
        <v>1</v>
      </c>
      <c r="V18" t="str">
        <f>[1]LISTADO_OTS!J18</f>
        <v>Anucita</v>
      </c>
      <c r="W18">
        <f>[1]LISTADO_OTS!R18</f>
        <v>41</v>
      </c>
      <c r="X18">
        <f>[1]LISTADO_OTS!P18</f>
        <v>0</v>
      </c>
      <c r="Y18">
        <v>1</v>
      </c>
      <c r="Z18">
        <f>[1]LISTADO_OTS!S18</f>
        <v>2</v>
      </c>
    </row>
    <row r="19" spans="1:26" x14ac:dyDescent="0.4">
      <c r="A19">
        <v>18</v>
      </c>
      <c r="B19" t="str">
        <f>[1]LISTADO_OTS!E19</f>
        <v>OT/0102</v>
      </c>
      <c r="C19">
        <f>VLOOKUP([1]LISTADO_OTS!B19,[1]Redes!$C$1:$E$5,3,FALSE)</f>
        <v>3</v>
      </c>
      <c r="D19">
        <f>[1]LISTADO_OTS!C19</f>
        <v>1</v>
      </c>
      <c r="E19">
        <f>[1]LISTADO_OTS!D19</f>
        <v>0</v>
      </c>
      <c r="F19">
        <f>[1]LISTADO_OTS!Q19</f>
        <v>3</v>
      </c>
      <c r="G19">
        <f>[1]LISTADO_OTS!R19</f>
        <v>3</v>
      </c>
      <c r="H19" t="str">
        <f>[1]LISTADO_OTS!H19</f>
        <v>Búsqueda de fuga en Agurain</v>
      </c>
      <c r="I19" t="str">
        <f>[1]LISTADO_OTS!I19</f>
        <v>Búsqueda de fuga en Agurain</v>
      </c>
      <c r="J19" s="1">
        <f>[1]LISTADO_OTS!F19</f>
        <v>45873</v>
      </c>
      <c r="K19" s="1">
        <f>[1]LISTADO_OTS!G19</f>
        <v>45873</v>
      </c>
      <c r="L19">
        <f>[1]LISTADO_OTS!M19</f>
        <v>42.851638888888893</v>
      </c>
      <c r="M19">
        <f>[1]LISTADO_OTS!N19</f>
        <v>-2.3946388888888888</v>
      </c>
      <c r="U19" t="b">
        <f>[1]LISTADO_OTS!O19</f>
        <v>1</v>
      </c>
      <c r="V19" t="str">
        <f>[1]LISTADO_OTS!J19</f>
        <v>Agurain</v>
      </c>
      <c r="W19">
        <f>[1]LISTADO_OTS!R19</f>
        <v>3</v>
      </c>
      <c r="X19">
        <f>[1]LISTADO_OTS!P19</f>
        <v>0</v>
      </c>
      <c r="Y19">
        <v>1</v>
      </c>
      <c r="Z19">
        <f>[1]LISTADO_OTS!S19</f>
        <v>1</v>
      </c>
    </row>
    <row r="20" spans="1:26" x14ac:dyDescent="0.4">
      <c r="A20">
        <v>19</v>
      </c>
      <c r="B20" t="str">
        <f>[1]LISTADO_OTS!E20</f>
        <v>OT/0103</v>
      </c>
      <c r="C20">
        <f>VLOOKUP([1]LISTADO_OTS!B20,[1]Redes!$C$1:$E$5,3,FALSE)</f>
        <v>1</v>
      </c>
      <c r="D20">
        <f>[1]LISTADO_OTS!C20</f>
        <v>1</v>
      </c>
      <c r="E20">
        <f>[1]LISTADO_OTS!D20</f>
        <v>0</v>
      </c>
      <c r="F20">
        <f>[1]LISTADO_OTS!Q20</f>
        <v>1</v>
      </c>
      <c r="G20">
        <f>[1]LISTADO_OTS!R20</f>
        <v>1</v>
      </c>
      <c r="H20" t="str">
        <f>[1]LISTADO_OTS!H20</f>
        <v>Reparación fuga en Sojoguti</v>
      </c>
      <c r="I20" t="str">
        <f>[1]LISTADO_OTS!I20</f>
        <v>Reparación fuga en Sojoguti</v>
      </c>
      <c r="J20" s="1">
        <f>[1]LISTADO_OTS!F20</f>
        <v>45873</v>
      </c>
      <c r="K20" s="1">
        <f>[1]LISTADO_OTS!G20</f>
        <v>45873</v>
      </c>
      <c r="L20">
        <f>[1]LISTADO_OTS!M20</f>
        <v>43.111861111111111</v>
      </c>
      <c r="M20">
        <f>[1]LISTADO_OTS!N20</f>
        <v>-3.12825</v>
      </c>
      <c r="U20" t="b">
        <f>[1]LISTADO_OTS!O20</f>
        <v>1</v>
      </c>
      <c r="V20" t="str">
        <f>[1]LISTADO_OTS!J20</f>
        <v>Sojoguti/Artzeniaga</v>
      </c>
      <c r="W20">
        <f>[1]LISTADO_OTS!R20</f>
        <v>1</v>
      </c>
      <c r="X20">
        <f>[1]LISTADO_OTS!P20</f>
        <v>0</v>
      </c>
      <c r="Y20">
        <v>1</v>
      </c>
      <c r="Z20">
        <f>[1]LISTADO_OTS!S20</f>
        <v>1</v>
      </c>
    </row>
    <row r="21" spans="1:26" x14ac:dyDescent="0.4">
      <c r="A21">
        <v>20</v>
      </c>
      <c r="B21" t="str">
        <f>[1]LISTADO_OTS!E21</f>
        <v>OT/0104</v>
      </c>
      <c r="C21">
        <f>VLOOKUP([1]LISTADO_OTS!B21,[1]Redes!$C$1:$E$5,3,FALSE)</f>
        <v>5</v>
      </c>
      <c r="D21">
        <f>[1]LISTADO_OTS!C21</f>
        <v>1</v>
      </c>
      <c r="E21">
        <f>[1]LISTADO_OTS!D21</f>
        <v>0</v>
      </c>
      <c r="F21">
        <f>[1]LISTADO_OTS!Q21</f>
        <v>5</v>
      </c>
      <c r="G21">
        <f>[1]LISTADO_OTS!R21</f>
        <v>41</v>
      </c>
      <c r="H21" t="str">
        <f>[1]LISTADO_OTS!H21</f>
        <v>Desatasco en Anuncita</v>
      </c>
      <c r="I21" t="str">
        <f>[1]LISTADO_OTS!I21</f>
        <v>Desatasco</v>
      </c>
      <c r="J21" s="1">
        <f>[1]LISTADO_OTS!F21</f>
        <v>45873</v>
      </c>
      <c r="K21" s="1">
        <f>[1]LISTADO_OTS!G21</f>
        <v>45873</v>
      </c>
      <c r="L21">
        <f>[1]LISTADO_OTS!M21</f>
        <v>42.801305555555551</v>
      </c>
      <c r="M21">
        <f>[1]LISTADO_OTS!N21</f>
        <v>-2.8951944444444444</v>
      </c>
      <c r="U21" t="b">
        <f>[1]LISTADO_OTS!O21</f>
        <v>1</v>
      </c>
      <c r="V21" t="str">
        <f>[1]LISTADO_OTS!J21</f>
        <v>Anucita</v>
      </c>
      <c r="W21">
        <f>[1]LISTADO_OTS!R21</f>
        <v>41</v>
      </c>
      <c r="X21">
        <f>[1]LISTADO_OTS!P21</f>
        <v>0</v>
      </c>
      <c r="Y21">
        <v>1</v>
      </c>
      <c r="Z21">
        <f>[1]LISTADO_OTS!S21</f>
        <v>2</v>
      </c>
    </row>
    <row r="22" spans="1:26" x14ac:dyDescent="0.4">
      <c r="A22">
        <v>21</v>
      </c>
      <c r="B22" t="str">
        <f>[1]LISTADO_OTS!E22</f>
        <v>OT/0105</v>
      </c>
      <c r="C22">
        <f>VLOOKUP([1]LISTADO_OTS!B22,[1]Redes!$C$1:$E$5,3,FALSE)</f>
        <v>3</v>
      </c>
      <c r="D22">
        <f>[1]LISTADO_OTS!C22</f>
        <v>1</v>
      </c>
      <c r="E22">
        <f>[1]LISTADO_OTS!D22</f>
        <v>0</v>
      </c>
      <c r="F22">
        <f>[1]LISTADO_OTS!Q22</f>
        <v>1</v>
      </c>
      <c r="G22">
        <f>[1]LISTADO_OTS!R22</f>
        <v>1</v>
      </c>
      <c r="H22" t="str">
        <f>[1]LISTADO_OTS!H22</f>
        <v>Reparación de fuga en Respaldiza</v>
      </c>
      <c r="I22" t="str">
        <f>[1]LISTADO_OTS!I22</f>
        <v>Reparación de una fuga en Respaldiza,esquina abajo desde el 04/08/2025 hasta el 13/08/2025</v>
      </c>
      <c r="J22" s="1">
        <f>[1]LISTADO_OTS!F22</f>
        <v>45873</v>
      </c>
      <c r="K22" s="1">
        <f>[1]LISTADO_OTS!G22</f>
        <v>45873</v>
      </c>
      <c r="L22">
        <f>[1]LISTADO_OTS!M22</f>
        <v>43.087583333333335</v>
      </c>
      <c r="M22">
        <f>[1]LISTADO_OTS!N22</f>
        <v>-3.0454722222222221</v>
      </c>
      <c r="U22" t="b">
        <f>[1]LISTADO_OTS!O22</f>
        <v>1</v>
      </c>
      <c r="V22" t="str">
        <f>[1]LISTADO_OTS!J22</f>
        <v>Esquina Abajo/Respaldiza</v>
      </c>
      <c r="W22">
        <f>[1]LISTADO_OTS!R22</f>
        <v>1</v>
      </c>
      <c r="X22">
        <f>[1]LISTADO_OTS!P22</f>
        <v>0</v>
      </c>
      <c r="Y22">
        <v>1</v>
      </c>
      <c r="Z22">
        <f>[1]LISTADO_OTS!S22</f>
        <v>1</v>
      </c>
    </row>
    <row r="23" spans="1:26" x14ac:dyDescent="0.4">
      <c r="A23">
        <v>22</v>
      </c>
      <c r="B23" t="str">
        <f>[1]LISTADO_OTS!E23</f>
        <v>TP/0008</v>
      </c>
      <c r="C23">
        <f>VLOOKUP([1]LISTADO_OTS!B23,[1]Redes!$C$1:$E$5,3,FALSE)</f>
        <v>5</v>
      </c>
      <c r="D23">
        <f>[1]LISTADO_OTS!C23</f>
        <v>2</v>
      </c>
      <c r="E23">
        <f>[1]LISTADO_OTS!D23</f>
        <v>1</v>
      </c>
      <c r="F23">
        <f>[1]LISTADO_OTS!Q23</f>
        <v>1</v>
      </c>
      <c r="G23">
        <f>[1]LISTADO_OTS!R23</f>
        <v>1</v>
      </c>
      <c r="H23" t="str">
        <f>[1]LISTADO_OTS!H23</f>
        <v>Ejecución de arqueta en Amurrio</v>
      </c>
      <c r="I23" t="str">
        <f>[1]LISTADO_OTS!I23</f>
        <v>Ejecución de arqueta en Amurrio, en el barrio San Roque</v>
      </c>
      <c r="J23" s="1">
        <f>[1]LISTADO_OTS!F23</f>
        <v>45870</v>
      </c>
      <c r="K23" s="1">
        <f>[1]LISTADO_OTS!G23</f>
        <v>45870</v>
      </c>
      <c r="L23">
        <f>[1]LISTADO_OTS!M23</f>
        <v>43.068944444444448</v>
      </c>
      <c r="M23">
        <f>[1]LISTADO_OTS!N23</f>
        <v>-2.9957500000000001</v>
      </c>
      <c r="U23" t="b">
        <f>[1]LISTADO_OTS!O23</f>
        <v>1</v>
      </c>
      <c r="V23" t="str">
        <f>[1]LISTADO_OTS!J23</f>
        <v>Barrio San Roque</v>
      </c>
      <c r="W23">
        <f>[1]LISTADO_OTS!R23</f>
        <v>1</v>
      </c>
      <c r="X23">
        <f>[1]LISTADO_OTS!P23</f>
        <v>0</v>
      </c>
      <c r="Y23">
        <v>1</v>
      </c>
      <c r="Z23">
        <f>[1]LISTADO_OTS!S23</f>
        <v>0</v>
      </c>
    </row>
    <row r="24" spans="1:26" x14ac:dyDescent="0.4">
      <c r="A24">
        <v>23</v>
      </c>
      <c r="B24" t="str">
        <f>[1]LISTADO_OTS!E24</f>
        <v>OT/0106</v>
      </c>
      <c r="C24">
        <f>VLOOKUP([1]LISTADO_OTS!B24,[1]Redes!$C$1:$E$5,3,FALSE)</f>
        <v>3</v>
      </c>
      <c r="D24">
        <f>[1]LISTADO_OTS!C24</f>
        <v>1</v>
      </c>
      <c r="E24">
        <f>[1]LISTADO_OTS!D24</f>
        <v>0</v>
      </c>
      <c r="F24">
        <f>[1]LISTADO_OTS!Q24</f>
        <v>1</v>
      </c>
      <c r="G24">
        <f>[1]LISTADO_OTS!R24</f>
        <v>1</v>
      </c>
      <c r="H24" t="str">
        <f>[1]LISTADO_OTS!H24</f>
        <v>Reparación de fuga en Larrinbe</v>
      </c>
      <c r="I24" t="str">
        <f>[1]LISTADO_OTS!I24</f>
        <v>Reparación de fuga en Larrinbe</v>
      </c>
      <c r="J24" s="1">
        <f>[1]LISTADO_OTS!F24</f>
        <v>45873</v>
      </c>
      <c r="K24" s="1">
        <f>[1]LISTADO_OTS!G24</f>
        <v>45873</v>
      </c>
      <c r="L24">
        <f>[1]LISTADO_OTS!M24</f>
        <v>43.037833333333332</v>
      </c>
      <c r="M24">
        <f>[1]LISTADO_OTS!N24</f>
        <v>-2.9793611111111113</v>
      </c>
      <c r="U24" t="b">
        <f>[1]LISTADO_OTS!O24</f>
        <v>1</v>
      </c>
      <c r="V24" t="str">
        <f>[1]LISTADO_OTS!J24</f>
        <v>Larrinbe-Amurrio</v>
      </c>
      <c r="W24">
        <f>[1]LISTADO_OTS!R24</f>
        <v>1</v>
      </c>
      <c r="X24">
        <f>[1]LISTADO_OTS!P24</f>
        <v>0</v>
      </c>
      <c r="Y24">
        <v>1</v>
      </c>
      <c r="Z24">
        <f>[1]LISTADO_OTS!S24</f>
        <v>1</v>
      </c>
    </row>
    <row r="25" spans="1:26" x14ac:dyDescent="0.4">
      <c r="A25">
        <v>24</v>
      </c>
      <c r="B25" t="str">
        <f>[1]LISTADO_OTS!E25</f>
        <v>TP/0009</v>
      </c>
      <c r="C25">
        <f>VLOOKUP([1]LISTADO_OTS!B25,[1]Redes!$C$1:$E$5,3,FALSE)</f>
        <v>3</v>
      </c>
      <c r="D25">
        <f>[1]LISTADO_OTS!C25</f>
        <v>2</v>
      </c>
      <c r="E25">
        <f>[1]LISTADO_OTS!D25</f>
        <v>8</v>
      </c>
      <c r="F25">
        <f>[1]LISTADO_OTS!Q25</f>
        <v>3</v>
      </c>
      <c r="G25">
        <f>[1]LISTADO_OTS!R25</f>
        <v>3</v>
      </c>
      <c r="H25" t="str">
        <f>[1]LISTADO_OTS!H25</f>
        <v>Instalación de contador - Alta contador en Argomaniz</v>
      </c>
      <c r="I25" t="str">
        <f>[1]LISTADO_OTS!I25</f>
        <v>Instalación de contador - Alta contador en Argomaniz</v>
      </c>
      <c r="J25" s="1">
        <f>[1]LISTADO_OTS!F25</f>
        <v>45873</v>
      </c>
      <c r="K25" s="1">
        <f>[1]LISTADO_OTS!G25</f>
        <v>45873</v>
      </c>
      <c r="L25">
        <f>[1]LISTADO_OTS!M25</f>
        <v>42.867583333333336</v>
      </c>
      <c r="M25">
        <f>[1]LISTADO_OTS!N25</f>
        <v>-2.5463055555555556</v>
      </c>
      <c r="U25" t="b">
        <f>[1]LISTADO_OTS!O25</f>
        <v>1</v>
      </c>
      <c r="V25" t="str">
        <f>[1]LISTADO_OTS!J25</f>
        <v>Argomaniz</v>
      </c>
      <c r="W25">
        <f>[1]LISTADO_OTS!R25</f>
        <v>3</v>
      </c>
      <c r="X25">
        <f>[1]LISTADO_OTS!P25</f>
        <v>0</v>
      </c>
      <c r="Y25">
        <v>1</v>
      </c>
      <c r="Z25">
        <f>[1]LISTADO_OTS!S25</f>
        <v>0</v>
      </c>
    </row>
    <row r="26" spans="1:26" x14ac:dyDescent="0.4">
      <c r="A26">
        <v>25</v>
      </c>
      <c r="B26" t="str">
        <f>[1]LISTADO_OTS!E26</f>
        <v>TP/0010</v>
      </c>
      <c r="C26">
        <f>VLOOKUP([1]LISTADO_OTS!B26,[1]Redes!$C$1:$E$5,3,FALSE)</f>
        <v>3</v>
      </c>
      <c r="D26">
        <f>[1]LISTADO_OTS!C26</f>
        <v>2</v>
      </c>
      <c r="E26">
        <f>[1]LISTADO_OTS!D26</f>
        <v>10</v>
      </c>
      <c r="F26">
        <f>[1]LISTADO_OTS!Q26</f>
        <v>6</v>
      </c>
      <c r="G26">
        <f>[1]LISTADO_OTS!R26</f>
        <v>6</v>
      </c>
      <c r="H26" t="str">
        <f>[1]LISTADO_OTS!H26</f>
        <v>Cambio de contador en Sabanto</v>
      </c>
      <c r="I26" t="str">
        <f>[1]LISTADO_OTS!I26</f>
        <v>Instalacion de contador, cambio de contador</v>
      </c>
      <c r="J26" s="1">
        <f>[1]LISTADO_OTS!F26</f>
        <v>45873</v>
      </c>
      <c r="K26" s="1">
        <f>[1]LISTADO_OTS!G26</f>
        <v>45873</v>
      </c>
      <c r="L26">
        <f>[1]LISTADO_OTS!M26</f>
        <v>42.749138888888886</v>
      </c>
      <c r="M26">
        <f>[1]LISTADO_OTS!N26</f>
        <v>-2.4132500000000001</v>
      </c>
      <c r="U26" t="b">
        <f>[1]LISTADO_OTS!O26</f>
        <v>1</v>
      </c>
      <c r="V26" t="str">
        <f>[1]LISTADO_OTS!J26</f>
        <v>Sabando</v>
      </c>
      <c r="W26">
        <f>[1]LISTADO_OTS!R26</f>
        <v>6</v>
      </c>
      <c r="X26">
        <f>[1]LISTADO_OTS!P26</f>
        <v>0</v>
      </c>
      <c r="Y26">
        <v>1</v>
      </c>
      <c r="Z26">
        <f>[1]LISTADO_OTS!S26</f>
        <v>0</v>
      </c>
    </row>
    <row r="27" spans="1:26" x14ac:dyDescent="0.4">
      <c r="A27">
        <v>26</v>
      </c>
      <c r="B27" t="str">
        <f>[1]LISTADO_OTS!E27</f>
        <v>TP/0011</v>
      </c>
      <c r="C27">
        <f>VLOOKUP([1]LISTADO_OTS!B27,[1]Redes!$C$1:$E$5,3,FALSE)</f>
        <v>3</v>
      </c>
      <c r="D27">
        <f>[1]LISTADO_OTS!C27</f>
        <v>2</v>
      </c>
      <c r="E27">
        <f>[1]LISTADO_OTS!D27</f>
        <v>8</v>
      </c>
      <c r="F27">
        <f>[1]LISTADO_OTS!Q27</f>
        <v>1</v>
      </c>
      <c r="G27">
        <f>[1]LISTADO_OTS!R27</f>
        <v>1</v>
      </c>
      <c r="H27" t="str">
        <f>[1]LISTADO_OTS!H27</f>
        <v>Alta contador en Amurrio</v>
      </c>
      <c r="I27" t="str">
        <f>[1]LISTADO_OTS!I27</f>
        <v>Alta del contador, instalación de contadores</v>
      </c>
      <c r="J27" s="1">
        <f>[1]LISTADO_OTS!F27</f>
        <v>45873</v>
      </c>
      <c r="K27" s="1">
        <f>[1]LISTADO_OTS!G27</f>
        <v>45873</v>
      </c>
      <c r="L27">
        <f>[1]LISTADO_OTS!M27</f>
        <v>43.053305555555553</v>
      </c>
      <c r="M27">
        <f>[1]LISTADO_OTS!N27</f>
        <v>-3.0135277777777776</v>
      </c>
      <c r="U27" t="b">
        <f>[1]LISTADO_OTS!O27</f>
        <v>1</v>
      </c>
      <c r="V27" t="str">
        <f>[1]LISTADO_OTS!J27</f>
        <v>Amurrio</v>
      </c>
      <c r="W27">
        <f>[1]LISTADO_OTS!R27</f>
        <v>1</v>
      </c>
      <c r="X27">
        <f>[1]LISTADO_OTS!P27</f>
        <v>0</v>
      </c>
      <c r="Y27">
        <v>1</v>
      </c>
      <c r="Z27">
        <f>[1]LISTADO_OTS!S27</f>
        <v>0</v>
      </c>
    </row>
    <row r="28" spans="1:26" x14ac:dyDescent="0.4">
      <c r="A28">
        <v>27</v>
      </c>
      <c r="B28" t="str">
        <f>[1]LISTADO_OTS!E28</f>
        <v>TP/0012</v>
      </c>
      <c r="C28">
        <f>VLOOKUP([1]LISTADO_OTS!B28,[1]Redes!$C$1:$E$5,3,FALSE)</f>
        <v>3</v>
      </c>
      <c r="D28">
        <f>[1]LISTADO_OTS!C28</f>
        <v>2</v>
      </c>
      <c r="E28">
        <f>[1]LISTADO_OTS!D28</f>
        <v>8</v>
      </c>
      <c r="F28">
        <f>[1]LISTADO_OTS!Q28</f>
        <v>1</v>
      </c>
      <c r="G28">
        <f>[1]LISTADO_OTS!R28</f>
        <v>1</v>
      </c>
      <c r="H28" t="str">
        <f>[1]LISTADO_OTS!H28</f>
        <v>Instalación de contadores en Amurrio</v>
      </c>
      <c r="I28" t="str">
        <f>[1]LISTADO_OTS!I28</f>
        <v>Colocar contador en Caravanas - Barracas (Amurrio)</v>
      </c>
      <c r="J28" s="1">
        <f>[1]LISTADO_OTS!F28</f>
        <v>45873</v>
      </c>
      <c r="K28" s="1">
        <f>[1]LISTADO_OTS!G28</f>
        <v>45873</v>
      </c>
      <c r="L28">
        <f>[1]LISTADO_OTS!M28</f>
        <v>43.049527777777776</v>
      </c>
      <c r="M28">
        <f>[1]LISTADO_OTS!N28</f>
        <v>-3.0138055555555554</v>
      </c>
      <c r="U28" t="b">
        <f>[1]LISTADO_OTS!O28</f>
        <v>1</v>
      </c>
      <c r="V28" t="str">
        <f>[1]LISTADO_OTS!J28</f>
        <v>Amurrio</v>
      </c>
      <c r="W28">
        <f>[1]LISTADO_OTS!R28</f>
        <v>1</v>
      </c>
      <c r="X28">
        <f>[1]LISTADO_OTS!P28</f>
        <v>0</v>
      </c>
      <c r="Y28">
        <v>1</v>
      </c>
      <c r="Z28">
        <f>[1]LISTADO_OTS!S28</f>
        <v>0</v>
      </c>
    </row>
    <row r="29" spans="1:26" x14ac:dyDescent="0.4">
      <c r="A29">
        <v>28</v>
      </c>
      <c r="B29" t="str">
        <f>[1]LISTADO_OTS!E29</f>
        <v>OT/0107</v>
      </c>
      <c r="C29">
        <f>VLOOKUP([1]LISTADO_OTS!B29,[1]Redes!$C$1:$E$5,3,FALSE)</f>
        <v>3</v>
      </c>
      <c r="D29">
        <f>[1]LISTADO_OTS!C29</f>
        <v>1</v>
      </c>
      <c r="E29">
        <f>[1]LISTADO_OTS!D29</f>
        <v>0</v>
      </c>
      <c r="F29">
        <f>[1]LISTADO_OTS!Q29</f>
        <v>5</v>
      </c>
      <c r="G29">
        <f>[1]LISTADO_OTS!R29</f>
        <v>5</v>
      </c>
      <c r="H29" t="str">
        <f>[1]LISTADO_OTS!H29</f>
        <v>Reparación de fuga Calle Iturbide en Ribabellosa</v>
      </c>
      <c r="I29" t="str">
        <f>[1]LISTADO_OTS!I29</f>
        <v>Localización, reparación de fuga. Creación de avisos. Asfaltado.</v>
      </c>
      <c r="J29" s="1">
        <f>[1]LISTADO_OTS!F29</f>
        <v>45873</v>
      </c>
      <c r="K29" s="1">
        <f>[1]LISTADO_OTS!G29</f>
        <v>45873</v>
      </c>
      <c r="L29">
        <f>[1]LISTADO_OTS!M29</f>
        <v>42.711000000000006</v>
      </c>
      <c r="M29">
        <f>[1]LISTADO_OTS!N29</f>
        <v>-2.9307499999999997</v>
      </c>
      <c r="U29" t="b">
        <f>[1]LISTADO_OTS!O29</f>
        <v>1</v>
      </c>
      <c r="V29" t="str">
        <f>[1]LISTADO_OTS!J29</f>
        <v>Ribabellosa</v>
      </c>
      <c r="W29">
        <f>[1]LISTADO_OTS!R29</f>
        <v>5</v>
      </c>
      <c r="X29">
        <f>[1]LISTADO_OTS!P29</f>
        <v>0</v>
      </c>
      <c r="Y29">
        <v>1</v>
      </c>
      <c r="Z29">
        <f>[1]LISTADO_OTS!S29</f>
        <v>1</v>
      </c>
    </row>
    <row r="30" spans="1:26" x14ac:dyDescent="0.4">
      <c r="A30">
        <v>29</v>
      </c>
      <c r="B30" t="str">
        <f>[1]LISTADO_OTS!E30</f>
        <v>OT/0108</v>
      </c>
      <c r="C30">
        <f>VLOOKUP([1]LISTADO_OTS!B30,[1]Redes!$C$1:$E$5,3,FALSE)</f>
        <v>3</v>
      </c>
      <c r="D30">
        <f>[1]LISTADO_OTS!C30</f>
        <v>1</v>
      </c>
      <c r="E30">
        <f>[1]LISTADO_OTS!D30</f>
        <v>0</v>
      </c>
      <c r="F30">
        <f>[1]LISTADO_OTS!Q30</f>
        <v>5</v>
      </c>
      <c r="G30">
        <f>[1]LISTADO_OTS!R30</f>
        <v>5</v>
      </c>
      <c r="H30" t="str">
        <f>[1]LISTADO_OTS!H30</f>
        <v>Búsqueda y reparación de fuga Calle Gazarriza en Ribabellosa</v>
      </c>
      <c r="I30" t="str">
        <f>[1]LISTADO_OTS!I30</f>
        <v>Búsqueda y reparación de fuga en Ribabellosa</v>
      </c>
      <c r="J30" s="1">
        <f>[1]LISTADO_OTS!F30</f>
        <v>45874</v>
      </c>
      <c r="K30" s="1">
        <f>[1]LISTADO_OTS!G30</f>
        <v>45874</v>
      </c>
      <c r="L30">
        <f>[1]LISTADO_OTS!M30</f>
        <v>42.710388888888893</v>
      </c>
      <c r="M30">
        <f>[1]LISTADO_OTS!N30</f>
        <v>-2.9310277777777776</v>
      </c>
      <c r="U30" t="b">
        <f>[1]LISTADO_OTS!O30</f>
        <v>1</v>
      </c>
      <c r="V30" t="str">
        <f>[1]LISTADO_OTS!J30</f>
        <v>Ribabellosa</v>
      </c>
      <c r="W30">
        <f>[1]LISTADO_OTS!R30</f>
        <v>5</v>
      </c>
      <c r="X30">
        <f>[1]LISTADO_OTS!P30</f>
        <v>0</v>
      </c>
      <c r="Y30">
        <v>1</v>
      </c>
      <c r="Z30">
        <f>[1]LISTADO_OTS!S30</f>
        <v>1</v>
      </c>
    </row>
    <row r="31" spans="1:26" x14ac:dyDescent="0.4">
      <c r="A31">
        <v>30</v>
      </c>
      <c r="B31" t="str">
        <f>[1]LISTADO_OTS!E31</f>
        <v>OT/0109</v>
      </c>
      <c r="C31">
        <f>VLOOKUP([1]LISTADO_OTS!B31,[1]Redes!$C$1:$E$5,3,FALSE)</f>
        <v>3</v>
      </c>
      <c r="D31">
        <f>[1]LISTADO_OTS!C31</f>
        <v>1</v>
      </c>
      <c r="E31">
        <f>[1]LISTADO_OTS!D31</f>
        <v>0</v>
      </c>
      <c r="F31">
        <f>[1]LISTADO_OTS!Q31</f>
        <v>1</v>
      </c>
      <c r="G31">
        <f>[1]LISTADO_OTS!R31</f>
        <v>1</v>
      </c>
      <c r="H31" t="str">
        <f>[1]LISTADO_OTS!H31</f>
        <v>Reparación de fuga en Erbi</v>
      </c>
      <c r="I31" t="str">
        <f>[1]LISTADO_OTS!I31</f>
        <v>Reparación de fuga en Erbi</v>
      </c>
      <c r="J31" s="1">
        <f>[1]LISTADO_OTS!F31</f>
        <v>45874</v>
      </c>
      <c r="K31" s="1">
        <f>[1]LISTADO_OTS!G31</f>
        <v>45874</v>
      </c>
      <c r="L31">
        <f>[1]LISTADO_OTS!M31</f>
        <v>43.075055555555558</v>
      </c>
      <c r="M31">
        <f>[1]LISTADO_OTS!N31</f>
        <v>-3.114638888888889</v>
      </c>
      <c r="U31" t="b">
        <f>[1]LISTADO_OTS!O31</f>
        <v>1</v>
      </c>
      <c r="V31" t="str">
        <f>[1]LISTADO_OTS!J31</f>
        <v>Erbi</v>
      </c>
      <c r="W31">
        <f>[1]LISTADO_OTS!R31</f>
        <v>1</v>
      </c>
      <c r="X31">
        <f>[1]LISTADO_OTS!P31</f>
        <v>0</v>
      </c>
      <c r="Y31">
        <v>1</v>
      </c>
      <c r="Z31">
        <f>[1]LISTADO_OTS!S31</f>
        <v>1</v>
      </c>
    </row>
    <row r="32" spans="1:26" x14ac:dyDescent="0.4">
      <c r="A32">
        <v>31</v>
      </c>
      <c r="B32" t="str">
        <f>[1]LISTADO_OTS!E32</f>
        <v>TP/0013</v>
      </c>
      <c r="C32">
        <f>VLOOKUP([1]LISTADO_OTS!B32,[1]Redes!$C$1:$E$5,3,FALSE)</f>
        <v>5</v>
      </c>
      <c r="D32">
        <f>[1]LISTADO_OTS!C32</f>
        <v>2</v>
      </c>
      <c r="E32">
        <f>[1]LISTADO_OTS!D32</f>
        <v>1</v>
      </c>
      <c r="F32">
        <f>[1]LISTADO_OTS!Q32</f>
        <v>6</v>
      </c>
      <c r="G32">
        <f>[1]LISTADO_OTS!R32</f>
        <v>46</v>
      </c>
      <c r="H32" t="str">
        <f>[1]LISTADO_OTS!H32</f>
        <v>Búsqueda tubo de saneamiento en Maeztu</v>
      </c>
      <c r="I32" t="str">
        <f>[1]LISTADO_OTS!I32</f>
        <v>Se ha abierto una cata en busca del tubo de saneamiento</v>
      </c>
      <c r="J32" s="1">
        <f>[1]LISTADO_OTS!F32</f>
        <v>45874</v>
      </c>
      <c r="K32" s="1">
        <f>[1]LISTADO_OTS!G32</f>
        <v>45874</v>
      </c>
      <c r="L32">
        <f>[1]LISTADO_OTS!M32</f>
        <v>42.739000000000004</v>
      </c>
      <c r="M32">
        <f>[1]LISTADO_OTS!N32</f>
        <v>-2.4482500000000003</v>
      </c>
      <c r="U32" t="b">
        <f>[1]LISTADO_OTS!O32</f>
        <v>1</v>
      </c>
      <c r="V32" t="str">
        <f>[1]LISTADO_OTS!J32</f>
        <v>Maeztu</v>
      </c>
      <c r="W32">
        <f>[1]LISTADO_OTS!R32</f>
        <v>46</v>
      </c>
      <c r="X32">
        <f>[1]LISTADO_OTS!P32</f>
        <v>0</v>
      </c>
      <c r="Y32">
        <v>1</v>
      </c>
      <c r="Z32">
        <f>[1]LISTADO_OTS!S32</f>
        <v>0</v>
      </c>
    </row>
    <row r="33" spans="1:26" x14ac:dyDescent="0.4">
      <c r="A33">
        <v>32</v>
      </c>
      <c r="B33" t="str">
        <f>[1]LISTADO_OTS!E33</f>
        <v>OT/0110</v>
      </c>
      <c r="C33">
        <f>VLOOKUP([1]LISTADO_OTS!B33,[1]Redes!$C$1:$E$5,3,FALSE)</f>
        <v>3</v>
      </c>
      <c r="D33">
        <f>[1]LISTADO_OTS!C33</f>
        <v>1</v>
      </c>
      <c r="E33">
        <f>[1]LISTADO_OTS!D33</f>
        <v>0</v>
      </c>
      <c r="F33">
        <f>[1]LISTADO_OTS!Q33</f>
        <v>5</v>
      </c>
      <c r="G33">
        <f>[1]LISTADO_OTS!R33</f>
        <v>5</v>
      </c>
      <c r="H33" t="str">
        <f>[1]LISTADO_OTS!H33</f>
        <v>Reparación de fuga en Puentelarra</v>
      </c>
      <c r="I33" t="str">
        <f>[1]LISTADO_OTS!I33</f>
        <v>Se ha tenido que picar bajo el armario del contador en busca de una fuga</v>
      </c>
      <c r="J33" s="1">
        <f>[1]LISTADO_OTS!F33</f>
        <v>45874</v>
      </c>
      <c r="K33" s="1">
        <f>[1]LISTADO_OTS!G33</f>
        <v>45874</v>
      </c>
      <c r="L33">
        <f>[1]LISTADO_OTS!M33</f>
        <v>42.750833333333333</v>
      </c>
      <c r="M33">
        <f>[1]LISTADO_OTS!N33</f>
        <v>-3.0485277777777777</v>
      </c>
      <c r="U33" t="b">
        <f>[1]LISTADO_OTS!O33</f>
        <v>1</v>
      </c>
      <c r="V33" t="str">
        <f>[1]LISTADO_OTS!J33</f>
        <v>Puentelarra</v>
      </c>
      <c r="W33">
        <f>[1]LISTADO_OTS!R33</f>
        <v>5</v>
      </c>
      <c r="X33">
        <f>[1]LISTADO_OTS!P33</f>
        <v>0</v>
      </c>
      <c r="Y33">
        <v>1</v>
      </c>
      <c r="Z33">
        <f>[1]LISTADO_OTS!S33</f>
        <v>1</v>
      </c>
    </row>
    <row r="34" spans="1:26" x14ac:dyDescent="0.4">
      <c r="A34">
        <v>33</v>
      </c>
      <c r="B34" t="str">
        <f>[1]LISTADO_OTS!E34</f>
        <v>OT/0111</v>
      </c>
      <c r="C34">
        <f>VLOOKUP([1]LISTADO_OTS!B34,[1]Redes!$C$1:$E$5,3,FALSE)</f>
        <v>3</v>
      </c>
      <c r="D34">
        <f>[1]LISTADO_OTS!C34</f>
        <v>1</v>
      </c>
      <c r="E34">
        <f>[1]LISTADO_OTS!D34</f>
        <v>0</v>
      </c>
      <c r="F34">
        <f>[1]LISTADO_OTS!Q34</f>
        <v>1</v>
      </c>
      <c r="G34">
        <f>[1]LISTADO_OTS!R34</f>
        <v>1</v>
      </c>
      <c r="H34" t="str">
        <f>[1]LISTADO_OTS!H34</f>
        <v>Revisión de la zona por aviso municipal en Llodio</v>
      </c>
      <c r="I34" t="str">
        <f>[1]LISTADO_OTS!I34</f>
        <v>Revisión de la zona por aviso municipal en Avenida Zumalacarregui</v>
      </c>
      <c r="J34" s="1">
        <f>[1]LISTADO_OTS!F34</f>
        <v>45874</v>
      </c>
      <c r="K34" s="1">
        <f>[1]LISTADO_OTS!G34</f>
        <v>45874</v>
      </c>
      <c r="L34">
        <f>[1]LISTADO_OTS!M34</f>
        <v>43.142416666666669</v>
      </c>
      <c r="M34">
        <f>[1]LISTADO_OTS!N34</f>
        <v>-2.9654722222222225</v>
      </c>
      <c r="U34" t="b">
        <f>[1]LISTADO_OTS!O34</f>
        <v>1</v>
      </c>
      <c r="V34" t="str">
        <f>[1]LISTADO_OTS!J34</f>
        <v>Llodio</v>
      </c>
      <c r="W34">
        <f>[1]LISTADO_OTS!R34</f>
        <v>1</v>
      </c>
      <c r="X34">
        <f>[1]LISTADO_OTS!P34</f>
        <v>0</v>
      </c>
      <c r="Y34">
        <v>1</v>
      </c>
      <c r="Z34">
        <f>[1]LISTADO_OTS!S34</f>
        <v>3</v>
      </c>
    </row>
    <row r="35" spans="1:26" x14ac:dyDescent="0.4">
      <c r="A35">
        <v>34</v>
      </c>
      <c r="B35" t="str">
        <f>[1]LISTADO_OTS!E35</f>
        <v>TP/0014</v>
      </c>
      <c r="C35">
        <f>VLOOKUP([1]LISTADO_OTS!B35,[1]Redes!$C$1:$E$5,3,FALSE)</f>
        <v>3</v>
      </c>
      <c r="D35">
        <f>[1]LISTADO_OTS!C35</f>
        <v>2</v>
      </c>
      <c r="E35">
        <f>[1]LISTADO_OTS!D35</f>
        <v>10</v>
      </c>
      <c r="F35">
        <f>[1]LISTADO_OTS!Q35</f>
        <v>5</v>
      </c>
      <c r="G35">
        <f>[1]LISTADO_OTS!R35</f>
        <v>5</v>
      </c>
      <c r="H35" t="str">
        <f>[1]LISTADO_OTS!H35</f>
        <v>Instalación contadores - Cambio de contador en Villanañe</v>
      </c>
      <c r="I35" t="str">
        <f>[1]LISTADO_OTS!I35</f>
        <v>Picar arqueta, cambio de contador y acerar arqueta.</v>
      </c>
      <c r="J35" s="1">
        <f>[1]LISTADO_OTS!F35</f>
        <v>45874</v>
      </c>
      <c r="K35" s="1">
        <f>[1]LISTADO_OTS!G35</f>
        <v>45874</v>
      </c>
      <c r="L35">
        <f>[1]LISTADO_OTS!M35</f>
        <v>42.836277777777781</v>
      </c>
      <c r="M35">
        <f>[1]LISTADO_OTS!N35</f>
        <v>-3.082416666666667</v>
      </c>
      <c r="U35" t="b">
        <f>[1]LISTADO_OTS!O35</f>
        <v>1</v>
      </c>
      <c r="V35" t="str">
        <f>[1]LISTADO_OTS!J35</f>
        <v>Villanañe</v>
      </c>
      <c r="W35">
        <f>[1]LISTADO_OTS!R35</f>
        <v>5</v>
      </c>
      <c r="X35">
        <f>[1]LISTADO_OTS!P35</f>
        <v>0</v>
      </c>
      <c r="Y35">
        <v>1</v>
      </c>
      <c r="Z35">
        <f>[1]LISTADO_OTS!S35</f>
        <v>0</v>
      </c>
    </row>
    <row r="36" spans="1:26" x14ac:dyDescent="0.4">
      <c r="A36">
        <v>35</v>
      </c>
      <c r="B36" t="str">
        <f>[1]LISTADO_OTS!E36</f>
        <v>TP/0015</v>
      </c>
      <c r="C36">
        <f>VLOOKUP([1]LISTADO_OTS!B36,[1]Redes!$C$1:$E$5,3,FALSE)</f>
        <v>5</v>
      </c>
      <c r="D36">
        <f>[1]LISTADO_OTS!C36</f>
        <v>2</v>
      </c>
      <c r="E36">
        <f>[1]LISTADO_OTS!D36</f>
        <v>1</v>
      </c>
      <c r="F36">
        <f>[1]LISTADO_OTS!Q36</f>
        <v>1</v>
      </c>
      <c r="G36">
        <f>[1]LISTADO_OTS!R36</f>
        <v>4</v>
      </c>
      <c r="H36" t="str">
        <f>[1]LISTADO_OTS!H36</f>
        <v>Asistencia a camión saneamiento en Llodio</v>
      </c>
      <c r="I36" t="str">
        <f>[1]LISTADO_OTS!I36</f>
        <v>Asistencia a camión de saneamiento</v>
      </c>
      <c r="J36" s="1">
        <f>[1]LISTADO_OTS!F36</f>
        <v>45874</v>
      </c>
      <c r="K36" s="1">
        <f>[1]LISTADO_OTS!G36</f>
        <v>45874</v>
      </c>
      <c r="L36">
        <f>[1]LISTADO_OTS!M36</f>
        <v>43.135305555555554</v>
      </c>
      <c r="M36">
        <f>[1]LISTADO_OTS!N36</f>
        <v>-2.9826944444444448</v>
      </c>
      <c r="U36" t="b">
        <f>[1]LISTADO_OTS!O36</f>
        <v>1</v>
      </c>
      <c r="V36" t="str">
        <f>[1]LISTADO_OTS!J36</f>
        <v>Llodio</v>
      </c>
      <c r="W36">
        <f>[1]LISTADO_OTS!R36</f>
        <v>4</v>
      </c>
      <c r="X36">
        <f>[1]LISTADO_OTS!P36</f>
        <v>0</v>
      </c>
      <c r="Y36">
        <v>1</v>
      </c>
      <c r="Z36">
        <f>[1]LISTADO_OTS!S36</f>
        <v>0</v>
      </c>
    </row>
    <row r="37" spans="1:26" x14ac:dyDescent="0.4">
      <c r="A37">
        <v>36</v>
      </c>
      <c r="B37" t="str">
        <f>[1]LISTADO_OTS!E37</f>
        <v>TP/0016</v>
      </c>
      <c r="C37">
        <f>VLOOKUP([1]LISTADO_OTS!B37,[1]Redes!$C$1:$E$5,3,FALSE)</f>
        <v>3</v>
      </c>
      <c r="D37">
        <f>[1]LISTADO_OTS!C37</f>
        <v>2</v>
      </c>
      <c r="E37">
        <f>[1]LISTADO_OTS!D37</f>
        <v>9</v>
      </c>
      <c r="F37">
        <f>[1]LISTADO_OTS!Q37</f>
        <v>1</v>
      </c>
      <c r="G37">
        <f>[1]LISTADO_OTS!R37</f>
        <v>1</v>
      </c>
      <c r="H37" t="str">
        <f>[1]LISTADO_OTS!H37</f>
        <v>Baja de contador domiciliario en Llodio</v>
      </c>
      <c r="I37" t="str">
        <f>[1]LISTADO_OTS!I37</f>
        <v>Bajade contador domiciliario en Doctor Fleming 1, Llodio</v>
      </c>
      <c r="J37" s="1">
        <f>[1]LISTADO_OTS!F37</f>
        <v>45874</v>
      </c>
      <c r="K37" s="1">
        <f>[1]LISTADO_OTS!G37</f>
        <v>45874</v>
      </c>
      <c r="L37">
        <f>[1]LISTADO_OTS!M37</f>
        <v>43.144611111111111</v>
      </c>
      <c r="M37">
        <f>[1]LISTADO_OTS!N37</f>
        <v>-2.9663055555555555</v>
      </c>
      <c r="U37" t="b">
        <f>[1]LISTADO_OTS!O37</f>
        <v>1</v>
      </c>
      <c r="V37" t="str">
        <f>[1]LISTADO_OTS!J37</f>
        <v>Llodio</v>
      </c>
      <c r="W37">
        <f>[1]LISTADO_OTS!R37</f>
        <v>1</v>
      </c>
      <c r="X37">
        <f>[1]LISTADO_OTS!P37</f>
        <v>0</v>
      </c>
      <c r="Y37">
        <v>1</v>
      </c>
      <c r="Z37">
        <f>[1]LISTADO_OTS!S37</f>
        <v>0</v>
      </c>
    </row>
    <row r="38" spans="1:26" x14ac:dyDescent="0.4">
      <c r="A38">
        <v>37</v>
      </c>
      <c r="B38" t="str">
        <f>[1]LISTADO_OTS!E38</f>
        <v>OT/0112</v>
      </c>
      <c r="C38">
        <f>VLOOKUP([1]LISTADO_OTS!B38,[1]Redes!$C$1:$E$5,3,FALSE)</f>
        <v>3</v>
      </c>
      <c r="D38">
        <f>[1]LISTADO_OTS!C38</f>
        <v>1</v>
      </c>
      <c r="E38">
        <f>[1]LISTADO_OTS!D38</f>
        <v>0</v>
      </c>
      <c r="F38">
        <f>[1]LISTADO_OTS!Q38</f>
        <v>3</v>
      </c>
      <c r="G38">
        <f>[1]LISTADO_OTS!R38</f>
        <v>3</v>
      </c>
      <c r="H38" t="str">
        <f>[1]LISTADO_OTS!H38</f>
        <v>Búsqueda y arreglo de fuga en Agurain</v>
      </c>
      <c r="I38" t="str">
        <f>[1]LISTADO_OTS!I38</f>
        <v>Búsqueda y arreglo de fuga en Agurain</v>
      </c>
      <c r="J38" s="1">
        <f>[1]LISTADO_OTS!F38</f>
        <v>45874</v>
      </c>
      <c r="K38" s="1">
        <f>[1]LISTADO_OTS!G38</f>
        <v>45874</v>
      </c>
      <c r="L38">
        <f>[1]LISTADO_OTS!M38</f>
        <v>42.850999999999999</v>
      </c>
      <c r="M38">
        <f>[1]LISTADO_OTS!N38</f>
        <v>-2.3999166666666665</v>
      </c>
      <c r="U38" t="b">
        <f>[1]LISTADO_OTS!O38</f>
        <v>1</v>
      </c>
      <c r="V38" t="str">
        <f>[1]LISTADO_OTS!J38</f>
        <v>Agurain</v>
      </c>
      <c r="W38">
        <f>[1]LISTADO_OTS!R38</f>
        <v>3</v>
      </c>
      <c r="X38">
        <f>[1]LISTADO_OTS!P38</f>
        <v>0</v>
      </c>
      <c r="Y38">
        <v>1</v>
      </c>
      <c r="Z38">
        <f>[1]LISTADO_OTS!S38</f>
        <v>1</v>
      </c>
    </row>
    <row r="39" spans="1:26" x14ac:dyDescent="0.4">
      <c r="A39">
        <v>38</v>
      </c>
      <c r="B39" t="str">
        <f>[1]LISTADO_OTS!E39</f>
        <v>OT/0113</v>
      </c>
      <c r="C39">
        <f>VLOOKUP([1]LISTADO_OTS!B39,[1]Redes!$C$1:$E$5,3,FALSE)</f>
        <v>3</v>
      </c>
      <c r="D39">
        <f>[1]LISTADO_OTS!C39</f>
        <v>1</v>
      </c>
      <c r="E39">
        <f>[1]LISTADO_OTS!D39</f>
        <v>0</v>
      </c>
      <c r="F39">
        <f>[1]LISTADO_OTS!Q39</f>
        <v>1</v>
      </c>
      <c r="G39">
        <f>[1]LISTADO_OTS!R39</f>
        <v>1</v>
      </c>
      <c r="H39" t="str">
        <f>[1]LISTADO_OTS!H39</f>
        <v>Localización de fuga en Bañoteibar en Amurrio</v>
      </c>
      <c r="I39" t="str">
        <f>[1]LISTADO_OTS!I39</f>
        <v>Localización de fuga en Amurrio</v>
      </c>
      <c r="J39" s="1">
        <f>[1]LISTADO_OTS!F39</f>
        <v>45875</v>
      </c>
      <c r="K39" s="1">
        <f>[1]LISTADO_OTS!G39</f>
        <v>45875</v>
      </c>
      <c r="L39">
        <f>[1]LISTADO_OTS!M39</f>
        <v>0</v>
      </c>
      <c r="M39">
        <f>[1]LISTADO_OTS!N39</f>
        <v>0</v>
      </c>
      <c r="U39" t="b">
        <f>[1]LISTADO_OTS!O39</f>
        <v>1</v>
      </c>
      <c r="V39" t="str">
        <f>[1]LISTADO_OTS!J39</f>
        <v>Amurrio</v>
      </c>
      <c r="W39">
        <f>[1]LISTADO_OTS!R39</f>
        <v>1</v>
      </c>
      <c r="X39">
        <f>[1]LISTADO_OTS!P39</f>
        <v>0</v>
      </c>
      <c r="Y39">
        <v>1</v>
      </c>
      <c r="Z39">
        <f>[1]LISTADO_OTS!S39</f>
        <v>1</v>
      </c>
    </row>
    <row r="40" spans="1:26" x14ac:dyDescent="0.4">
      <c r="A40">
        <v>39</v>
      </c>
      <c r="B40" t="str">
        <f>[1]LISTADO_OTS!E40</f>
        <v>OT/0114</v>
      </c>
      <c r="C40">
        <f>VLOOKUP([1]LISTADO_OTS!B40,[1]Redes!$C$1:$E$5,3,FALSE)</f>
        <v>3</v>
      </c>
      <c r="D40">
        <f>[1]LISTADO_OTS!C40</f>
        <v>1</v>
      </c>
      <c r="E40">
        <f>[1]LISTADO_OTS!D40</f>
        <v>0</v>
      </c>
      <c r="F40">
        <f>[1]LISTADO_OTS!Q40</f>
        <v>1</v>
      </c>
      <c r="G40">
        <f>[1]LISTADO_OTS!R40</f>
        <v>1</v>
      </c>
      <c r="H40" t="str">
        <f>[1]LISTADO_OTS!H40</f>
        <v>Reparación de fuga en Amurrio</v>
      </c>
      <c r="I40" t="str">
        <f>[1]LISTADO_OTS!I40</f>
        <v>Reparación de fuga en Amurrio</v>
      </c>
      <c r="J40" s="1">
        <f>[1]LISTADO_OTS!F40</f>
        <v>45875</v>
      </c>
      <c r="K40" s="1">
        <f>[1]LISTADO_OTS!G40</f>
        <v>45875</v>
      </c>
      <c r="L40">
        <f>[1]LISTADO_OTS!M40</f>
        <v>43.050138888888888</v>
      </c>
      <c r="M40">
        <f>[1]LISTADO_OTS!N40</f>
        <v>-3.0004722222222222</v>
      </c>
      <c r="U40" t="b">
        <f>[1]LISTADO_OTS!O40</f>
        <v>1</v>
      </c>
      <c r="V40" t="str">
        <f>[1]LISTADO_OTS!J40</f>
        <v>Amurrio</v>
      </c>
      <c r="W40">
        <f>[1]LISTADO_OTS!R40</f>
        <v>1</v>
      </c>
      <c r="X40">
        <f>[1]LISTADO_OTS!P40</f>
        <v>0</v>
      </c>
      <c r="Y40">
        <v>1</v>
      </c>
      <c r="Z40">
        <f>[1]LISTADO_OTS!S40</f>
        <v>1</v>
      </c>
    </row>
    <row r="41" spans="1:26" x14ac:dyDescent="0.4">
      <c r="A41">
        <v>40</v>
      </c>
      <c r="B41" t="str">
        <f>[1]LISTADO_OTS!E41</f>
        <v>OT/0115</v>
      </c>
      <c r="C41">
        <f>VLOOKUP([1]LISTADO_OTS!B41,[1]Redes!$C$1:$E$5,3,FALSE)</f>
        <v>3</v>
      </c>
      <c r="D41">
        <f>[1]LISTADO_OTS!C41</f>
        <v>1</v>
      </c>
      <c r="E41">
        <f>[1]LISTADO_OTS!D41</f>
        <v>0</v>
      </c>
      <c r="F41">
        <f>[1]LISTADO_OTS!Q41</f>
        <v>1</v>
      </c>
      <c r="G41">
        <f>[1]LISTADO_OTS!R41</f>
        <v>1</v>
      </c>
      <c r="H41" t="str">
        <f>[1]LISTADO_OTS!H41</f>
        <v>Reparación de fuga en Olabezar</v>
      </c>
      <c r="I41" t="str">
        <f>[1]LISTADO_OTS!I41</f>
        <v>Reparación de fuga en Olabezar</v>
      </c>
      <c r="J41" s="1">
        <f>[1]LISTADO_OTS!F41</f>
        <v>45875</v>
      </c>
      <c r="K41" s="1">
        <f>[1]LISTADO_OTS!G41</f>
        <v>45875</v>
      </c>
      <c r="L41">
        <f>[1]LISTADO_OTS!M41</f>
        <v>43.068333333333335</v>
      </c>
      <c r="M41">
        <f>[1]LISTADO_OTS!N41</f>
        <v>-3.0174166666666666</v>
      </c>
      <c r="U41" t="b">
        <f>[1]LISTADO_OTS!O41</f>
        <v>1</v>
      </c>
      <c r="V41" t="str">
        <f>[1]LISTADO_OTS!J41</f>
        <v>Olabezar</v>
      </c>
      <c r="W41">
        <f>[1]LISTADO_OTS!R41</f>
        <v>1</v>
      </c>
      <c r="X41">
        <f>[1]LISTADO_OTS!P41</f>
        <v>0</v>
      </c>
      <c r="Y41">
        <v>1</v>
      </c>
      <c r="Z41">
        <f>[1]LISTADO_OTS!S41</f>
        <v>1</v>
      </c>
    </row>
    <row r="42" spans="1:26" x14ac:dyDescent="0.4">
      <c r="A42">
        <v>41</v>
      </c>
      <c r="B42" t="str">
        <f>[1]LISTADO_OTS!E42</f>
        <v>OT/0116</v>
      </c>
      <c r="C42">
        <f>VLOOKUP([1]LISTADO_OTS!B42,[1]Redes!$C$1:$E$5,3,FALSE)</f>
        <v>3</v>
      </c>
      <c r="D42">
        <f>[1]LISTADO_OTS!C42</f>
        <v>1</v>
      </c>
      <c r="E42">
        <f>[1]LISTADO_OTS!D42</f>
        <v>0</v>
      </c>
      <c r="F42">
        <f>[1]LISTADO_OTS!Q42</f>
        <v>1</v>
      </c>
      <c r="G42">
        <f>[1]LISTADO_OTS!R42</f>
        <v>1</v>
      </c>
      <c r="H42" t="str">
        <f>[1]LISTADO_OTS!H42</f>
        <v>Búsqueda de fuga en Amurrio</v>
      </c>
      <c r="I42" t="str">
        <f>[1]LISTADO_OTS!I42</f>
        <v>Búsqueda de fuga en Amurrio</v>
      </c>
      <c r="J42" s="1">
        <f>[1]LISTADO_OTS!F42</f>
        <v>45875</v>
      </c>
      <c r="K42" s="1">
        <f>[1]LISTADO_OTS!G42</f>
        <v>45875</v>
      </c>
      <c r="L42">
        <f>[1]LISTADO_OTS!M42</f>
        <v>43.051416666666661</v>
      </c>
      <c r="M42">
        <f>[1]LISTADO_OTS!N42</f>
        <v>-3.0010277777777778</v>
      </c>
      <c r="U42" t="b">
        <f>[1]LISTADO_OTS!O42</f>
        <v>1</v>
      </c>
      <c r="V42" t="str">
        <f>[1]LISTADO_OTS!J42</f>
        <v>Amurrio</v>
      </c>
      <c r="W42">
        <f>[1]LISTADO_OTS!R42</f>
        <v>1</v>
      </c>
      <c r="X42">
        <f>[1]LISTADO_OTS!P42</f>
        <v>0</v>
      </c>
      <c r="Y42">
        <v>1</v>
      </c>
      <c r="Z42">
        <f>[1]LISTADO_OTS!S42</f>
        <v>1</v>
      </c>
    </row>
    <row r="43" spans="1:26" x14ac:dyDescent="0.4">
      <c r="A43">
        <v>42</v>
      </c>
      <c r="B43" t="str">
        <f>[1]LISTADO_OTS!E43</f>
        <v>OT/0117</v>
      </c>
      <c r="C43">
        <f>VLOOKUP([1]LISTADO_OTS!B43,[1]Redes!$C$1:$E$5,3,FALSE)</f>
        <v>3</v>
      </c>
      <c r="D43">
        <f>[1]LISTADO_OTS!C43</f>
        <v>1</v>
      </c>
      <c r="E43">
        <f>[1]LISTADO_OTS!D43</f>
        <v>0</v>
      </c>
      <c r="F43">
        <f>[1]LISTADO_OTS!Q43</f>
        <v>1</v>
      </c>
      <c r="G43">
        <f>[1]LISTADO_OTS!R43</f>
        <v>1</v>
      </c>
      <c r="H43" t="str">
        <f>[1]LISTADO_OTS!H43</f>
        <v>Excavación de fuga en Lekamaña</v>
      </c>
      <c r="I43" t="str">
        <f>[1]LISTADO_OTS!I43</f>
        <v>Excavación de fuga en Lekamaña</v>
      </c>
      <c r="J43" s="1">
        <f>[1]LISTADO_OTS!F43</f>
        <v>45875</v>
      </c>
      <c r="K43" s="1">
        <f>[1]LISTADO_OTS!G43</f>
        <v>45875</v>
      </c>
      <c r="L43">
        <f>[1]LISTADO_OTS!M43</f>
        <v>43.021611111111113</v>
      </c>
      <c r="M43">
        <f>[1]LISTADO_OTS!N43</f>
        <v>-3.0013055555555557</v>
      </c>
      <c r="U43" t="b">
        <f>[1]LISTADO_OTS!O43</f>
        <v>1</v>
      </c>
      <c r="V43" t="str">
        <f>[1]LISTADO_OTS!J43</f>
        <v>Lekamaña-Amurrio</v>
      </c>
      <c r="W43">
        <f>[1]LISTADO_OTS!R43</f>
        <v>1</v>
      </c>
      <c r="X43">
        <f>[1]LISTADO_OTS!P43</f>
        <v>0</v>
      </c>
      <c r="Y43">
        <v>1</v>
      </c>
      <c r="Z43">
        <f>[1]LISTADO_OTS!S43</f>
        <v>1</v>
      </c>
    </row>
    <row r="44" spans="1:26" x14ac:dyDescent="0.4">
      <c r="A44">
        <v>43</v>
      </c>
      <c r="B44" t="str">
        <f>[1]LISTADO_OTS!E44</f>
        <v>TP/0017</v>
      </c>
      <c r="C44">
        <f>VLOOKUP([1]LISTADO_OTS!B44,[1]Redes!$C$1:$E$5,3,FALSE)</f>
        <v>3</v>
      </c>
      <c r="D44">
        <f>[1]LISTADO_OTS!C44</f>
        <v>2</v>
      </c>
      <c r="E44">
        <f>[1]LISTADO_OTS!D44</f>
        <v>12</v>
      </c>
      <c r="F44">
        <f>[1]LISTADO_OTS!Q44</f>
        <v>1</v>
      </c>
      <c r="G44">
        <f>[1]LISTADO_OTS!R44</f>
        <v>1</v>
      </c>
      <c r="H44" t="str">
        <f>[1]LISTADO_OTS!H44</f>
        <v>Corte de agua en Llodio</v>
      </c>
      <c r="I44" t="str">
        <f>[1]LISTADO_OTS!I44</f>
        <v>Corte y reposición de servicio a fontanero particular</v>
      </c>
      <c r="J44" s="1">
        <f>[1]LISTADO_OTS!F44</f>
        <v>45874</v>
      </c>
      <c r="K44" s="1">
        <f>[1]LISTADO_OTS!G44</f>
        <v>45874</v>
      </c>
      <c r="L44">
        <f>[1]LISTADO_OTS!M44</f>
        <v>43.152138888888885</v>
      </c>
      <c r="M44">
        <f>[1]LISTADO_OTS!N44</f>
        <v>-2.9849166666666669</v>
      </c>
      <c r="U44" t="b">
        <f>[1]LISTADO_OTS!O44</f>
        <v>1</v>
      </c>
      <c r="V44" t="str">
        <f>[1]LISTADO_OTS!J44</f>
        <v>Llodio</v>
      </c>
      <c r="W44">
        <f>[1]LISTADO_OTS!R44</f>
        <v>1</v>
      </c>
      <c r="X44">
        <f>[1]LISTADO_OTS!P44</f>
        <v>0</v>
      </c>
      <c r="Y44">
        <v>1</v>
      </c>
      <c r="Z44">
        <f>[1]LISTADO_OTS!S44</f>
        <v>0</v>
      </c>
    </row>
    <row r="45" spans="1:26" x14ac:dyDescent="0.4">
      <c r="A45">
        <v>44</v>
      </c>
      <c r="B45" t="str">
        <f>[1]LISTADO_OTS!E45</f>
        <v>OT/0118</v>
      </c>
      <c r="C45">
        <f>VLOOKUP([1]LISTADO_OTS!B45,[1]Redes!$C$1:$E$5,3,FALSE)</f>
        <v>5</v>
      </c>
      <c r="D45">
        <f>[1]LISTADO_OTS!C45</f>
        <v>1</v>
      </c>
      <c r="E45">
        <f>[1]LISTADO_OTS!D45</f>
        <v>0</v>
      </c>
      <c r="F45">
        <f>[1]LISTADO_OTS!Q45</f>
        <v>6</v>
      </c>
      <c r="G45">
        <f>[1]LISTADO_OTS!R45</f>
        <v>46</v>
      </c>
      <c r="H45" t="str">
        <f>[1]LISTADO_OTS!H45</f>
        <v>Reparación fuga de saneamiento en Maeztu</v>
      </c>
      <c r="I45" t="str">
        <f>[1]LISTADO_OTS!I45</f>
        <v>Reparación fuga de saneamiento en Maeztu</v>
      </c>
      <c r="J45" s="1">
        <f>[1]LISTADO_OTS!F45</f>
        <v>45874</v>
      </c>
      <c r="K45" s="1">
        <f>[1]LISTADO_OTS!G45</f>
        <v>45874</v>
      </c>
      <c r="L45">
        <f>[1]LISTADO_OTS!M45</f>
        <v>42.739277777777779</v>
      </c>
      <c r="M45">
        <f>[1]LISTADO_OTS!N45</f>
        <v>-2.4518611111111115</v>
      </c>
      <c r="U45" t="b">
        <f>[1]LISTADO_OTS!O45</f>
        <v>1</v>
      </c>
      <c r="V45" t="str">
        <f>[1]LISTADO_OTS!J45</f>
        <v>Maeztu</v>
      </c>
      <c r="W45">
        <f>[1]LISTADO_OTS!R45</f>
        <v>46</v>
      </c>
      <c r="X45">
        <f>[1]LISTADO_OTS!P45</f>
        <v>0</v>
      </c>
      <c r="Y45">
        <v>1</v>
      </c>
      <c r="Z45">
        <f>[1]LISTADO_OTS!S45</f>
        <v>1</v>
      </c>
    </row>
    <row r="46" spans="1:26" x14ac:dyDescent="0.4">
      <c r="A46">
        <v>45</v>
      </c>
      <c r="B46" t="str">
        <f>[1]LISTADO_OTS!E46</f>
        <v>OT/0119</v>
      </c>
      <c r="C46">
        <f>VLOOKUP([1]LISTADO_OTS!B46,[1]Redes!$C$1:$E$5,3,FALSE)</f>
        <v>3</v>
      </c>
      <c r="D46">
        <f>[1]LISTADO_OTS!C46</f>
        <v>1</v>
      </c>
      <c r="E46">
        <f>[1]LISTADO_OTS!D46</f>
        <v>0</v>
      </c>
      <c r="F46">
        <f>[1]LISTADO_OTS!Q46</f>
        <v>3</v>
      </c>
      <c r="G46">
        <f>[1]LISTADO_OTS!R46</f>
        <v>3</v>
      </c>
      <c r="H46" t="str">
        <f>[1]LISTADO_OTS!H46</f>
        <v>Reparación de fuga en Opakua</v>
      </c>
      <c r="I46" t="str">
        <f>[1]LISTADO_OTS!I46</f>
        <v>Reparación de fuga en Opakua</v>
      </c>
      <c r="J46" s="1">
        <f>[1]LISTADO_OTS!F46</f>
        <v>45874</v>
      </c>
      <c r="K46" s="1">
        <f>[1]LISTADO_OTS!G46</f>
        <v>45874</v>
      </c>
      <c r="L46">
        <f>[1]LISTADO_OTS!M46</f>
        <v>42.827527777777782</v>
      </c>
      <c r="M46">
        <f>[1]LISTADO_OTS!N46</f>
        <v>-2.3688055555555558</v>
      </c>
      <c r="U46" t="b">
        <f>[1]LISTADO_OTS!O46</f>
        <v>1</v>
      </c>
      <c r="V46" t="str">
        <f>[1]LISTADO_OTS!J46</f>
        <v>Opacua</v>
      </c>
      <c r="W46">
        <f>[1]LISTADO_OTS!R46</f>
        <v>3</v>
      </c>
      <c r="X46">
        <f>[1]LISTADO_OTS!P46</f>
        <v>0</v>
      </c>
      <c r="Y46">
        <v>1</v>
      </c>
      <c r="Z46">
        <f>[1]LISTADO_OTS!S46</f>
        <v>1</v>
      </c>
    </row>
    <row r="47" spans="1:26" x14ac:dyDescent="0.4">
      <c r="A47">
        <v>46</v>
      </c>
      <c r="B47" t="str">
        <f>[1]LISTADO_OTS!E47</f>
        <v>OT/0120</v>
      </c>
      <c r="C47">
        <f>VLOOKUP([1]LISTADO_OTS!B47,[1]Redes!$C$1:$E$5,3,FALSE)</f>
        <v>3</v>
      </c>
      <c r="D47">
        <f>[1]LISTADO_OTS!C47</f>
        <v>1</v>
      </c>
      <c r="E47">
        <f>[1]LISTADO_OTS!D47</f>
        <v>0</v>
      </c>
      <c r="F47">
        <f>[1]LISTADO_OTS!Q47</f>
        <v>5</v>
      </c>
      <c r="G47">
        <f>[1]LISTADO_OTS!R47</f>
        <v>5</v>
      </c>
      <c r="H47" t="str">
        <f>[1]LISTADO_OTS!H47</f>
        <v>Reparación de fuga en Villanañe</v>
      </c>
      <c r="I47" t="str">
        <f>[1]LISTADO_OTS!I47</f>
        <v>Reparación de fuga en Villañane</v>
      </c>
      <c r="J47" s="1">
        <f>[1]LISTADO_OTS!F47</f>
        <v>45874</v>
      </c>
      <c r="K47" s="1">
        <f>[1]LISTADO_OTS!G47</f>
        <v>45874</v>
      </c>
      <c r="L47">
        <f>[1]LISTADO_OTS!M47</f>
        <v>42.836416666666672</v>
      </c>
      <c r="M47">
        <f>[1]LISTADO_OTS!N47</f>
        <v>-3.08575</v>
      </c>
      <c r="U47" t="b">
        <f>[1]LISTADO_OTS!O47</f>
        <v>1</v>
      </c>
      <c r="V47" t="str">
        <f>[1]LISTADO_OTS!J47</f>
        <v>Villanañe</v>
      </c>
      <c r="W47">
        <f>[1]LISTADO_OTS!R47</f>
        <v>5</v>
      </c>
      <c r="X47">
        <f>[1]LISTADO_OTS!P47</f>
        <v>0</v>
      </c>
      <c r="Y47">
        <v>1</v>
      </c>
      <c r="Z47">
        <f>[1]LISTADO_OTS!S47</f>
        <v>1</v>
      </c>
    </row>
    <row r="48" spans="1:26" x14ac:dyDescent="0.4">
      <c r="A48">
        <v>47</v>
      </c>
      <c r="B48" t="str">
        <f>[1]LISTADO_OTS!E48</f>
        <v>OT/0121</v>
      </c>
      <c r="C48">
        <f>VLOOKUP([1]LISTADO_OTS!B48,[1]Redes!$C$1:$E$5,3,FALSE)</f>
        <v>3</v>
      </c>
      <c r="D48">
        <f>[1]LISTADO_OTS!C48</f>
        <v>1</v>
      </c>
      <c r="E48">
        <f>[1]LISTADO_OTS!D48</f>
        <v>0</v>
      </c>
      <c r="F48">
        <f>[1]LISTADO_OTS!Q48</f>
        <v>5</v>
      </c>
      <c r="G48">
        <f>[1]LISTADO_OTS!R48</f>
        <v>5</v>
      </c>
      <c r="H48" t="str">
        <f>[1]LISTADO_OTS!H48</f>
        <v>Reparación de fuga en Puentelarra</v>
      </c>
      <c r="I48" t="str">
        <f>[1]LISTADO_OTS!I48</f>
        <v>Reparación de fuga en Puentelarra</v>
      </c>
      <c r="J48" s="1">
        <f>[1]LISTADO_OTS!F48</f>
        <v>45875</v>
      </c>
      <c r="K48" s="1">
        <f>[1]LISTADO_OTS!G48</f>
        <v>45875</v>
      </c>
      <c r="L48">
        <f>[1]LISTADO_OTS!M48</f>
        <v>42.75127777777778</v>
      </c>
      <c r="M48">
        <f>[1]LISTADO_OTS!N48</f>
        <v>-3.0526944444444442</v>
      </c>
      <c r="U48" t="b">
        <f>[1]LISTADO_OTS!O48</f>
        <v>1</v>
      </c>
      <c r="V48" t="str">
        <f>[1]LISTADO_OTS!J48</f>
        <v>Puentelarra</v>
      </c>
      <c r="W48">
        <f>[1]LISTADO_OTS!R48</f>
        <v>5</v>
      </c>
      <c r="X48">
        <f>[1]LISTADO_OTS!P48</f>
        <v>0</v>
      </c>
      <c r="Y48">
        <v>1</v>
      </c>
      <c r="Z48">
        <f>[1]LISTADO_OTS!S48</f>
        <v>1</v>
      </c>
    </row>
    <row r="49" spans="1:26" x14ac:dyDescent="0.4">
      <c r="A49">
        <v>48</v>
      </c>
      <c r="B49" t="str">
        <f>[1]LISTADO_OTS!E49</f>
        <v>OT/0122</v>
      </c>
      <c r="C49">
        <f>VLOOKUP([1]LISTADO_OTS!B49,[1]Redes!$C$1:$E$5,3,FALSE)</f>
        <v>5</v>
      </c>
      <c r="D49">
        <f>[1]LISTADO_OTS!C49</f>
        <v>1</v>
      </c>
      <c r="E49">
        <f>[1]LISTADO_OTS!D49</f>
        <v>0</v>
      </c>
      <c r="F49">
        <f>[1]LISTADO_OTS!Q49</f>
        <v>1</v>
      </c>
      <c r="G49">
        <f>[1]LISTADO_OTS!R49</f>
        <v>3</v>
      </c>
      <c r="H49" t="str">
        <f>[1]LISTADO_OTS!H49</f>
        <v>Atasco en tubería en Zuaza</v>
      </c>
      <c r="I49" t="str">
        <f>[1]LISTADO_OTS!I49</f>
        <v>Atasco en tubería en Zuaza</v>
      </c>
      <c r="J49" s="1">
        <f>[1]LISTADO_OTS!F49</f>
        <v>45875</v>
      </c>
      <c r="K49" s="1">
        <f>[1]LISTADO_OTS!G49</f>
        <v>45875</v>
      </c>
      <c r="L49">
        <f>[1]LISTADO_OTS!M49</f>
        <v>43.099805555555555</v>
      </c>
      <c r="M49">
        <f>[1]LISTADO_OTS!N49</f>
        <v>-3.052972222222222</v>
      </c>
      <c r="U49" t="b">
        <f>[1]LISTADO_OTS!O49</f>
        <v>1</v>
      </c>
      <c r="V49" t="str">
        <f>[1]LISTADO_OTS!J49</f>
        <v>Zuaza</v>
      </c>
      <c r="W49">
        <f>[1]LISTADO_OTS!R49</f>
        <v>3</v>
      </c>
      <c r="X49">
        <f>[1]LISTADO_OTS!P49</f>
        <v>0</v>
      </c>
      <c r="Y49">
        <v>1</v>
      </c>
      <c r="Z49">
        <f>[1]LISTADO_OTS!S49</f>
        <v>2</v>
      </c>
    </row>
    <row r="50" spans="1:26" x14ac:dyDescent="0.4">
      <c r="A50">
        <v>49</v>
      </c>
      <c r="B50" t="str">
        <f>[1]LISTADO_OTS!E50</f>
        <v>OT/0123</v>
      </c>
      <c r="C50">
        <f>VLOOKUP([1]LISTADO_OTS!B50,[1]Redes!$C$1:$E$5,3,FALSE)</f>
        <v>3</v>
      </c>
      <c r="D50">
        <f>[1]LISTADO_OTS!C50</f>
        <v>1</v>
      </c>
      <c r="E50">
        <f>[1]LISTADO_OTS!D50</f>
        <v>0</v>
      </c>
      <c r="F50">
        <f>[1]LISTADO_OTS!Q50</f>
        <v>3</v>
      </c>
      <c r="G50">
        <f>[1]LISTADO_OTS!R50</f>
        <v>3</v>
      </c>
      <c r="H50" t="str">
        <f>[1]LISTADO_OTS!H50</f>
        <v>Fuga de agua en Opakua</v>
      </c>
      <c r="I50" t="str">
        <f>[1]LISTADO_OTS!I50</f>
        <v>Fuga de agua en Opakua</v>
      </c>
      <c r="J50" s="1">
        <f>[1]LISTADO_OTS!F50</f>
        <v>45875</v>
      </c>
      <c r="K50" s="1">
        <f>[1]LISTADO_OTS!G50</f>
        <v>45875</v>
      </c>
      <c r="L50">
        <f>[1]LISTADO_OTS!M50</f>
        <v>42.827666666666673</v>
      </c>
      <c r="M50">
        <f>[1]LISTADO_OTS!N50</f>
        <v>-2.3699166666666667</v>
      </c>
      <c r="U50" t="b">
        <f>[1]LISTADO_OTS!O50</f>
        <v>1</v>
      </c>
      <c r="V50" t="str">
        <f>[1]LISTADO_OTS!J50</f>
        <v>Opacua</v>
      </c>
      <c r="W50">
        <f>[1]LISTADO_OTS!R50</f>
        <v>3</v>
      </c>
      <c r="X50">
        <f>[1]LISTADO_OTS!P50</f>
        <v>0</v>
      </c>
      <c r="Y50">
        <v>1</v>
      </c>
      <c r="Z50">
        <f>[1]LISTADO_OTS!S50</f>
        <v>1</v>
      </c>
    </row>
    <row r="51" spans="1:26" x14ac:dyDescent="0.4">
      <c r="A51">
        <v>50</v>
      </c>
      <c r="B51" t="str">
        <f>[1]LISTADO_OTS!E51</f>
        <v>OT/0124</v>
      </c>
      <c r="C51">
        <f>VLOOKUP([1]LISTADO_OTS!B51,[1]Redes!$C$1:$E$5,3,FALSE)</f>
        <v>3</v>
      </c>
      <c r="D51">
        <f>[1]LISTADO_OTS!C51</f>
        <v>1</v>
      </c>
      <c r="E51">
        <f>[1]LISTADO_OTS!D51</f>
        <v>0</v>
      </c>
      <c r="F51">
        <f>[1]LISTADO_OTS!Q51</f>
        <v>1</v>
      </c>
      <c r="G51">
        <f>[1]LISTADO_OTS!R51</f>
        <v>1</v>
      </c>
      <c r="H51" t="str">
        <f>[1]LISTADO_OTS!H51</f>
        <v>Reparación fuga en Bañoteibar en Amurrio</v>
      </c>
      <c r="I51" t="str">
        <f>[1]LISTADO_OTS!I51</f>
        <v>Reparación de fuga en Amurrio</v>
      </c>
      <c r="J51" s="1">
        <f>[1]LISTADO_OTS!F51</f>
        <v>45883</v>
      </c>
      <c r="K51" s="1">
        <f>[1]LISTADO_OTS!G51</f>
        <v>45905</v>
      </c>
      <c r="L51">
        <f>[1]LISTADO_OTS!M51</f>
        <v>43.054160000000003</v>
      </c>
      <c r="M51">
        <f>[1]LISTADO_OTS!N51</f>
        <v>-2.9975200000000002</v>
      </c>
      <c r="U51" t="b">
        <f>[1]LISTADO_OTS!O51</f>
        <v>1</v>
      </c>
      <c r="V51" t="str">
        <f>[1]LISTADO_OTS!J51</f>
        <v>Amurrio</v>
      </c>
      <c r="W51">
        <f>[1]LISTADO_OTS!R51</f>
        <v>1</v>
      </c>
      <c r="X51">
        <f>[1]LISTADO_OTS!P51</f>
        <v>0</v>
      </c>
      <c r="Y51">
        <v>1</v>
      </c>
      <c r="Z51">
        <f>[1]LISTADO_OTS!S51</f>
        <v>1</v>
      </c>
    </row>
    <row r="52" spans="1:26" x14ac:dyDescent="0.4">
      <c r="A52">
        <v>51</v>
      </c>
      <c r="B52" t="str">
        <f>[1]LISTADO_OTS!E52</f>
        <v>OT/0125</v>
      </c>
      <c r="C52">
        <f>VLOOKUP([1]LISTADO_OTS!B52,[1]Redes!$C$1:$E$5,3,FALSE)</f>
        <v>3</v>
      </c>
      <c r="D52">
        <f>[1]LISTADO_OTS!C52</f>
        <v>1</v>
      </c>
      <c r="E52">
        <f>[1]LISTADO_OTS!D52</f>
        <v>0</v>
      </c>
      <c r="F52">
        <f>[1]LISTADO_OTS!Q52</f>
        <v>1</v>
      </c>
      <c r="G52">
        <f>[1]LISTADO_OTS!R52</f>
        <v>1</v>
      </c>
      <c r="H52" t="str">
        <f>[1]LISTADO_OTS!H52</f>
        <v>Aviso falta de suministro en Luiando</v>
      </c>
      <c r="I52" t="str">
        <f>[1]LISTADO_OTS!I52</f>
        <v>Aviso falta de suministro en Barrena Kalea en Luiando</v>
      </c>
      <c r="J52" s="1">
        <f>[1]LISTADO_OTS!F52</f>
        <v>45875</v>
      </c>
      <c r="K52" s="1">
        <f>[1]LISTADO_OTS!G52</f>
        <v>45875</v>
      </c>
      <c r="L52">
        <f>[1]LISTADO_OTS!M52</f>
        <v>43.105166666666669</v>
      </c>
      <c r="M52">
        <f>[1]LISTADO_OTS!N52</f>
        <v>-2.9966944444444445</v>
      </c>
      <c r="U52" t="b">
        <f>[1]LISTADO_OTS!O52</f>
        <v>1</v>
      </c>
      <c r="V52" t="str">
        <f>[1]LISTADO_OTS!J52</f>
        <v>Luiando</v>
      </c>
      <c r="W52">
        <f>[1]LISTADO_OTS!R52</f>
        <v>1</v>
      </c>
      <c r="X52">
        <f>[1]LISTADO_OTS!P52</f>
        <v>0</v>
      </c>
      <c r="Y52">
        <v>1</v>
      </c>
      <c r="Z52">
        <f>[1]LISTADO_OTS!S52</f>
        <v>1</v>
      </c>
    </row>
    <row r="53" spans="1:26" x14ac:dyDescent="0.4">
      <c r="A53">
        <v>52</v>
      </c>
      <c r="B53" t="str">
        <f>[1]LISTADO_OTS!E53</f>
        <v>OT/0126</v>
      </c>
      <c r="C53">
        <f>VLOOKUP([1]LISTADO_OTS!B53,[1]Redes!$C$1:$E$5,3,FALSE)</f>
        <v>3</v>
      </c>
      <c r="D53">
        <f>[1]LISTADO_OTS!C53</f>
        <v>1</v>
      </c>
      <c r="E53">
        <f>[1]LISTADO_OTS!D53</f>
        <v>0</v>
      </c>
      <c r="F53">
        <f>[1]LISTADO_OTS!Q53</f>
        <v>1</v>
      </c>
      <c r="G53">
        <f>[1]LISTADO_OTS!R53</f>
        <v>1</v>
      </c>
      <c r="H53" t="str">
        <f>[1]LISTADO_OTS!H53</f>
        <v>Vertido calle Landaluze (Llodio)</v>
      </c>
      <c r="I53" t="str">
        <f>[1]LISTADO_OTS!I53</f>
        <v>Vertido en calle Landaluze</v>
      </c>
      <c r="J53" s="1">
        <f>[1]LISTADO_OTS!F53</f>
        <v>45877</v>
      </c>
      <c r="K53" s="1">
        <f>[1]LISTADO_OTS!G53</f>
        <v>45877</v>
      </c>
      <c r="L53">
        <f>[1]LISTADO_OTS!M53</f>
        <v>43.140638888888887</v>
      </c>
      <c r="M53">
        <f>[1]LISTADO_OTS!N53</f>
        <v>-2.9803055555555558</v>
      </c>
      <c r="U53" t="b">
        <f>[1]LISTADO_OTS!O53</f>
        <v>1</v>
      </c>
      <c r="V53" t="str">
        <f>[1]LISTADO_OTS!J53</f>
        <v>Llodio</v>
      </c>
      <c r="W53">
        <f>[1]LISTADO_OTS!R53</f>
        <v>1</v>
      </c>
      <c r="X53">
        <f>[1]LISTADO_OTS!P53</f>
        <v>0</v>
      </c>
      <c r="Y53">
        <v>1</v>
      </c>
      <c r="Z53">
        <f>[1]LISTADO_OTS!S53</f>
        <v>1</v>
      </c>
    </row>
    <row r="54" spans="1:26" x14ac:dyDescent="0.4">
      <c r="A54">
        <v>53</v>
      </c>
      <c r="B54" t="str">
        <f>[1]LISTADO_OTS!E54</f>
        <v>OT/0127</v>
      </c>
      <c r="C54">
        <f>VLOOKUP([1]LISTADO_OTS!B54,[1]Redes!$C$1:$E$5,3,FALSE)</f>
        <v>3</v>
      </c>
      <c r="D54">
        <f>[1]LISTADO_OTS!C54</f>
        <v>1</v>
      </c>
      <c r="E54">
        <f>[1]LISTADO_OTS!D54</f>
        <v>0</v>
      </c>
      <c r="F54">
        <f>[1]LISTADO_OTS!Q54</f>
        <v>6</v>
      </c>
      <c r="G54">
        <f>[1]LISTADO_OTS!R54</f>
        <v>6</v>
      </c>
      <c r="H54" t="str">
        <f>[1]LISTADO_OTS!H54</f>
        <v>Excavación y colocación de anillo de arqueta en Maeztu</v>
      </c>
      <c r="I54" t="str">
        <f>[1]LISTADO_OTS!I54</f>
        <v>Excavación y colocación de anillo de arqueta en Maeztu</v>
      </c>
      <c r="J54" s="1">
        <f>[1]LISTADO_OTS!F54</f>
        <v>45876</v>
      </c>
      <c r="K54" s="1">
        <f>[1]LISTADO_OTS!G54</f>
        <v>45876</v>
      </c>
      <c r="L54">
        <f>[1]LISTADO_OTS!M54</f>
        <v>42.739861111111111</v>
      </c>
      <c r="M54">
        <f>[1]LISTADO_OTS!N54</f>
        <v>-2.4472500000000004</v>
      </c>
      <c r="U54" t="b">
        <f>[1]LISTADO_OTS!O54</f>
        <v>1</v>
      </c>
      <c r="V54" t="str">
        <f>[1]LISTADO_OTS!J54</f>
        <v>Maeztu</v>
      </c>
      <c r="W54">
        <f>[1]LISTADO_OTS!R54</f>
        <v>6</v>
      </c>
      <c r="X54">
        <f>[1]LISTADO_OTS!P54</f>
        <v>0</v>
      </c>
      <c r="Y54">
        <v>1</v>
      </c>
      <c r="Z54">
        <f>[1]LISTADO_OTS!S54</f>
        <v>3</v>
      </c>
    </row>
    <row r="55" spans="1:26" x14ac:dyDescent="0.4">
      <c r="A55">
        <v>54</v>
      </c>
      <c r="B55" t="str">
        <f>[1]LISTADO_OTS!E55</f>
        <v>OT/0128</v>
      </c>
      <c r="C55">
        <f>VLOOKUP([1]LISTADO_OTS!B55,[1]Redes!$C$1:$E$5,3,FALSE)</f>
        <v>3</v>
      </c>
      <c r="D55">
        <f>[1]LISTADO_OTS!C55</f>
        <v>1</v>
      </c>
      <c r="E55">
        <f>[1]LISTADO_OTS!D55</f>
        <v>0</v>
      </c>
      <c r="F55">
        <f>[1]LISTADO_OTS!Q55</f>
        <v>1</v>
      </c>
      <c r="G55">
        <f>[1]LISTADO_OTS!R55</f>
        <v>1</v>
      </c>
      <c r="H55" t="str">
        <f>[1]LISTADO_OTS!H55</f>
        <v>Reparación fuga en Lekamaña</v>
      </c>
      <c r="I55" t="str">
        <f>[1]LISTADO_OTS!I55</f>
        <v>Reparación fuga: Búsqueda de fuga, descubrirla, repararla, tapar caata y fuga.</v>
      </c>
      <c r="J55" s="1">
        <f>[1]LISTADO_OTS!F55</f>
        <v>45876</v>
      </c>
      <c r="K55" s="1">
        <f>[1]LISTADO_OTS!G55</f>
        <v>45876</v>
      </c>
      <c r="L55">
        <f>[1]LISTADO_OTS!M55</f>
        <v>43.021638888888887</v>
      </c>
      <c r="M55">
        <f>[1]LISTADO_OTS!N55</f>
        <v>-2.997527777777778</v>
      </c>
      <c r="U55" t="b">
        <f>[1]LISTADO_OTS!O55</f>
        <v>1</v>
      </c>
      <c r="V55" t="str">
        <f>[1]LISTADO_OTS!J55</f>
        <v>Lekamaña</v>
      </c>
      <c r="W55">
        <f>[1]LISTADO_OTS!R55</f>
        <v>1</v>
      </c>
      <c r="X55">
        <f>[1]LISTADO_OTS!P55</f>
        <v>0</v>
      </c>
      <c r="Y55">
        <v>1</v>
      </c>
      <c r="Z55">
        <f>[1]LISTADO_OTS!S55</f>
        <v>1</v>
      </c>
    </row>
    <row r="56" spans="1:26" x14ac:dyDescent="0.4">
      <c r="A56">
        <v>55</v>
      </c>
      <c r="B56" t="str">
        <f>[1]LISTADO_OTS!E56</f>
        <v>OT/0129</v>
      </c>
      <c r="C56">
        <f>VLOOKUP([1]LISTADO_OTS!B56,[1]Redes!$C$1:$E$5,3,FALSE)</f>
        <v>3</v>
      </c>
      <c r="D56">
        <f>[1]LISTADO_OTS!C56</f>
        <v>1</v>
      </c>
      <c r="E56">
        <f>[1]LISTADO_OTS!D56</f>
        <v>0</v>
      </c>
      <c r="F56">
        <f>[1]LISTADO_OTS!Q56</f>
        <v>1</v>
      </c>
      <c r="G56">
        <f>[1]LISTADO_OTS!R56</f>
        <v>1</v>
      </c>
      <c r="H56" t="str">
        <f>[1]LISTADO_OTS!H56</f>
        <v>Localización de fuga en Delika</v>
      </c>
      <c r="I56" t="str">
        <f>[1]LISTADO_OTS!I56</f>
        <v>Localización de fuga en tubería de abastecimiento a depósito</v>
      </c>
      <c r="J56" s="1">
        <f>[1]LISTADO_OTS!F56</f>
        <v>45876</v>
      </c>
      <c r="K56" s="1">
        <f>[1]LISTADO_OTS!G56</f>
        <v>45876</v>
      </c>
      <c r="L56">
        <f>[1]LISTADO_OTS!M56</f>
        <v>42.969888888888889</v>
      </c>
      <c r="M56">
        <f>[1]LISTADO_OTS!N56</f>
        <v>-2.9978055555555558</v>
      </c>
      <c r="U56" t="b">
        <f>[1]LISTADO_OTS!O56</f>
        <v>1</v>
      </c>
      <c r="V56" t="str">
        <f>[1]LISTADO_OTS!J56</f>
        <v>Delika</v>
      </c>
      <c r="W56">
        <f>[1]LISTADO_OTS!R56</f>
        <v>1</v>
      </c>
      <c r="X56">
        <f>[1]LISTADO_OTS!P56</f>
        <v>0</v>
      </c>
      <c r="Y56">
        <v>1</v>
      </c>
      <c r="Z56">
        <f>[1]LISTADO_OTS!S56</f>
        <v>1</v>
      </c>
    </row>
    <row r="57" spans="1:26" x14ac:dyDescent="0.4">
      <c r="A57">
        <v>56</v>
      </c>
      <c r="B57" t="str">
        <f>[1]LISTADO_OTS!E57</f>
        <v>OT/0130</v>
      </c>
      <c r="C57">
        <f>VLOOKUP([1]LISTADO_OTS!B57,[1]Redes!$C$1:$E$5,3,FALSE)</f>
        <v>3</v>
      </c>
      <c r="D57">
        <f>[1]LISTADO_OTS!C57</f>
        <v>1</v>
      </c>
      <c r="E57">
        <f>[1]LISTADO_OTS!D57</f>
        <v>0</v>
      </c>
      <c r="F57">
        <f>[1]LISTADO_OTS!Q57</f>
        <v>5</v>
      </c>
      <c r="G57">
        <f>[1]LISTADO_OTS!R57</f>
        <v>5</v>
      </c>
      <c r="H57" t="str">
        <f>[1]LISTADO_OTS!H57</f>
        <v>Localización de fuga en Zambrana</v>
      </c>
      <c r="I57" t="str">
        <f>[1]LISTADO_OTS!I57</f>
        <v>Localización de fuga por aviso de fuga</v>
      </c>
      <c r="J57" s="1">
        <f>[1]LISTADO_OTS!F57</f>
        <v>45876</v>
      </c>
      <c r="K57" s="1">
        <f>[1]LISTADO_OTS!G57</f>
        <v>45876</v>
      </c>
      <c r="L57">
        <f>[1]LISTADO_OTS!M57</f>
        <v>42.662388888888884</v>
      </c>
      <c r="M57">
        <f>[1]LISTADO_OTS!N57</f>
        <v>-2.8814166666666665</v>
      </c>
      <c r="U57" t="b">
        <f>[1]LISTADO_OTS!O57</f>
        <v>1</v>
      </c>
      <c r="V57" t="str">
        <f>[1]LISTADO_OTS!J57</f>
        <v>Zambrana</v>
      </c>
      <c r="W57">
        <f>[1]LISTADO_OTS!R57</f>
        <v>5</v>
      </c>
      <c r="X57">
        <f>[1]LISTADO_OTS!P57</f>
        <v>0</v>
      </c>
      <c r="Y57">
        <v>1</v>
      </c>
      <c r="Z57">
        <f>[1]LISTADO_OTS!S57</f>
        <v>1</v>
      </c>
    </row>
    <row r="58" spans="1:26" x14ac:dyDescent="0.4">
      <c r="A58">
        <v>57</v>
      </c>
      <c r="B58" t="str">
        <f>[1]LISTADO_OTS!E58</f>
        <v>OT/0138</v>
      </c>
      <c r="C58">
        <f>VLOOKUP([1]LISTADO_OTS!B58,[1]Redes!$C$1:$E$5,3,FALSE)</f>
        <v>3</v>
      </c>
      <c r="D58">
        <f>[1]LISTADO_OTS!C58</f>
        <v>1</v>
      </c>
      <c r="E58">
        <f>[1]LISTADO_OTS!D58</f>
        <v>0</v>
      </c>
      <c r="F58">
        <f>[1]LISTADO_OTS!Q58</f>
        <v>5</v>
      </c>
      <c r="G58">
        <f>[1]LISTADO_OTS!R58</f>
        <v>5</v>
      </c>
      <c r="H58" t="str">
        <f>[1]LISTADO_OTS!H58</f>
        <v>Incidencia en Ribabellosa</v>
      </c>
      <c r="I58" t="str">
        <f>[1]LISTADO_OTS!I58</f>
        <v>Incidencia en Ribabellosa</v>
      </c>
      <c r="J58" s="1">
        <f>[1]LISTADO_OTS!F58</f>
        <v>45876</v>
      </c>
      <c r="K58" s="1">
        <f>[1]LISTADO_OTS!G58</f>
        <v>45876</v>
      </c>
      <c r="L58">
        <f>[1]LISTADO_OTS!M58</f>
        <v>42.709916666666672</v>
      </c>
      <c r="M58">
        <f>[1]LISTADO_OTS!N58</f>
        <v>-2.9316944444444442</v>
      </c>
      <c r="U58" t="b">
        <f>[1]LISTADO_OTS!O58</f>
        <v>1</v>
      </c>
      <c r="V58" t="str">
        <f>[1]LISTADO_OTS!J58</f>
        <v>Ribabellosa</v>
      </c>
      <c r="W58">
        <f>[1]LISTADO_OTS!R58</f>
        <v>5</v>
      </c>
      <c r="X58">
        <f>[1]LISTADO_OTS!P58</f>
        <v>0</v>
      </c>
      <c r="Y58">
        <v>1</v>
      </c>
      <c r="Z58">
        <f>[1]LISTADO_OTS!S58</f>
        <v>3</v>
      </c>
    </row>
    <row r="59" spans="1:26" x14ac:dyDescent="0.4">
      <c r="A59">
        <v>58</v>
      </c>
      <c r="B59" t="str">
        <f>[1]LISTADO_OTS!E59</f>
        <v>OT/0131</v>
      </c>
      <c r="C59">
        <f>VLOOKUP([1]LISTADO_OTS!B59,[1]Redes!$C$1:$E$5,3,FALSE)</f>
        <v>5</v>
      </c>
      <c r="D59">
        <f>[1]LISTADO_OTS!C59</f>
        <v>1</v>
      </c>
      <c r="E59">
        <f>[1]LISTADO_OTS!D59</f>
        <v>0</v>
      </c>
      <c r="F59">
        <f>[1]LISTADO_OTS!Q59</f>
        <v>1</v>
      </c>
      <c r="G59">
        <f>[1]LISTADO_OTS!R59</f>
        <v>3</v>
      </c>
      <c r="H59" t="str">
        <f>[1]LISTADO_OTS!H59</f>
        <v>Atasco en Calle Padura (Luiando)</v>
      </c>
      <c r="I59" t="str">
        <f>[1]LISTADO_OTS!I59</f>
        <v>Atasco en Calle Padura</v>
      </c>
      <c r="J59" s="1">
        <f>[1]LISTADO_OTS!F59</f>
        <v>45876</v>
      </c>
      <c r="K59" s="1">
        <f>[1]LISTADO_OTS!G59</f>
        <v>45876</v>
      </c>
      <c r="L59">
        <f>[1]LISTADO_OTS!M59</f>
        <v>43.093111111111114</v>
      </c>
      <c r="M59">
        <f>[1]LISTADO_OTS!N59</f>
        <v>-3.0153055555555555</v>
      </c>
      <c r="U59" t="b">
        <f>[1]LISTADO_OTS!O59</f>
        <v>1</v>
      </c>
      <c r="V59" t="str">
        <f>[1]LISTADO_OTS!J59</f>
        <v>Luiando</v>
      </c>
      <c r="W59">
        <f>[1]LISTADO_OTS!R59</f>
        <v>3</v>
      </c>
      <c r="X59">
        <f>[1]LISTADO_OTS!P59</f>
        <v>0</v>
      </c>
      <c r="Y59">
        <v>1</v>
      </c>
      <c r="Z59">
        <f>[1]LISTADO_OTS!S59</f>
        <v>2</v>
      </c>
    </row>
    <row r="60" spans="1:26" x14ac:dyDescent="0.4">
      <c r="A60">
        <v>59</v>
      </c>
      <c r="B60" t="str">
        <f>[1]LISTADO_OTS!E60</f>
        <v>OT/0132</v>
      </c>
      <c r="C60">
        <f>VLOOKUP([1]LISTADO_OTS!B60,[1]Redes!$C$1:$E$5,3,FALSE)</f>
        <v>3</v>
      </c>
      <c r="D60">
        <f>[1]LISTADO_OTS!C60</f>
        <v>1</v>
      </c>
      <c r="E60">
        <f>[1]LISTADO_OTS!D60</f>
        <v>0</v>
      </c>
      <c r="F60">
        <f>[1]LISTADO_OTS!Q60</f>
        <v>1</v>
      </c>
      <c r="G60">
        <f>[1]LISTADO_OTS!R60</f>
        <v>1</v>
      </c>
      <c r="H60" t="str">
        <f>[1]LISTADO_OTS!H60</f>
        <v>Reparación de fuga y corte de agua</v>
      </c>
      <c r="I60" t="str">
        <f>[1]LISTADO_OTS!I60</f>
        <v>Corte de agua en Mendiko Kalea</v>
      </c>
      <c r="J60" s="1">
        <f>[1]LISTADO_OTS!F60</f>
        <v>45876</v>
      </c>
      <c r="K60" s="1">
        <f>[1]LISTADO_OTS!G60</f>
        <v>45876</v>
      </c>
      <c r="L60">
        <f>[1]LISTADO_OTS!M60</f>
        <v>43.059333333333328</v>
      </c>
      <c r="M60">
        <f>[1]LISTADO_OTS!N60</f>
        <v>-3.0155833333333333</v>
      </c>
      <c r="U60" t="b">
        <f>[1]LISTADO_OTS!O60</f>
        <v>1</v>
      </c>
      <c r="V60" t="str">
        <f>[1]LISTADO_OTS!J60</f>
        <v>Amurrio</v>
      </c>
      <c r="W60">
        <f>[1]LISTADO_OTS!R60</f>
        <v>1</v>
      </c>
      <c r="X60">
        <f>[1]LISTADO_OTS!P60</f>
        <v>0</v>
      </c>
      <c r="Y60">
        <v>1</v>
      </c>
      <c r="Z60">
        <f>[1]LISTADO_OTS!S60</f>
        <v>1</v>
      </c>
    </row>
    <row r="61" spans="1:26" x14ac:dyDescent="0.4">
      <c r="A61">
        <v>60</v>
      </c>
      <c r="B61" t="str">
        <f>[1]LISTADO_OTS!E61</f>
        <v>OT/0133</v>
      </c>
      <c r="C61">
        <f>VLOOKUP([1]LISTADO_OTS!B61,[1]Redes!$C$1:$E$5,3,FALSE)</f>
        <v>3</v>
      </c>
      <c r="D61">
        <f>[1]LISTADO_OTS!C61</f>
        <v>1</v>
      </c>
      <c r="E61">
        <f>[1]LISTADO_OTS!D61</f>
        <v>0</v>
      </c>
      <c r="F61">
        <f>[1]LISTADO_OTS!Q61</f>
        <v>1</v>
      </c>
      <c r="G61">
        <f>[1]LISTADO_OTS!R61</f>
        <v>1</v>
      </c>
      <c r="H61" t="str">
        <f>[1]LISTADO_OTS!H61</f>
        <v>Fuga en Barretaguren, Artziniega</v>
      </c>
      <c r="I61" t="str">
        <f>[1]LISTADO_OTS!I61</f>
        <v>Fuga en Barretaguren, Artziniega</v>
      </c>
      <c r="J61" s="1">
        <f>[1]LISTADO_OTS!F61</f>
        <v>45876</v>
      </c>
      <c r="K61" s="1">
        <f>[1]LISTADO_OTS!G61</f>
        <v>45876</v>
      </c>
      <c r="L61">
        <f>[1]LISTADO_OTS!M61</f>
        <v>43.126444444444445</v>
      </c>
      <c r="M61">
        <f>[1]LISTADO_OTS!N61</f>
        <v>-3.1325277777777778</v>
      </c>
      <c r="U61" t="b">
        <f>[1]LISTADO_OTS!O61</f>
        <v>1</v>
      </c>
      <c r="V61" t="str">
        <f>[1]LISTADO_OTS!J61</f>
        <v>Artziniega</v>
      </c>
      <c r="W61">
        <f>[1]LISTADO_OTS!R61</f>
        <v>1</v>
      </c>
      <c r="X61">
        <f>[1]LISTADO_OTS!P61</f>
        <v>0</v>
      </c>
      <c r="Y61">
        <v>1</v>
      </c>
      <c r="Z61">
        <f>[1]LISTADO_OTS!S61</f>
        <v>1</v>
      </c>
    </row>
    <row r="62" spans="1:26" x14ac:dyDescent="0.4">
      <c r="A62">
        <v>61</v>
      </c>
      <c r="B62" t="str">
        <f>[1]LISTADO_OTS!E62</f>
        <v>OT/0134</v>
      </c>
      <c r="C62">
        <f>VLOOKUP([1]LISTADO_OTS!B62,[1]Redes!$C$1:$E$5,3,FALSE)</f>
        <v>5</v>
      </c>
      <c r="D62">
        <f>[1]LISTADO_OTS!C62</f>
        <v>1</v>
      </c>
      <c r="E62">
        <f>[1]LISTADO_OTS!D62</f>
        <v>0</v>
      </c>
      <c r="F62">
        <f>[1]LISTADO_OTS!Q62</f>
        <v>6</v>
      </c>
      <c r="G62">
        <f>[1]LISTADO_OTS!R62</f>
        <v>46</v>
      </c>
      <c r="H62" t="str">
        <f>[1]LISTADO_OTS!H62</f>
        <v>Saneamiento ayuda a camión en Maeztu</v>
      </c>
      <c r="I62" t="str">
        <f>[1]LISTADO_OTS!I62</f>
        <v>Saneamiento Maeztu</v>
      </c>
      <c r="J62" s="1">
        <f>[1]LISTADO_OTS!F62</f>
        <v>45876</v>
      </c>
      <c r="K62" s="1">
        <f>[1]LISTADO_OTS!G62</f>
        <v>45876</v>
      </c>
      <c r="L62">
        <f>[1]LISTADO_OTS!M62</f>
        <v>42.738638888888893</v>
      </c>
      <c r="M62">
        <f>[1]LISTADO_OTS!N62</f>
        <v>-2.4494722222222225</v>
      </c>
      <c r="U62" t="b">
        <f>[1]LISTADO_OTS!O62</f>
        <v>1</v>
      </c>
      <c r="V62" t="str">
        <f>[1]LISTADO_OTS!J62</f>
        <v>Maeztu</v>
      </c>
      <c r="W62">
        <f>[1]LISTADO_OTS!R62</f>
        <v>46</v>
      </c>
      <c r="X62">
        <f>[1]LISTADO_OTS!P62</f>
        <v>0</v>
      </c>
      <c r="Y62">
        <v>1</v>
      </c>
      <c r="Z62">
        <f>[1]LISTADO_OTS!S62</f>
        <v>3</v>
      </c>
    </row>
    <row r="63" spans="1:26" x14ac:dyDescent="0.4">
      <c r="A63">
        <v>62</v>
      </c>
      <c r="B63" t="str">
        <f>[1]LISTADO_OTS!E63</f>
        <v>OT/0135</v>
      </c>
      <c r="C63">
        <f>VLOOKUP([1]LISTADO_OTS!B63,[1]Redes!$C$1:$E$5,3,FALSE)</f>
        <v>3</v>
      </c>
      <c r="D63">
        <f>[1]LISTADO_OTS!C63</f>
        <v>1</v>
      </c>
      <c r="E63">
        <f>[1]LISTADO_OTS!D63</f>
        <v>0</v>
      </c>
      <c r="F63">
        <f>[1]LISTADO_OTS!Q63</f>
        <v>3</v>
      </c>
      <c r="G63">
        <f>[1]LISTADO_OTS!R63</f>
        <v>3</v>
      </c>
      <c r="H63" t="str">
        <f>[1]LISTADO_OTS!H63</f>
        <v>Revisión y análisis de trabajos pendientes en Agurain y Alegría</v>
      </c>
      <c r="I63" t="str">
        <f>[1]LISTADO_OTS!I63</f>
        <v>Revisión y análisis de trabajos pendientes</v>
      </c>
      <c r="J63" s="1">
        <f>[1]LISTADO_OTS!F63</f>
        <v>45876</v>
      </c>
      <c r="K63" s="1">
        <f>[1]LISTADO_OTS!G63</f>
        <v>45876</v>
      </c>
      <c r="L63">
        <f>[1]LISTADO_OTS!M63</f>
        <v>42.847972222222225</v>
      </c>
      <c r="M63">
        <f>[1]LISTADO_OTS!N63</f>
        <v>-2.39975</v>
      </c>
      <c r="U63" t="b">
        <f>[1]LISTADO_OTS!O63</f>
        <v>1</v>
      </c>
      <c r="V63" t="str">
        <f>[1]LISTADO_OTS!J63</f>
        <v>Agurain y Alegría</v>
      </c>
      <c r="W63">
        <f>[1]LISTADO_OTS!R63</f>
        <v>3</v>
      </c>
      <c r="X63">
        <f>[1]LISTADO_OTS!P63</f>
        <v>0</v>
      </c>
      <c r="Y63">
        <v>1</v>
      </c>
      <c r="Z63">
        <f>[1]LISTADO_OTS!S63</f>
        <v>3</v>
      </c>
    </row>
    <row r="64" spans="1:26" x14ac:dyDescent="0.4">
      <c r="A64">
        <v>63</v>
      </c>
      <c r="B64" t="str">
        <f>[1]LISTADO_OTS!E64</f>
        <v>OT/0136</v>
      </c>
      <c r="C64">
        <f>VLOOKUP([1]LISTADO_OTS!B64,[1]Redes!$C$1:$E$5,3,FALSE)</f>
        <v>3</v>
      </c>
      <c r="D64">
        <f>[1]LISTADO_OTS!C64</f>
        <v>1</v>
      </c>
      <c r="E64">
        <f>[1]LISTADO_OTS!D64</f>
        <v>0</v>
      </c>
      <c r="F64">
        <f>[1]LISTADO_OTS!Q64</f>
        <v>1</v>
      </c>
      <c r="G64">
        <f>[1]LISTADO_OTS!R64</f>
        <v>1</v>
      </c>
      <c r="H64" t="str">
        <f>[1]LISTADO_OTS!H64</f>
        <v>Aviso usuario en agua en Luiando</v>
      </c>
      <c r="I64" t="str">
        <f>[1]LISTADO_OTS!I64</f>
        <v>Aviso usuario</v>
      </c>
      <c r="J64" s="1">
        <f>[1]LISTADO_OTS!F64</f>
        <v>45876</v>
      </c>
      <c r="K64" s="1">
        <f>[1]LISTADO_OTS!G64</f>
        <v>45876</v>
      </c>
      <c r="L64">
        <f>[1]LISTADO_OTS!M64</f>
        <v>43.09986111111111</v>
      </c>
      <c r="M64">
        <f>[1]LISTADO_OTS!N64</f>
        <v>-3.000027777777778</v>
      </c>
      <c r="U64" t="b">
        <f>[1]LISTADO_OTS!O64</f>
        <v>1</v>
      </c>
      <c r="V64" t="str">
        <f>[1]LISTADO_OTS!J64</f>
        <v>Luiando</v>
      </c>
      <c r="W64">
        <f>[1]LISTADO_OTS!R64</f>
        <v>1</v>
      </c>
      <c r="X64">
        <f>[1]LISTADO_OTS!P64</f>
        <v>0</v>
      </c>
      <c r="Y64">
        <v>1</v>
      </c>
      <c r="Z64">
        <f>[1]LISTADO_OTS!S64</f>
        <v>1</v>
      </c>
    </row>
    <row r="65" spans="1:26" x14ac:dyDescent="0.4">
      <c r="A65">
        <v>64</v>
      </c>
      <c r="B65" t="str">
        <f>[1]LISTADO_OTS!E65</f>
        <v>OT/0137</v>
      </c>
      <c r="C65">
        <f>VLOOKUP([1]LISTADO_OTS!B65,[1]Redes!$C$1:$E$5,3,FALSE)</f>
        <v>3</v>
      </c>
      <c r="D65">
        <f>[1]LISTADO_OTS!C65</f>
        <v>1</v>
      </c>
      <c r="E65">
        <f>[1]LISTADO_OTS!D65</f>
        <v>0</v>
      </c>
      <c r="F65">
        <f>[1]LISTADO_OTS!Q65</f>
        <v>1</v>
      </c>
      <c r="G65">
        <f>[1]LISTADO_OTS!R65</f>
        <v>1</v>
      </c>
      <c r="H65" t="str">
        <f>[1]LISTADO_OTS!H65</f>
        <v>Fuga de agua en Santa Coloma Artzeniaga</v>
      </c>
      <c r="I65" t="str">
        <f>[1]LISTADO_OTS!I65</f>
        <v>Fuga de agua en Santa Coloma, Artziniega</v>
      </c>
      <c r="J65" s="1">
        <f>[1]LISTADO_OTS!F65</f>
        <v>45876</v>
      </c>
      <c r="K65" s="1">
        <f>[1]LISTADO_OTS!G65</f>
        <v>45876</v>
      </c>
      <c r="L65">
        <f>[1]LISTADO_OTS!M65</f>
        <v>43.138472222222219</v>
      </c>
      <c r="M65">
        <f>[1]LISTADO_OTS!N65</f>
        <v>-3.1669722222222223</v>
      </c>
      <c r="U65" t="b">
        <f>[1]LISTADO_OTS!O65</f>
        <v>1</v>
      </c>
      <c r="V65" t="str">
        <f>[1]LISTADO_OTS!J65</f>
        <v>Artziniega</v>
      </c>
      <c r="W65">
        <f>[1]LISTADO_OTS!R65</f>
        <v>1</v>
      </c>
      <c r="X65">
        <f>[1]LISTADO_OTS!P65</f>
        <v>0</v>
      </c>
      <c r="Y65">
        <v>1</v>
      </c>
      <c r="Z65">
        <f>[1]LISTADO_OTS!S65</f>
        <v>1</v>
      </c>
    </row>
    <row r="66" spans="1:26" x14ac:dyDescent="0.4">
      <c r="A66">
        <v>65</v>
      </c>
      <c r="B66" t="str">
        <f>[1]LISTADO_OTS!E66</f>
        <v>TP/0018</v>
      </c>
      <c r="C66">
        <f>VLOOKUP([1]LISTADO_OTS!B66,[1]Redes!$C$1:$E$5,3,FALSE)</f>
        <v>1</v>
      </c>
      <c r="D66">
        <f>[1]LISTADO_OTS!C66</f>
        <v>2</v>
      </c>
      <c r="E66">
        <f>[1]LISTADO_OTS!D66</f>
        <v>2</v>
      </c>
      <c r="F66">
        <f>[1]LISTADO_OTS!Q66</f>
        <v>1</v>
      </c>
      <c r="G66">
        <f>[1]LISTADO_OTS!R66</f>
        <v>1</v>
      </c>
      <c r="H66" t="str">
        <f>[1]LISTADO_OTS!H66</f>
        <v>Limpieza de captaciones</v>
      </c>
      <c r="I66" t="str">
        <f>[1]LISTADO_OTS!I66</f>
        <v>Limpieza de captaciones en Aiaraldea</v>
      </c>
      <c r="J66" s="1">
        <f>[1]LISTADO_OTS!F66</f>
        <v>45877</v>
      </c>
      <c r="K66" s="1">
        <f>[1]LISTADO_OTS!G66</f>
        <v>45877</v>
      </c>
      <c r="L66">
        <f>[1]LISTADO_OTS!M66</f>
        <v>43.134722222222223</v>
      </c>
      <c r="M66">
        <f>[1]LISTADO_OTS!N66</f>
        <v>-2.983916666666667</v>
      </c>
      <c r="U66" t="b">
        <f>[1]LISTADO_OTS!O66</f>
        <v>1</v>
      </c>
      <c r="V66" t="str">
        <f>[1]LISTADO_OTS!J66</f>
        <v>AIARALDEA</v>
      </c>
      <c r="W66">
        <f>[1]LISTADO_OTS!R66</f>
        <v>1</v>
      </c>
      <c r="X66">
        <f>[1]LISTADO_OTS!P66</f>
        <v>0</v>
      </c>
      <c r="Y66">
        <v>1</v>
      </c>
      <c r="Z66">
        <f>[1]LISTADO_OTS!S66</f>
        <v>0</v>
      </c>
    </row>
    <row r="67" spans="1:26" x14ac:dyDescent="0.4">
      <c r="A67">
        <v>66</v>
      </c>
      <c r="B67" t="str">
        <f>[1]LISTADO_OTS!E67</f>
        <v>TP/0019</v>
      </c>
      <c r="C67">
        <f>VLOOKUP([1]LISTADO_OTS!B67,[1]Redes!$C$1:$E$5,3,FALSE)</f>
        <v>2</v>
      </c>
      <c r="D67">
        <f>[1]LISTADO_OTS!C67</f>
        <v>2</v>
      </c>
      <c r="E67">
        <f>[1]LISTADO_OTS!D67</f>
        <v>3</v>
      </c>
      <c r="F67">
        <f>[1]LISTADO_OTS!Q67</f>
        <v>1</v>
      </c>
      <c r="G67">
        <f>[1]LISTADO_OTS!R67</f>
        <v>1</v>
      </c>
      <c r="H67" t="str">
        <f>[1]LISTADO_OTS!H67</f>
        <v>Mantenimiento fosas sépticas en Oceca</v>
      </c>
      <c r="I67" t="str">
        <f>[1]LISTADO_OTS!I67</f>
        <v>Mantenimiento fosas sépticas: Limpieza, vaciado y desbrozado de acceso de fosas</v>
      </c>
      <c r="J67" s="1">
        <f>[1]LISTADO_OTS!F67</f>
        <v>45877</v>
      </c>
      <c r="K67" s="1">
        <f>[1]LISTADO_OTS!G67</f>
        <v>45877</v>
      </c>
      <c r="L67">
        <f>[1]LISTADO_OTS!M67</f>
        <v>43.07127777777778</v>
      </c>
      <c r="M67">
        <f>[1]LISTADO_OTS!N67</f>
        <v>-3.1008611111111111</v>
      </c>
      <c r="U67" t="b">
        <f>[1]LISTADO_OTS!O67</f>
        <v>1</v>
      </c>
      <c r="V67" t="str">
        <f>[1]LISTADO_OTS!J67</f>
        <v>Ozeka</v>
      </c>
      <c r="W67">
        <f>[1]LISTADO_OTS!R67</f>
        <v>1</v>
      </c>
      <c r="X67">
        <f>[1]LISTADO_OTS!P67</f>
        <v>0</v>
      </c>
      <c r="Y67">
        <v>1</v>
      </c>
      <c r="Z67">
        <f>[1]LISTADO_OTS!S67</f>
        <v>0</v>
      </c>
    </row>
    <row r="68" spans="1:26" x14ac:dyDescent="0.4">
      <c r="A68">
        <v>67</v>
      </c>
      <c r="B68" t="str">
        <f>[1]LISTADO_OTS!E68</f>
        <v>TP/0020</v>
      </c>
      <c r="C68">
        <f>VLOOKUP([1]LISTADO_OTS!B68,[1]Redes!$C$1:$E$5,3,FALSE)</f>
        <v>2</v>
      </c>
      <c r="D68">
        <f>[1]LISTADO_OTS!C68</f>
        <v>2</v>
      </c>
      <c r="E68">
        <f>[1]LISTADO_OTS!D68</f>
        <v>3</v>
      </c>
      <c r="F68">
        <f>[1]LISTADO_OTS!Q68</f>
        <v>1</v>
      </c>
      <c r="G68">
        <f>[1]LISTADO_OTS!R68</f>
        <v>1</v>
      </c>
      <c r="H68" t="str">
        <f>[1]LISTADO_OTS!H68</f>
        <v>Mantenimiento fosas sépticas en Llanteno</v>
      </c>
      <c r="I68" t="str">
        <f>[1]LISTADO_OTS!I68</f>
        <v>Mantenimiento fosas sépticas: Limpieza, vaciado y desbrozado de acceso de fosas</v>
      </c>
      <c r="J68" s="1">
        <f>[1]LISTADO_OTS!F68</f>
        <v>45877</v>
      </c>
      <c r="K68" s="1">
        <f>[1]LISTADO_OTS!G68</f>
        <v>45877</v>
      </c>
      <c r="L68">
        <f>[1]LISTADO_OTS!M68</f>
        <v>43.084138888888894</v>
      </c>
      <c r="M68">
        <f>[1]LISTADO_OTS!N68</f>
        <v>-3.1178055555555555</v>
      </c>
      <c r="U68" t="b">
        <f>[1]LISTADO_OTS!O68</f>
        <v>1</v>
      </c>
      <c r="V68" t="str">
        <f>[1]LISTADO_OTS!J68</f>
        <v>Llanteno-Ayala</v>
      </c>
      <c r="W68">
        <f>[1]LISTADO_OTS!R68</f>
        <v>1</v>
      </c>
      <c r="X68">
        <f>[1]LISTADO_OTS!P68</f>
        <v>0</v>
      </c>
      <c r="Y68">
        <v>1</v>
      </c>
      <c r="Z68">
        <f>[1]LISTADO_OTS!S68</f>
        <v>0</v>
      </c>
    </row>
    <row r="69" spans="1:26" x14ac:dyDescent="0.4">
      <c r="A69">
        <v>68</v>
      </c>
      <c r="B69" t="str">
        <f>[1]LISTADO_OTS!E69</f>
        <v>OT/0139</v>
      </c>
      <c r="C69">
        <f>VLOOKUP([1]LISTADO_OTS!B69,[1]Redes!$C$1:$E$5,3,FALSE)</f>
        <v>3</v>
      </c>
      <c r="D69">
        <f>[1]LISTADO_OTS!C69</f>
        <v>1</v>
      </c>
      <c r="E69">
        <f>[1]LISTADO_OTS!D69</f>
        <v>0</v>
      </c>
      <c r="F69">
        <f>[1]LISTADO_OTS!Q69</f>
        <v>1</v>
      </c>
      <c r="G69">
        <f>[1]LISTADO_OTS!R69</f>
        <v>1</v>
      </c>
      <c r="H69" t="str">
        <f>[1]LISTADO_OTS!H69</f>
        <v>Reparación de fuga en Santa Coloma Atzeniaga</v>
      </c>
      <c r="I69" t="str">
        <f>[1]LISTADO_OTS!I69</f>
        <v>Fuga en Santa Coloma, reparación de fuga</v>
      </c>
      <c r="J69" s="1">
        <f>[1]LISTADO_OTS!F69</f>
        <v>45877</v>
      </c>
      <c r="K69" s="1">
        <f>[1]LISTADO_OTS!G69</f>
        <v>45877</v>
      </c>
      <c r="L69">
        <f>[1]LISTADO_OTS!M69</f>
        <v>43.138249999999999</v>
      </c>
      <c r="M69">
        <f>[1]LISTADO_OTS!N69</f>
        <v>-3.1680833333333331</v>
      </c>
      <c r="U69" t="b">
        <f>[1]LISTADO_OTS!O69</f>
        <v>1</v>
      </c>
      <c r="V69" t="str">
        <f>[1]LISTADO_OTS!J69</f>
        <v>Artziniega</v>
      </c>
      <c r="W69">
        <f>[1]LISTADO_OTS!R69</f>
        <v>1</v>
      </c>
      <c r="X69">
        <f>[1]LISTADO_OTS!P69</f>
        <v>0</v>
      </c>
      <c r="Y69">
        <v>1</v>
      </c>
      <c r="Z69">
        <f>[1]LISTADO_OTS!S69</f>
        <v>1</v>
      </c>
    </row>
    <row r="70" spans="1:26" x14ac:dyDescent="0.4">
      <c r="A70">
        <v>69</v>
      </c>
      <c r="B70" t="str">
        <f>[1]LISTADO_OTS!E70</f>
        <v>OT/0140</v>
      </c>
      <c r="C70">
        <f>VLOOKUP([1]LISTADO_OTS!B70,[1]Redes!$C$1:$E$5,3,FALSE)</f>
        <v>3</v>
      </c>
      <c r="D70">
        <f>[1]LISTADO_OTS!C70</f>
        <v>1</v>
      </c>
      <c r="E70">
        <f>[1]LISTADO_OTS!D70</f>
        <v>0</v>
      </c>
      <c r="F70">
        <f>[1]LISTADO_OTS!Q70</f>
        <v>5</v>
      </c>
      <c r="G70">
        <f>[1]LISTADO_OTS!R70</f>
        <v>5</v>
      </c>
      <c r="H70" t="str">
        <f>[1]LISTADO_OTS!H70</f>
        <v>Aviso de fuga en Ribabellosa</v>
      </c>
      <c r="I70" t="str">
        <f>[1]LISTADO_OTS!I70</f>
        <v>Aviso de urgencia con fuga estrangular</v>
      </c>
      <c r="J70" s="1">
        <f>[1]LISTADO_OTS!F70</f>
        <v>45877</v>
      </c>
      <c r="K70" s="1">
        <f>[1]LISTADO_OTS!G70</f>
        <v>45877</v>
      </c>
      <c r="L70">
        <f>[1]LISTADO_OTS!M70</f>
        <v>0</v>
      </c>
      <c r="M70">
        <f>[1]LISTADO_OTS!N70</f>
        <v>0</v>
      </c>
      <c r="U70" t="b">
        <f>[1]LISTADO_OTS!O70</f>
        <v>1</v>
      </c>
      <c r="V70" t="str">
        <f>[1]LISTADO_OTS!J70</f>
        <v>Ribabellosa</v>
      </c>
      <c r="W70">
        <f>[1]LISTADO_OTS!R70</f>
        <v>5</v>
      </c>
      <c r="X70">
        <f>[1]LISTADO_OTS!P70</f>
        <v>0</v>
      </c>
      <c r="Y70">
        <v>1</v>
      </c>
      <c r="Z70">
        <f>[1]LISTADO_OTS!S70</f>
        <v>1</v>
      </c>
    </row>
    <row r="71" spans="1:26" x14ac:dyDescent="0.4">
      <c r="A71">
        <v>70</v>
      </c>
      <c r="B71" t="str">
        <f>[1]LISTADO_OTS!E71</f>
        <v>OT/0141</v>
      </c>
      <c r="C71">
        <f>VLOOKUP([1]LISTADO_OTS!B71,[1]Redes!$C$1:$E$5,3,FALSE)</f>
        <v>3</v>
      </c>
      <c r="D71">
        <f>[1]LISTADO_OTS!C71</f>
        <v>1</v>
      </c>
      <c r="E71">
        <f>[1]LISTADO_OTS!D71</f>
        <v>0</v>
      </c>
      <c r="F71">
        <f>[1]LISTADO_OTS!Q71</f>
        <v>1</v>
      </c>
      <c r="G71">
        <f>[1]LISTADO_OTS!R71</f>
        <v>1</v>
      </c>
      <c r="H71" t="str">
        <f>[1]LISTADO_OTS!H71</f>
        <v>Reparación de fuga en Artzeniaga</v>
      </c>
      <c r="I71" t="str">
        <f>[1]LISTADO_OTS!I71</f>
        <v>Reparación de fuga en Torre Barretaguren en Artziniega</v>
      </c>
      <c r="J71" s="1">
        <f>[1]LISTADO_OTS!F71</f>
        <v>45878</v>
      </c>
      <c r="K71" s="1">
        <f>[1]LISTADO_OTS!G71</f>
        <v>45878</v>
      </c>
      <c r="L71">
        <f>[1]LISTADO_OTS!M71</f>
        <v>43.132916666666667</v>
      </c>
      <c r="M71">
        <f>[1]LISTADO_OTS!N71</f>
        <v>-3.118638888888889</v>
      </c>
      <c r="U71" t="b">
        <f>[1]LISTADO_OTS!O71</f>
        <v>1</v>
      </c>
      <c r="V71" t="str">
        <f>[1]LISTADO_OTS!J71</f>
        <v>Artziniega</v>
      </c>
      <c r="W71">
        <f>[1]LISTADO_OTS!R71</f>
        <v>1</v>
      </c>
      <c r="X71">
        <f>[1]LISTADO_OTS!P71</f>
        <v>0</v>
      </c>
      <c r="Y71">
        <v>1</v>
      </c>
      <c r="Z71">
        <f>[1]LISTADO_OTS!S71</f>
        <v>1</v>
      </c>
    </row>
    <row r="72" spans="1:26" x14ac:dyDescent="0.4">
      <c r="A72">
        <v>71</v>
      </c>
      <c r="B72" t="str">
        <f>[1]LISTADO_OTS!E72</f>
        <v>OT/0142</v>
      </c>
      <c r="C72">
        <f>VLOOKUP([1]LISTADO_OTS!B72,[1]Redes!$C$1:$E$5,3,FALSE)</f>
        <v>1</v>
      </c>
      <c r="D72">
        <f>[1]LISTADO_OTS!C72</f>
        <v>1</v>
      </c>
      <c r="E72">
        <f>[1]LISTADO_OTS!D72</f>
        <v>0</v>
      </c>
      <c r="F72">
        <f>[1]LISTADO_OTS!Q72</f>
        <v>1</v>
      </c>
      <c r="G72">
        <f>[1]LISTADO_OTS!R72</f>
        <v>1</v>
      </c>
      <c r="H72" t="str">
        <f>[1]LISTADO_OTS!H72</f>
        <v>Tapado de catas en Delika</v>
      </c>
      <c r="I72" t="str">
        <f>[1]LISTADO_OTS!I72</f>
        <v>Tapado de catas en Delika</v>
      </c>
      <c r="J72" s="1">
        <f>[1]LISTADO_OTS!F72</f>
        <v>45878</v>
      </c>
      <c r="K72" s="1">
        <f>[1]LISTADO_OTS!G72</f>
        <v>45878</v>
      </c>
      <c r="L72">
        <f>[1]LISTADO_OTS!M72</f>
        <v>42.970277777777781</v>
      </c>
      <c r="M72">
        <f>[1]LISTADO_OTS!N72</f>
        <v>-3.0022500000000001</v>
      </c>
      <c r="U72" t="b">
        <f>[1]LISTADO_OTS!O72</f>
        <v>1</v>
      </c>
      <c r="V72" t="str">
        <f>[1]LISTADO_OTS!J72</f>
        <v>Delika</v>
      </c>
      <c r="W72">
        <f>[1]LISTADO_OTS!R72</f>
        <v>1</v>
      </c>
      <c r="X72">
        <f>[1]LISTADO_OTS!P72</f>
        <v>0</v>
      </c>
      <c r="Y72">
        <v>1</v>
      </c>
      <c r="Z72">
        <f>[1]LISTADO_OTS!S72</f>
        <v>3</v>
      </c>
    </row>
    <row r="73" spans="1:26" x14ac:dyDescent="0.4">
      <c r="A73">
        <v>72</v>
      </c>
      <c r="B73" t="str">
        <f>[1]LISTADO_OTS!E73</f>
        <v>OT/0143</v>
      </c>
      <c r="C73">
        <f>VLOOKUP([1]LISTADO_OTS!B73,[1]Redes!$C$1:$E$5,3,FALSE)</f>
        <v>5</v>
      </c>
      <c r="D73">
        <f>[1]LISTADO_OTS!C73</f>
        <v>1</v>
      </c>
      <c r="E73">
        <f>[1]LISTADO_OTS!D73</f>
        <v>0</v>
      </c>
      <c r="F73">
        <f>[1]LISTADO_OTS!Q73</f>
        <v>1</v>
      </c>
      <c r="G73">
        <f>[1]LISTADO_OTS!R73</f>
        <v>1</v>
      </c>
      <c r="H73" t="str">
        <f>[1]LISTADO_OTS!H73</f>
        <v>Desatasco en Calle Aiara en Amurrio</v>
      </c>
      <c r="I73" t="str">
        <f>[1]LISTADO_OTS!I73</f>
        <v>Desatasco en Calle Aiara, Amurrio</v>
      </c>
      <c r="J73" s="1">
        <f>[1]LISTADO_OTS!F73</f>
        <v>45878</v>
      </c>
      <c r="K73" s="1">
        <f>[1]LISTADO_OTS!G73</f>
        <v>45878</v>
      </c>
      <c r="L73">
        <f>[1]LISTADO_OTS!M73</f>
        <v>43.055944444444442</v>
      </c>
      <c r="M73">
        <f>[1]LISTADO_OTS!N73</f>
        <v>-3.0191944444444445</v>
      </c>
      <c r="U73" t="b">
        <f>[1]LISTADO_OTS!O73</f>
        <v>1</v>
      </c>
      <c r="V73" t="str">
        <f>[1]LISTADO_OTS!J73</f>
        <v>Amurrio</v>
      </c>
      <c r="W73">
        <f>[1]LISTADO_OTS!R73</f>
        <v>1</v>
      </c>
      <c r="X73">
        <f>[1]LISTADO_OTS!P73</f>
        <v>0</v>
      </c>
      <c r="Y73">
        <v>1</v>
      </c>
      <c r="Z73">
        <f>[1]LISTADO_OTS!S73</f>
        <v>2</v>
      </c>
    </row>
    <row r="74" spans="1:26" x14ac:dyDescent="0.4">
      <c r="A74">
        <v>73</v>
      </c>
      <c r="B74" t="str">
        <f>[1]LISTADO_OTS!E74</f>
        <v>OT/0144</v>
      </c>
      <c r="C74">
        <f>VLOOKUP([1]LISTADO_OTS!B74,[1]Redes!$C$1:$E$5,3,FALSE)</f>
        <v>3</v>
      </c>
      <c r="D74">
        <f>[1]LISTADO_OTS!C74</f>
        <v>1</v>
      </c>
      <c r="E74">
        <f>[1]LISTADO_OTS!D74</f>
        <v>0</v>
      </c>
      <c r="F74">
        <f>[1]LISTADO_OTS!Q74</f>
        <v>1</v>
      </c>
      <c r="G74">
        <f>[1]LISTADO_OTS!R74</f>
        <v>1</v>
      </c>
      <c r="H74" t="str">
        <f>[1]LISTADO_OTS!H74</f>
        <v>Reparación de fuga en Respaldiza</v>
      </c>
      <c r="I74" t="str">
        <f>[1]LISTADO_OTS!I74</f>
        <v>Reparación de fuga en Respaldiza</v>
      </c>
      <c r="J74" s="1">
        <f>[1]LISTADO_OTS!F74</f>
        <v>45878</v>
      </c>
      <c r="K74" s="1">
        <f>[1]LISTADO_OTS!G74</f>
        <v>45878</v>
      </c>
      <c r="L74">
        <f>[1]LISTADO_OTS!M74</f>
        <v>43.076583333333339</v>
      </c>
      <c r="M74">
        <f>[1]LISTADO_OTS!N74</f>
        <v>-3.0528055555555556</v>
      </c>
      <c r="U74" t="b">
        <f>[1]LISTADO_OTS!O74</f>
        <v>1</v>
      </c>
      <c r="V74" t="str">
        <f>[1]LISTADO_OTS!J74</f>
        <v>Respaldiza</v>
      </c>
      <c r="W74">
        <f>[1]LISTADO_OTS!R74</f>
        <v>1</v>
      </c>
      <c r="X74">
        <f>[1]LISTADO_OTS!P74</f>
        <v>0</v>
      </c>
      <c r="Y74">
        <v>1</v>
      </c>
      <c r="Z74">
        <f>[1]LISTADO_OTS!S74</f>
        <v>1</v>
      </c>
    </row>
    <row r="75" spans="1:26" x14ac:dyDescent="0.4">
      <c r="A75">
        <v>74</v>
      </c>
      <c r="B75" t="str">
        <f>[1]LISTADO_OTS!E75</f>
        <v>OT/0145</v>
      </c>
      <c r="C75">
        <f>VLOOKUP([1]LISTADO_OTS!B75,[1]Redes!$C$1:$E$5,3,FALSE)</f>
        <v>3</v>
      </c>
      <c r="D75">
        <f>[1]LISTADO_OTS!C75</f>
        <v>1</v>
      </c>
      <c r="E75">
        <f>[1]LISTADO_OTS!D75</f>
        <v>0</v>
      </c>
      <c r="F75">
        <f>[1]LISTADO_OTS!Q75</f>
        <v>1</v>
      </c>
      <c r="G75">
        <f>[1]LISTADO_OTS!R75</f>
        <v>1</v>
      </c>
      <c r="H75" t="str">
        <f>[1]LISTADO_OTS!H75</f>
        <v>Reparación de fuga  en Artzeniaga</v>
      </c>
      <c r="I75" t="str">
        <f>[1]LISTADO_OTS!I75</f>
        <v>Reparación de fuga en Artzeniaga</v>
      </c>
      <c r="J75" s="1">
        <f>[1]LISTADO_OTS!F75</f>
        <v>45879</v>
      </c>
      <c r="K75" s="1">
        <f>[1]LISTADO_OTS!G75</f>
        <v>45879</v>
      </c>
      <c r="L75">
        <f>[1]LISTADO_OTS!M75</f>
        <v>43.122500000000002</v>
      </c>
      <c r="M75">
        <f>[1]LISTADO_OTS!N75</f>
        <v>-3.1364166666666669</v>
      </c>
      <c r="U75" t="b">
        <f>[1]LISTADO_OTS!O75</f>
        <v>1</v>
      </c>
      <c r="V75" t="str">
        <f>[1]LISTADO_OTS!J75</f>
        <v>Artziniega</v>
      </c>
      <c r="W75">
        <f>[1]LISTADO_OTS!R75</f>
        <v>1</v>
      </c>
      <c r="X75">
        <f>[1]LISTADO_OTS!P75</f>
        <v>0</v>
      </c>
      <c r="Y75">
        <v>1</v>
      </c>
      <c r="Z75">
        <f>[1]LISTADO_OTS!S75</f>
        <v>1</v>
      </c>
    </row>
    <row r="76" spans="1:26" x14ac:dyDescent="0.4">
      <c r="A76">
        <v>75</v>
      </c>
      <c r="B76" t="str">
        <f>[1]LISTADO_OTS!E76</f>
        <v>OT/0146</v>
      </c>
      <c r="C76">
        <f>VLOOKUP([1]LISTADO_OTS!B76,[1]Redes!$C$1:$E$5,3,FALSE)</f>
        <v>5</v>
      </c>
      <c r="D76">
        <f>[1]LISTADO_OTS!C76</f>
        <v>1</v>
      </c>
      <c r="E76">
        <f>[1]LISTADO_OTS!D76</f>
        <v>0</v>
      </c>
      <c r="F76">
        <f>[1]LISTADO_OTS!Q76</f>
        <v>1</v>
      </c>
      <c r="G76">
        <f>[1]LISTADO_OTS!R76</f>
        <v>3</v>
      </c>
      <c r="H76" t="str">
        <f>[1]LISTADO_OTS!H76</f>
        <v>Desatasco Bikandi, Respaldiza</v>
      </c>
      <c r="I76" t="str">
        <f>[1]LISTADO_OTS!I76</f>
        <v>Desatasco Bikandi, Respaldiza</v>
      </c>
      <c r="J76" s="1">
        <f>[1]LISTADO_OTS!F76</f>
        <v>45879</v>
      </c>
      <c r="K76" s="1">
        <f>[1]LISTADO_OTS!G76</f>
        <v>45879</v>
      </c>
      <c r="L76">
        <f>[1]LISTADO_OTS!M76</f>
        <v>43.078222222222223</v>
      </c>
      <c r="M76">
        <f>[1]LISTADO_OTS!N76</f>
        <v>-3.0533611111111112</v>
      </c>
      <c r="U76" t="b">
        <f>[1]LISTADO_OTS!O76</f>
        <v>1</v>
      </c>
      <c r="V76" t="str">
        <f>[1]LISTADO_OTS!J76</f>
        <v>Respaldiza</v>
      </c>
      <c r="W76">
        <f>[1]LISTADO_OTS!R76</f>
        <v>3</v>
      </c>
      <c r="X76">
        <f>[1]LISTADO_OTS!P76</f>
        <v>0</v>
      </c>
      <c r="Y76">
        <v>1</v>
      </c>
      <c r="Z76">
        <f>[1]LISTADO_OTS!S76</f>
        <v>2</v>
      </c>
    </row>
    <row r="77" spans="1:26" x14ac:dyDescent="0.4">
      <c r="A77">
        <v>76</v>
      </c>
      <c r="B77" t="str">
        <f>[1]LISTADO_OTS!E77</f>
        <v>OT/0147</v>
      </c>
      <c r="C77">
        <f>VLOOKUP([1]LISTADO_OTS!B77,[1]Redes!$C$1:$E$5,3,FALSE)</f>
        <v>3</v>
      </c>
      <c r="D77">
        <f>[1]LISTADO_OTS!C77</f>
        <v>1</v>
      </c>
      <c r="E77">
        <f>[1]LISTADO_OTS!D77</f>
        <v>0</v>
      </c>
      <c r="F77">
        <f>[1]LISTADO_OTS!Q77</f>
        <v>1</v>
      </c>
      <c r="G77">
        <f>[1]LISTADO_OTS!R77</f>
        <v>1</v>
      </c>
      <c r="H77" t="str">
        <f>[1]LISTADO_OTS!H77</f>
        <v>Búqueda de fuga en Okendo Llodio</v>
      </c>
      <c r="I77" t="str">
        <f>[1]LISTADO_OTS!I77</f>
        <v>Búqueda de fuga con el geófono en Okendo, Llodio</v>
      </c>
      <c r="J77" s="1">
        <f>[1]LISTADO_OTS!F77</f>
        <v>45880</v>
      </c>
      <c r="K77" s="1">
        <f>[1]LISTADO_OTS!G77</f>
        <v>45880</v>
      </c>
      <c r="L77">
        <f>[1]LISTADO_OTS!M77</f>
        <v>43.155722222222224</v>
      </c>
      <c r="M77">
        <f>[1]LISTADO_OTS!N77</f>
        <v>-3.036972222222222</v>
      </c>
      <c r="U77" t="b">
        <f>[1]LISTADO_OTS!O77</f>
        <v>1</v>
      </c>
      <c r="V77" t="str">
        <f>[1]LISTADO_OTS!J77</f>
        <v>Llodio</v>
      </c>
      <c r="W77">
        <f>[1]LISTADO_OTS!R77</f>
        <v>1</v>
      </c>
      <c r="X77">
        <f>[1]LISTADO_OTS!P77</f>
        <v>0</v>
      </c>
      <c r="Y77">
        <v>1</v>
      </c>
      <c r="Z77">
        <f>[1]LISTADO_OTS!S77</f>
        <v>1</v>
      </c>
    </row>
    <row r="78" spans="1:26" x14ac:dyDescent="0.4">
      <c r="A78">
        <v>77</v>
      </c>
      <c r="B78" t="str">
        <f>[1]LISTADO_OTS!E78</f>
        <v>OT/0148</v>
      </c>
      <c r="C78">
        <f>VLOOKUP([1]LISTADO_OTS!B78,[1]Redes!$C$1:$E$5,3,FALSE)</f>
        <v>3</v>
      </c>
      <c r="D78">
        <f>[1]LISTADO_OTS!C78</f>
        <v>1</v>
      </c>
      <c r="E78">
        <f>[1]LISTADO_OTS!D78</f>
        <v>0</v>
      </c>
      <c r="F78">
        <f>[1]LISTADO_OTS!Q78</f>
        <v>3</v>
      </c>
      <c r="G78">
        <f>[1]LISTADO_OTS!R78</f>
        <v>3</v>
      </c>
      <c r="H78" t="str">
        <f>[1]LISTADO_OTS!H78</f>
        <v>Revisión contador por aviso en Alegria/Dulantzi</v>
      </c>
      <c r="I78" t="str">
        <f>[1]LISTADO_OTS!I78</f>
        <v>Aviso de poca presion. Se revisa un contador.</v>
      </c>
      <c r="J78" s="1">
        <f>[1]LISTADO_OTS!F78</f>
        <v>45880</v>
      </c>
      <c r="K78" s="1">
        <f>[1]LISTADO_OTS!G78</f>
        <v>45880</v>
      </c>
      <c r="L78">
        <f>[1]LISTADO_OTS!M78</f>
        <v>42.841888888888889</v>
      </c>
      <c r="M78">
        <f>[1]LISTADO_OTS!N78</f>
        <v>-2.5205833333333332</v>
      </c>
      <c r="U78" t="b">
        <f>[1]LISTADO_OTS!O78</f>
        <v>1</v>
      </c>
      <c r="V78" t="str">
        <f>[1]LISTADO_OTS!J78</f>
        <v>Alegría</v>
      </c>
      <c r="W78">
        <f>[1]LISTADO_OTS!R78</f>
        <v>3</v>
      </c>
      <c r="X78">
        <f>[1]LISTADO_OTS!P78</f>
        <v>0</v>
      </c>
      <c r="Y78">
        <v>1</v>
      </c>
      <c r="Z78">
        <f>[1]LISTADO_OTS!S78</f>
        <v>3</v>
      </c>
    </row>
    <row r="79" spans="1:26" x14ac:dyDescent="0.4">
      <c r="A79">
        <v>78</v>
      </c>
      <c r="B79" t="str">
        <f>[1]LISTADO_OTS!E79</f>
        <v>OT/0149</v>
      </c>
      <c r="C79">
        <f>VLOOKUP([1]LISTADO_OTS!B79,[1]Redes!$C$1:$E$5,3,FALSE)</f>
        <v>3</v>
      </c>
      <c r="D79">
        <f>[1]LISTADO_OTS!C79</f>
        <v>1</v>
      </c>
      <c r="E79">
        <f>[1]LISTADO_OTS!D79</f>
        <v>0</v>
      </c>
      <c r="F79">
        <f>[1]LISTADO_OTS!Q79</f>
        <v>5</v>
      </c>
      <c r="G79">
        <f>[1]LISTADO_OTS!R79</f>
        <v>5</v>
      </c>
      <c r="H79" t="str">
        <f>[1]LISTADO_OTS!H79</f>
        <v>Búsqueda y reparación de fuga en Zambrana</v>
      </c>
      <c r="I79" t="str">
        <f>[1]LISTADO_OTS!I79</f>
        <v>Búsqueda y reparación de fuga</v>
      </c>
      <c r="J79" s="1">
        <f>[1]LISTADO_OTS!F79</f>
        <v>45880</v>
      </c>
      <c r="K79" s="1">
        <f>[1]LISTADO_OTS!G79</f>
        <v>45880</v>
      </c>
      <c r="L79">
        <f>[1]LISTADO_OTS!M79</f>
        <v>42.661055555555556</v>
      </c>
      <c r="M79">
        <f>[1]LISTADO_OTS!N79</f>
        <v>-2.8875277777777777</v>
      </c>
      <c r="U79" t="b">
        <f>[1]LISTADO_OTS!O79</f>
        <v>1</v>
      </c>
      <c r="V79" t="str">
        <f>[1]LISTADO_OTS!J79</f>
        <v>Zambrana</v>
      </c>
      <c r="W79">
        <f>[1]LISTADO_OTS!R79</f>
        <v>5</v>
      </c>
      <c r="X79">
        <f>[1]LISTADO_OTS!P79</f>
        <v>0</v>
      </c>
      <c r="Y79">
        <v>1</v>
      </c>
      <c r="Z79">
        <f>[1]LISTADO_OTS!S79</f>
        <v>1</v>
      </c>
    </row>
    <row r="80" spans="1:26" x14ac:dyDescent="0.4">
      <c r="A80">
        <v>79</v>
      </c>
      <c r="B80" t="str">
        <f>[1]LISTADO_OTS!E80</f>
        <v>TP/0021</v>
      </c>
      <c r="C80">
        <f>VLOOKUP([1]LISTADO_OTS!B80,[1]Redes!$C$1:$E$5,3,FALSE)</f>
        <v>2</v>
      </c>
      <c r="D80">
        <f>[1]LISTADO_OTS!C80</f>
        <v>2</v>
      </c>
      <c r="E80">
        <f>[1]LISTADO_OTS!D80</f>
        <v>3</v>
      </c>
      <c r="F80">
        <f>[1]LISTADO_OTS!Q80</f>
        <v>5</v>
      </c>
      <c r="G80">
        <f>[1]LISTADO_OTS!R80</f>
        <v>5</v>
      </c>
      <c r="H80" t="str">
        <f>[1]LISTADO_OTS!H80</f>
        <v>Búsqueda y desbroce de fosa séptica en Portilla</v>
      </c>
      <c r="I80" t="str">
        <f>[1]LISTADO_OTS!I80</f>
        <v>Búsqueda y desbroce de fosa séptica</v>
      </c>
      <c r="J80" s="1">
        <f>[1]LISTADO_OTS!F80</f>
        <v>45880</v>
      </c>
      <c r="K80" s="1">
        <f>[1]LISTADO_OTS!G80</f>
        <v>45880</v>
      </c>
      <c r="L80">
        <f>[1]LISTADO_OTS!M80</f>
        <v>42.672527777777773</v>
      </c>
      <c r="M80">
        <f>[1]LISTADO_OTS!N80</f>
        <v>-2.8544722222222223</v>
      </c>
      <c r="U80" t="b">
        <f>[1]LISTADO_OTS!O80</f>
        <v>1</v>
      </c>
      <c r="V80" t="str">
        <f>[1]LISTADO_OTS!J80</f>
        <v>Portilla</v>
      </c>
      <c r="W80">
        <f>[1]LISTADO_OTS!R80</f>
        <v>5</v>
      </c>
      <c r="X80">
        <f>[1]LISTADO_OTS!P80</f>
        <v>0</v>
      </c>
      <c r="Y80">
        <v>1</v>
      </c>
      <c r="Z80">
        <f>[1]LISTADO_OTS!S80</f>
        <v>0</v>
      </c>
    </row>
    <row r="81" spans="1:26" x14ac:dyDescent="0.4">
      <c r="A81">
        <v>80</v>
      </c>
      <c r="B81" t="str">
        <f>[1]LISTADO_OTS!E81</f>
        <v>OT/0150</v>
      </c>
      <c r="C81">
        <f>VLOOKUP([1]LISTADO_OTS!B81,[1]Redes!$C$1:$E$5,3,FALSE)</f>
        <v>3</v>
      </c>
      <c r="D81">
        <f>[1]LISTADO_OTS!C81</f>
        <v>1</v>
      </c>
      <c r="E81">
        <f>[1]LISTADO_OTS!D81</f>
        <v>0</v>
      </c>
      <c r="F81">
        <f>[1]LISTADO_OTS!Q81</f>
        <v>1</v>
      </c>
      <c r="G81">
        <f>[1]LISTADO_OTS!R81</f>
        <v>1</v>
      </c>
      <c r="H81" t="str">
        <f>[1]LISTADO_OTS!H81</f>
        <v>Reparación de fuga en Respaldiza</v>
      </c>
      <c r="I81" t="str">
        <f>[1]LISTADO_OTS!I81</f>
        <v>Reparación de fuga en Respaldiza</v>
      </c>
      <c r="J81" s="1">
        <f>[1]LISTADO_OTS!F81</f>
        <v>45880</v>
      </c>
      <c r="K81" s="1">
        <f>[1]LISTADO_OTS!G81</f>
        <v>45880</v>
      </c>
      <c r="L81">
        <f>[1]LISTADO_OTS!M81</f>
        <v>43.076583333333339</v>
      </c>
      <c r="M81">
        <f>[1]LISTADO_OTS!N81</f>
        <v>-3.0547499999999999</v>
      </c>
      <c r="U81" t="b">
        <f>[1]LISTADO_OTS!O81</f>
        <v>1</v>
      </c>
      <c r="V81" t="str">
        <f>[1]LISTADO_OTS!J81</f>
        <v>Respaldiza</v>
      </c>
      <c r="W81">
        <f>[1]LISTADO_OTS!R81</f>
        <v>1</v>
      </c>
      <c r="X81">
        <f>[1]LISTADO_OTS!P81</f>
        <v>0</v>
      </c>
      <c r="Y81">
        <v>1</v>
      </c>
      <c r="Z81">
        <f>[1]LISTADO_OTS!S81</f>
        <v>1</v>
      </c>
    </row>
    <row r="82" spans="1:26" x14ac:dyDescent="0.4">
      <c r="A82">
        <v>81</v>
      </c>
      <c r="B82" t="str">
        <f>[1]LISTADO_OTS!E82</f>
        <v>TP/0022</v>
      </c>
      <c r="C82">
        <f>VLOOKUP([1]LISTADO_OTS!B82,[1]Redes!$C$1:$E$5,3,FALSE)</f>
        <v>5</v>
      </c>
      <c r="D82">
        <f>[1]LISTADO_OTS!C82</f>
        <v>2</v>
      </c>
      <c r="E82">
        <f>[1]LISTADO_OTS!D82</f>
        <v>1</v>
      </c>
      <c r="F82">
        <f>[1]LISTADO_OTS!Q82</f>
        <v>1</v>
      </c>
      <c r="G82">
        <f>[1]LISTADO_OTS!R82</f>
        <v>3</v>
      </c>
      <c r="H82" t="str">
        <f>[1]LISTADO_OTS!H82</f>
        <v>Mantenimiento preventivo de saneamiento Mendico en Amurrio</v>
      </c>
      <c r="I82" t="str">
        <f>[1]LISTADO_OTS!I82</f>
        <v>Mantenimiento preventivo de saneamiento en Mendiko, Amurrio</v>
      </c>
      <c r="J82" s="1">
        <f>[1]LISTADO_OTS!F82</f>
        <v>45880</v>
      </c>
      <c r="K82" s="1">
        <f>[1]LISTADO_OTS!G82</f>
        <v>45880</v>
      </c>
      <c r="L82">
        <f>[1]LISTADO_OTS!M82</f>
        <v>43.059333333333328</v>
      </c>
      <c r="M82">
        <f>[1]LISTADO_OTS!N82</f>
        <v>-3.0216944444444445</v>
      </c>
      <c r="U82" t="b">
        <f>[1]LISTADO_OTS!O82</f>
        <v>1</v>
      </c>
      <c r="V82" t="str">
        <f>[1]LISTADO_OTS!J82</f>
        <v>Mendiko, Amurrio</v>
      </c>
      <c r="W82">
        <f>[1]LISTADO_OTS!R82</f>
        <v>3</v>
      </c>
      <c r="X82">
        <f>[1]LISTADO_OTS!P82</f>
        <v>0</v>
      </c>
      <c r="Y82">
        <v>1</v>
      </c>
      <c r="Z82">
        <f>[1]LISTADO_OTS!S82</f>
        <v>0</v>
      </c>
    </row>
    <row r="83" spans="1:26" x14ac:dyDescent="0.4">
      <c r="A83">
        <v>82</v>
      </c>
      <c r="B83" t="str">
        <f>[1]LISTADO_OTS!E83</f>
        <v>OT/0151</v>
      </c>
      <c r="C83">
        <f>VLOOKUP([1]LISTADO_OTS!B83,[1]Redes!$C$1:$E$5,3,FALSE)</f>
        <v>3</v>
      </c>
      <c r="D83">
        <f>[1]LISTADO_OTS!C83</f>
        <v>1</v>
      </c>
      <c r="E83">
        <f>[1]LISTADO_OTS!D83</f>
        <v>0</v>
      </c>
      <c r="F83">
        <f>[1]LISTADO_OTS!Q83</f>
        <v>5</v>
      </c>
      <c r="G83">
        <f>[1]LISTADO_OTS!R83</f>
        <v>5</v>
      </c>
      <c r="H83" t="str">
        <f>[1]LISTADO_OTS!H83</f>
        <v>Búsqueda de fuga en Espejo</v>
      </c>
      <c r="I83" t="str">
        <f>[1]LISTADO_OTS!I83</f>
        <v>Búsqueda de fuga</v>
      </c>
      <c r="J83" s="1">
        <f>[1]LISTADO_OTS!F83</f>
        <v>45880</v>
      </c>
      <c r="K83" s="1">
        <f>[1]LISTADO_OTS!G83</f>
        <v>45880</v>
      </c>
      <c r="L83">
        <f>[1]LISTADO_OTS!M83</f>
        <v>42.80994444444444</v>
      </c>
      <c r="M83">
        <f>[1]LISTADO_OTS!N83</f>
        <v>-3.0553055555555555</v>
      </c>
      <c r="U83" t="b">
        <f>[1]LISTADO_OTS!O83</f>
        <v>1</v>
      </c>
      <c r="V83" t="str">
        <f>[1]LISTADO_OTS!J83</f>
        <v>Espejo</v>
      </c>
      <c r="W83">
        <f>[1]LISTADO_OTS!R83</f>
        <v>5</v>
      </c>
      <c r="X83">
        <f>[1]LISTADO_OTS!P83</f>
        <v>0</v>
      </c>
      <c r="Y83">
        <v>1</v>
      </c>
      <c r="Z83">
        <f>[1]LISTADO_OTS!S83</f>
        <v>1</v>
      </c>
    </row>
    <row r="84" spans="1:26" x14ac:dyDescent="0.4">
      <c r="A84">
        <v>83</v>
      </c>
      <c r="B84" t="str">
        <f>[1]LISTADO_OTS!E84</f>
        <v>OT/0152</v>
      </c>
      <c r="C84">
        <f>VLOOKUP([1]LISTADO_OTS!B84,[1]Redes!$C$1:$E$5,3,FALSE)</f>
        <v>3</v>
      </c>
      <c r="D84">
        <f>[1]LISTADO_OTS!C84</f>
        <v>1</v>
      </c>
      <c r="E84">
        <f>[1]LISTADO_OTS!D84</f>
        <v>0</v>
      </c>
      <c r="F84">
        <f>[1]LISTADO_OTS!Q84</f>
        <v>5</v>
      </c>
      <c r="G84">
        <f>[1]LISTADO_OTS!R84</f>
        <v>5</v>
      </c>
      <c r="H84" t="str">
        <f>[1]LISTADO_OTS!H84</f>
        <v>Excavación de tubería, trabajos de zanjeo y reinstalación de la tubería en Barrio</v>
      </c>
      <c r="I84" t="str">
        <f>[1]LISTADO_OTS!I84</f>
        <v>Se descubre la tubería, se zanja para bajar de profundidad y se vuelve a tapar.</v>
      </c>
      <c r="J84" s="1">
        <f>[1]LISTADO_OTS!F84</f>
        <v>45880</v>
      </c>
      <c r="K84" s="1">
        <f>[1]LISTADO_OTS!G84</f>
        <v>45880</v>
      </c>
      <c r="L84">
        <f>[1]LISTADO_OTS!M84</f>
        <v>42.809305555555554</v>
      </c>
      <c r="M84">
        <f>[1]LISTADO_OTS!N84</f>
        <v>-3.1055833333333336</v>
      </c>
      <c r="U84" t="b">
        <f>[1]LISTADO_OTS!O84</f>
        <v>1</v>
      </c>
      <c r="V84" t="str">
        <f>[1]LISTADO_OTS!J84</f>
        <v>Barrio</v>
      </c>
      <c r="W84">
        <f>[1]LISTADO_OTS!R84</f>
        <v>5</v>
      </c>
      <c r="X84">
        <f>[1]LISTADO_OTS!P84</f>
        <v>0</v>
      </c>
      <c r="Y84">
        <v>1</v>
      </c>
      <c r="Z84">
        <f>[1]LISTADO_OTS!S84</f>
        <v>1</v>
      </c>
    </row>
    <row r="85" spans="1:26" x14ac:dyDescent="0.4">
      <c r="A85">
        <v>84</v>
      </c>
      <c r="B85" t="str">
        <f>[1]LISTADO_OTS!E85</f>
        <v>OT/0153</v>
      </c>
      <c r="C85">
        <f>VLOOKUP([1]LISTADO_OTS!B85,[1]Redes!$C$1:$E$5,3,FALSE)</f>
        <v>3</v>
      </c>
      <c r="D85">
        <f>[1]LISTADO_OTS!C85</f>
        <v>1</v>
      </c>
      <c r="E85">
        <f>[1]LISTADO_OTS!D85</f>
        <v>0</v>
      </c>
      <c r="F85">
        <f>[1]LISTADO_OTS!Q85</f>
        <v>1</v>
      </c>
      <c r="G85">
        <f>[1]LISTADO_OTS!R85</f>
        <v>1</v>
      </c>
      <c r="H85" t="str">
        <f>[1]LISTADO_OTS!H85</f>
        <v>Realizar nueva arqueta en San Roque (Amurrio)</v>
      </c>
      <c r="I85" t="str">
        <f>[1]LISTADO_OTS!I85</f>
        <v>Llevar el material, excavación para realizar la arqueta y taparla.</v>
      </c>
      <c r="J85" s="1">
        <f>[1]LISTADO_OTS!F85</f>
        <v>45881</v>
      </c>
      <c r="K85" s="1">
        <f>[1]LISTADO_OTS!G85</f>
        <v>45881</v>
      </c>
      <c r="L85">
        <f>[1]LISTADO_OTS!M85</f>
        <v>43.068666666666672</v>
      </c>
      <c r="M85">
        <f>[1]LISTADO_OTS!N85</f>
        <v>-3.0058611111111113</v>
      </c>
      <c r="U85" t="b">
        <f>[1]LISTADO_OTS!O85</f>
        <v>1</v>
      </c>
      <c r="V85" t="str">
        <f>[1]LISTADO_OTS!J85</f>
        <v>Amurrio</v>
      </c>
      <c r="W85">
        <f>[1]LISTADO_OTS!R85</f>
        <v>1</v>
      </c>
      <c r="X85">
        <f>[1]LISTADO_OTS!P85</f>
        <v>0</v>
      </c>
      <c r="Y85">
        <v>1</v>
      </c>
      <c r="Z85">
        <f>[1]LISTADO_OTS!S85</f>
        <v>3</v>
      </c>
    </row>
    <row r="86" spans="1:26" x14ac:dyDescent="0.4">
      <c r="A86">
        <v>85</v>
      </c>
      <c r="B86" t="str">
        <f>[1]LISTADO_OTS!E86</f>
        <v>OT/0154</v>
      </c>
      <c r="C86">
        <f>VLOOKUP([1]LISTADO_OTS!B86,[1]Redes!$C$1:$E$5,3,FALSE)</f>
        <v>3</v>
      </c>
      <c r="D86">
        <f>[1]LISTADO_OTS!C86</f>
        <v>1</v>
      </c>
      <c r="E86">
        <f>[1]LISTADO_OTS!D86</f>
        <v>0</v>
      </c>
      <c r="F86">
        <f>[1]LISTADO_OTS!Q86</f>
        <v>1</v>
      </c>
      <c r="G86">
        <f>[1]LISTADO_OTS!R86</f>
        <v>1</v>
      </c>
      <c r="H86" t="str">
        <f>[1]LISTADO_OTS!H86</f>
        <v>Reparación de fuente en Respaldiza</v>
      </c>
      <c r="I86" t="str">
        <f>[1]LISTADO_OTS!I86</f>
        <v>Reparación de fuente</v>
      </c>
      <c r="J86" s="1">
        <f>[1]LISTADO_OTS!F86</f>
        <v>45881</v>
      </c>
      <c r="K86" s="1">
        <f>[1]LISTADO_OTS!G86</f>
        <v>45881</v>
      </c>
      <c r="L86">
        <f>[1]LISTADO_OTS!M86</f>
        <v>43.077666666666673</v>
      </c>
      <c r="M86">
        <f>[1]LISTADO_OTS!N86</f>
        <v>-3.056138888888889</v>
      </c>
      <c r="U86" t="b">
        <f>[1]LISTADO_OTS!O86</f>
        <v>1</v>
      </c>
      <c r="V86" t="str">
        <f>[1]LISTADO_OTS!J86</f>
        <v>Respaldiza</v>
      </c>
      <c r="W86">
        <f>[1]LISTADO_OTS!R86</f>
        <v>1</v>
      </c>
      <c r="X86">
        <f>[1]LISTADO_OTS!P86</f>
        <v>0</v>
      </c>
      <c r="Y86">
        <v>1</v>
      </c>
      <c r="Z86">
        <f>[1]LISTADO_OTS!S86</f>
        <v>1</v>
      </c>
    </row>
    <row r="87" spans="1:26" x14ac:dyDescent="0.4">
      <c r="A87">
        <v>86</v>
      </c>
      <c r="B87" t="str">
        <f>[1]LISTADO_OTS!E87</f>
        <v>OT/0155</v>
      </c>
      <c r="C87">
        <f>VLOOKUP([1]LISTADO_OTS!B87,[1]Redes!$C$1:$E$5,3,FALSE)</f>
        <v>3</v>
      </c>
      <c r="D87">
        <f>[1]LISTADO_OTS!C87</f>
        <v>1</v>
      </c>
      <c r="E87">
        <f>[1]LISTADO_OTS!D87</f>
        <v>0</v>
      </c>
      <c r="F87">
        <f>[1]LISTADO_OTS!Q87</f>
        <v>5</v>
      </c>
      <c r="G87">
        <f>[1]LISTADO_OTS!R87</f>
        <v>5</v>
      </c>
      <c r="H87" t="str">
        <f>[1]LISTADO_OTS!H87</f>
        <v>Tapado catas varias en Ribabellosa y Zambrana</v>
      </c>
      <c r="I87" t="str">
        <f>[1]LISTADO_OTS!I87</f>
        <v>Hormigonar, retirar y tirar escombro</v>
      </c>
      <c r="J87" s="1">
        <f>[1]LISTADO_OTS!F87</f>
        <v>45881</v>
      </c>
      <c r="K87" s="1">
        <f>[1]LISTADO_OTS!G87</f>
        <v>45881</v>
      </c>
      <c r="L87">
        <f>[1]LISTADO_OTS!M87</f>
        <v>42.710888888888888</v>
      </c>
      <c r="M87">
        <f>[1]LISTADO_OTS!N87</f>
        <v>-2.9397499999999996</v>
      </c>
      <c r="U87" t="b">
        <f>[1]LISTADO_OTS!O87</f>
        <v>1</v>
      </c>
      <c r="V87" t="str">
        <f>[1]LISTADO_OTS!J87</f>
        <v>Ribabellosa y Zambrana</v>
      </c>
      <c r="W87">
        <f>[1]LISTADO_OTS!R87</f>
        <v>5</v>
      </c>
      <c r="X87">
        <f>[1]LISTADO_OTS!P87</f>
        <v>0</v>
      </c>
      <c r="Y87">
        <v>1</v>
      </c>
      <c r="Z87">
        <f>[1]LISTADO_OTS!S87</f>
        <v>3</v>
      </c>
    </row>
    <row r="88" spans="1:26" x14ac:dyDescent="0.4">
      <c r="A88">
        <v>87</v>
      </c>
      <c r="B88" t="str">
        <f>[1]LISTADO_OTS!E88</f>
        <v>TP/0023</v>
      </c>
      <c r="C88">
        <f>VLOOKUP([1]LISTADO_OTS!B88,[1]Redes!$C$1:$E$5,3,FALSE)</f>
        <v>5</v>
      </c>
      <c r="D88">
        <f>[1]LISTADO_OTS!C88</f>
        <v>2</v>
      </c>
      <c r="E88">
        <f>[1]LISTADO_OTS!D88</f>
        <v>1</v>
      </c>
      <c r="F88">
        <f>[1]LISTADO_OTS!Q88</f>
        <v>1</v>
      </c>
      <c r="G88">
        <f>[1]LISTADO_OTS!R88</f>
        <v>3</v>
      </c>
      <c r="H88" t="str">
        <f>[1]LISTADO_OTS!H88</f>
        <v>Mantenimiento preventivo saneamiento en Luiando</v>
      </c>
      <c r="I88" t="str">
        <f>[1]LISTADO_OTS!I88</f>
        <v>Mantenimiento preventivo saneamiento, limpiea de saneamiento</v>
      </c>
      <c r="J88" s="1">
        <f>[1]LISTADO_OTS!F88</f>
        <v>45881</v>
      </c>
      <c r="K88" s="1">
        <f>[1]LISTADO_OTS!G88</f>
        <v>45881</v>
      </c>
      <c r="L88">
        <f>[1]LISTADO_OTS!M88</f>
        <v>43.098750000000003</v>
      </c>
      <c r="M88">
        <f>[1]LISTADO_OTS!N88</f>
        <v>-3.0066944444444443</v>
      </c>
      <c r="U88" t="b">
        <f>[1]LISTADO_OTS!O88</f>
        <v>1</v>
      </c>
      <c r="V88" t="str">
        <f>[1]LISTADO_OTS!J88</f>
        <v>Luiando</v>
      </c>
      <c r="W88">
        <f>[1]LISTADO_OTS!R88</f>
        <v>3</v>
      </c>
      <c r="X88">
        <f>[1]LISTADO_OTS!P88</f>
        <v>0</v>
      </c>
      <c r="Y88">
        <v>1</v>
      </c>
      <c r="Z88">
        <f>[1]LISTADO_OTS!S88</f>
        <v>0</v>
      </c>
    </row>
    <row r="89" spans="1:26" x14ac:dyDescent="0.4">
      <c r="A89">
        <v>88</v>
      </c>
      <c r="B89" t="str">
        <f>[1]LISTADO_OTS!E89</f>
        <v>OT/0156</v>
      </c>
      <c r="C89">
        <f>VLOOKUP([1]LISTADO_OTS!B89,[1]Redes!$C$1:$E$5,3,FALSE)</f>
        <v>3</v>
      </c>
      <c r="D89">
        <f>[1]LISTADO_OTS!C89</f>
        <v>1</v>
      </c>
      <c r="E89">
        <f>[1]LISTADO_OTS!D89</f>
        <v>0</v>
      </c>
      <c r="F89">
        <f>[1]LISTADO_OTS!Q89</f>
        <v>1</v>
      </c>
      <c r="G89">
        <f>[1]LISTADO_OTS!R89</f>
        <v>1</v>
      </c>
      <c r="H89" t="str">
        <f>[1]LISTADO_OTS!H89</f>
        <v>Tapado de catas en Delika</v>
      </c>
      <c r="I89" t="str">
        <f>[1]LISTADO_OTS!I89</f>
        <v>Tapado de catas</v>
      </c>
      <c r="J89" s="1">
        <f>[1]LISTADO_OTS!F89</f>
        <v>45881</v>
      </c>
      <c r="K89" s="1">
        <f>[1]LISTADO_OTS!G89</f>
        <v>45881</v>
      </c>
      <c r="L89">
        <f>[1]LISTADO_OTS!M89</f>
        <v>42.968611111111116</v>
      </c>
      <c r="M89">
        <f>[1]LISTADO_OTS!N89</f>
        <v>-3.0069722222222222</v>
      </c>
      <c r="U89" t="b">
        <f>[1]LISTADO_OTS!O89</f>
        <v>1</v>
      </c>
      <c r="V89" t="str">
        <f>[1]LISTADO_OTS!J89</f>
        <v>Delika</v>
      </c>
      <c r="W89">
        <f>[1]LISTADO_OTS!R89</f>
        <v>1</v>
      </c>
      <c r="X89">
        <f>[1]LISTADO_OTS!P89</f>
        <v>0</v>
      </c>
      <c r="Y89">
        <v>1</v>
      </c>
      <c r="Z89">
        <f>[1]LISTADO_OTS!S89</f>
        <v>3</v>
      </c>
    </row>
    <row r="90" spans="1:26" x14ac:dyDescent="0.4">
      <c r="A90">
        <v>89</v>
      </c>
      <c r="B90" t="str">
        <f>[1]LISTADO_OTS!E90</f>
        <v>OT/0157</v>
      </c>
      <c r="C90">
        <f>VLOOKUP([1]LISTADO_OTS!B90,[1]Redes!$C$1:$E$5,3,FALSE)</f>
        <v>3</v>
      </c>
      <c r="D90">
        <f>[1]LISTADO_OTS!C90</f>
        <v>1</v>
      </c>
      <c r="E90">
        <f>[1]LISTADO_OTS!D90</f>
        <v>0</v>
      </c>
      <c r="F90">
        <f>[1]LISTADO_OTS!Q90</f>
        <v>5</v>
      </c>
      <c r="G90">
        <f>[1]LISTADO_OTS!R90</f>
        <v>5</v>
      </c>
      <c r="H90" t="str">
        <f>[1]LISTADO_OTS!H90</f>
        <v>Reparación de fuga en Zambrana</v>
      </c>
      <c r="I90" t="str">
        <f>[1]LISTADO_OTS!I90</f>
        <v>Reparación de fuga</v>
      </c>
      <c r="J90" s="1">
        <f>[1]LISTADO_OTS!F90</f>
        <v>45881</v>
      </c>
      <c r="K90" s="1">
        <f>[1]LISTADO_OTS!G90</f>
        <v>45881</v>
      </c>
      <c r="L90">
        <f>[1]LISTADO_OTS!M90</f>
        <v>42.664583333333333</v>
      </c>
      <c r="M90">
        <f>[1]LISTADO_OTS!N90</f>
        <v>-2.8905833333333333</v>
      </c>
      <c r="U90" t="b">
        <f>[1]LISTADO_OTS!O90</f>
        <v>1</v>
      </c>
      <c r="V90" t="str">
        <f>[1]LISTADO_OTS!J90</f>
        <v>Zambrana</v>
      </c>
      <c r="W90">
        <f>[1]LISTADO_OTS!R90</f>
        <v>5</v>
      </c>
      <c r="X90">
        <f>[1]LISTADO_OTS!P90</f>
        <v>0</v>
      </c>
      <c r="Y90">
        <v>1</v>
      </c>
      <c r="Z90">
        <f>[1]LISTADO_OTS!S90</f>
        <v>1</v>
      </c>
    </row>
    <row r="91" spans="1:26" x14ac:dyDescent="0.4">
      <c r="A91">
        <v>90</v>
      </c>
      <c r="B91" t="str">
        <f>[1]LISTADO_OTS!E91</f>
        <v>OT/0158</v>
      </c>
      <c r="C91">
        <f>VLOOKUP([1]LISTADO_OTS!B91,[1]Redes!$C$1:$E$5,3,FALSE)</f>
        <v>3</v>
      </c>
      <c r="D91">
        <f>[1]LISTADO_OTS!C91</f>
        <v>1</v>
      </c>
      <c r="E91">
        <f>[1]LISTADO_OTS!D91</f>
        <v>0</v>
      </c>
      <c r="F91">
        <f>[1]LISTADO_OTS!Q91</f>
        <v>5</v>
      </c>
      <c r="G91">
        <f>[1]LISTADO_OTS!R91</f>
        <v>5</v>
      </c>
      <c r="H91" t="str">
        <f>[1]LISTADO_OTS!H91</f>
        <v>Tapado de tubería en Barrio</v>
      </c>
      <c r="I91" t="str">
        <f>[1]LISTADO_OTS!I91</f>
        <v>Tapado de tubería</v>
      </c>
      <c r="J91" s="1">
        <f>[1]LISTADO_OTS!F91</f>
        <v>45881</v>
      </c>
      <c r="K91" s="1">
        <f>[1]LISTADO_OTS!G91</f>
        <v>45881</v>
      </c>
      <c r="L91">
        <f>[1]LISTADO_OTS!M91</f>
        <v>42.8095</v>
      </c>
      <c r="M91">
        <f>[1]LISTADO_OTS!N91</f>
        <v>-3.1075277777777779</v>
      </c>
      <c r="U91" t="b">
        <f>[1]LISTADO_OTS!O91</f>
        <v>1</v>
      </c>
      <c r="V91" t="str">
        <f>[1]LISTADO_OTS!J91</f>
        <v>Barrio</v>
      </c>
      <c r="W91">
        <f>[1]LISTADO_OTS!R91</f>
        <v>5</v>
      </c>
      <c r="X91">
        <f>[1]LISTADO_OTS!P91</f>
        <v>0</v>
      </c>
      <c r="Y91">
        <v>1</v>
      </c>
      <c r="Z91">
        <f>[1]LISTADO_OTS!S91</f>
        <v>3</v>
      </c>
    </row>
    <row r="92" spans="1:26" x14ac:dyDescent="0.4">
      <c r="A92">
        <v>91</v>
      </c>
      <c r="B92" t="str">
        <f>[1]LISTADO_OTS!E92</f>
        <v>OT/0159</v>
      </c>
      <c r="C92">
        <f>VLOOKUP([1]LISTADO_OTS!B92,[1]Redes!$C$1:$E$5,3,FALSE)</f>
        <v>1</v>
      </c>
      <c r="D92">
        <f>[1]LISTADO_OTS!C92</f>
        <v>1</v>
      </c>
      <c r="E92">
        <f>[1]LISTADO_OTS!D92</f>
        <v>0</v>
      </c>
      <c r="F92">
        <f>[1]LISTADO_OTS!Q92</f>
        <v>5</v>
      </c>
      <c r="G92">
        <f>[1]LISTADO_OTS!R92</f>
        <v>5</v>
      </c>
      <c r="H92" t="str">
        <f>[1]LISTADO_OTS!H92</f>
        <v>Aviso por fuga en Espejo</v>
      </c>
      <c r="I92" t="str">
        <f>[1]LISTADO_OTS!I92</f>
        <v>Aviso por fuga</v>
      </c>
      <c r="J92" s="1">
        <f>[1]LISTADO_OTS!F92</f>
        <v>45881</v>
      </c>
      <c r="K92" s="1">
        <f>[1]LISTADO_OTS!G92</f>
        <v>45881</v>
      </c>
      <c r="L92">
        <f>[1]LISTADO_OTS!M92</f>
        <v>42.809972222222221</v>
      </c>
      <c r="M92">
        <f>[1]LISTADO_OTS!N92</f>
        <v>-3.0578055555555554</v>
      </c>
      <c r="U92" t="b">
        <f>[1]LISTADO_OTS!O92</f>
        <v>1</v>
      </c>
      <c r="V92" t="str">
        <f>[1]LISTADO_OTS!J92</f>
        <v>Espejo</v>
      </c>
      <c r="W92">
        <f>[1]LISTADO_OTS!R92</f>
        <v>5</v>
      </c>
      <c r="X92">
        <f>[1]LISTADO_OTS!P92</f>
        <v>0</v>
      </c>
      <c r="Y92">
        <v>1</v>
      </c>
      <c r="Z92">
        <f>[1]LISTADO_OTS!S92</f>
        <v>1</v>
      </c>
    </row>
    <row r="93" spans="1:26" x14ac:dyDescent="0.4">
      <c r="A93">
        <v>92</v>
      </c>
      <c r="B93" t="str">
        <f>[1]LISTADO_OTS!E93</f>
        <v>OT/0160</v>
      </c>
      <c r="C93">
        <f>VLOOKUP([1]LISTADO_OTS!B93,[1]Redes!$C$1:$E$5,3,FALSE)</f>
        <v>3</v>
      </c>
      <c r="D93">
        <f>[1]LISTADO_OTS!C93</f>
        <v>1</v>
      </c>
      <c r="E93">
        <f>[1]LISTADO_OTS!D93</f>
        <v>0</v>
      </c>
      <c r="F93">
        <f>[1]LISTADO_OTS!Q93</f>
        <v>4</v>
      </c>
      <c r="G93">
        <f>[1]LISTADO_OTS!R93</f>
        <v>4</v>
      </c>
      <c r="H93" t="str">
        <f>[1]LISTADO_OTS!H93</f>
        <v>Sacar aires en Elosu</v>
      </c>
      <c r="I93" t="str">
        <f>[1]LISTADO_OTS!I93</f>
        <v>Sacar aires</v>
      </c>
      <c r="J93" s="1">
        <f>[1]LISTADO_OTS!F93</f>
        <v>45881</v>
      </c>
      <c r="K93" s="1">
        <f>[1]LISTADO_OTS!G93</f>
        <v>45881</v>
      </c>
      <c r="L93">
        <f>[1]LISTADO_OTS!M93</f>
        <v>42.97602777777778</v>
      </c>
      <c r="M93">
        <f>[1]LISTADO_OTS!N93</f>
        <v>-2.6914166666666666</v>
      </c>
      <c r="U93" t="b">
        <f>[1]LISTADO_OTS!O93</f>
        <v>1</v>
      </c>
      <c r="V93" t="str">
        <f>[1]LISTADO_OTS!J93</f>
        <v>Elosu</v>
      </c>
      <c r="W93">
        <f>[1]LISTADO_OTS!R93</f>
        <v>4</v>
      </c>
      <c r="X93">
        <f>[1]LISTADO_OTS!P93</f>
        <v>0</v>
      </c>
      <c r="Y93">
        <v>1</v>
      </c>
      <c r="Z93">
        <f>[1]LISTADO_OTS!S93</f>
        <v>3</v>
      </c>
    </row>
    <row r="94" spans="1:26" x14ac:dyDescent="0.4">
      <c r="A94">
        <v>93</v>
      </c>
      <c r="B94" t="str">
        <f>[1]LISTADO_OTS!E94</f>
        <v>OT/0161</v>
      </c>
      <c r="C94">
        <f>VLOOKUP([1]LISTADO_OTS!B94,[1]Redes!$C$1:$E$5,3,FALSE)</f>
        <v>3</v>
      </c>
      <c r="D94">
        <f>[1]LISTADO_OTS!C94</f>
        <v>1</v>
      </c>
      <c r="E94">
        <f>[1]LISTADO_OTS!D94</f>
        <v>0</v>
      </c>
      <c r="F94">
        <f>[1]LISTADO_OTS!Q94</f>
        <v>1</v>
      </c>
      <c r="G94">
        <f>[1]LISTADO_OTS!R94</f>
        <v>1</v>
      </c>
      <c r="H94" t="str">
        <f>[1]LISTADO_OTS!H94</f>
        <v>Reparación de fuga en Atzeniaga</v>
      </c>
      <c r="I94" t="str">
        <f>[1]LISTADO_OTS!I94</f>
        <v>Reparación de fuga en San Antonio Auzoa</v>
      </c>
      <c r="J94" s="1">
        <f>[1]LISTADO_OTS!F94</f>
        <v>45881</v>
      </c>
      <c r="K94" s="1">
        <f>[1]LISTADO_OTS!G94</f>
        <v>45881</v>
      </c>
      <c r="L94">
        <f>[1]LISTADO_OTS!M94</f>
        <v>43.116722222222222</v>
      </c>
      <c r="M94">
        <f>[1]LISTADO_OTS!N94</f>
        <v>-3.1583611111111112</v>
      </c>
      <c r="U94" t="b">
        <f>[1]LISTADO_OTS!O94</f>
        <v>1</v>
      </c>
      <c r="V94" t="str">
        <f>[1]LISTADO_OTS!J94</f>
        <v>Artziniega</v>
      </c>
      <c r="W94">
        <f>[1]LISTADO_OTS!R94</f>
        <v>1</v>
      </c>
      <c r="X94">
        <f>[1]LISTADO_OTS!P94</f>
        <v>0</v>
      </c>
      <c r="Y94">
        <v>1</v>
      </c>
      <c r="Z94">
        <f>[1]LISTADO_OTS!S94</f>
        <v>1</v>
      </c>
    </row>
    <row r="95" spans="1:26" x14ac:dyDescent="0.4">
      <c r="A95">
        <v>94</v>
      </c>
      <c r="B95" t="str">
        <f>[1]LISTADO_OTS!E95</f>
        <v>OT/0162</v>
      </c>
      <c r="C95">
        <f>VLOOKUP([1]LISTADO_OTS!B95,[1]Redes!$C$1:$E$5,3,FALSE)</f>
        <v>3</v>
      </c>
      <c r="D95">
        <f>[1]LISTADO_OTS!C95</f>
        <v>1</v>
      </c>
      <c r="E95">
        <f>[1]LISTADO_OTS!D95</f>
        <v>0</v>
      </c>
      <c r="F95">
        <f>[1]LISTADO_OTS!Q95</f>
        <v>3</v>
      </c>
      <c r="G95">
        <f>[1]LISTADO_OTS!R95</f>
        <v>3</v>
      </c>
      <c r="H95" t="str">
        <f>[1]LISTADO_OTS!H95</f>
        <v>Reparación de fuga en Alegría/Dulantzi</v>
      </c>
      <c r="I95" t="str">
        <f>[1]LISTADO_OTS!I95</f>
        <v>Reparación de fuga</v>
      </c>
      <c r="J95" s="1">
        <f>[1]LISTADO_OTS!F95</f>
        <v>45882</v>
      </c>
      <c r="K95" s="1">
        <f>[1]LISTADO_OTS!G95</f>
        <v>45882</v>
      </c>
      <c r="L95">
        <f>[1]LISTADO_OTS!M95</f>
        <v>42.842194444444445</v>
      </c>
      <c r="M95">
        <f>[1]LISTADO_OTS!N95</f>
        <v>-2.5253055555555557</v>
      </c>
      <c r="U95" t="b">
        <f>[1]LISTADO_OTS!O95</f>
        <v>1</v>
      </c>
      <c r="V95" t="str">
        <f>[1]LISTADO_OTS!J95</f>
        <v>Alegría</v>
      </c>
      <c r="W95">
        <f>[1]LISTADO_OTS!R95</f>
        <v>3</v>
      </c>
      <c r="X95">
        <f>[1]LISTADO_OTS!P95</f>
        <v>0</v>
      </c>
      <c r="Y95">
        <v>1</v>
      </c>
      <c r="Z95">
        <f>[1]LISTADO_OTS!S95</f>
        <v>1</v>
      </c>
    </row>
    <row r="96" spans="1:26" x14ac:dyDescent="0.4">
      <c r="A96">
        <v>95</v>
      </c>
      <c r="B96" t="str">
        <f>[1]LISTADO_OTS!E96</f>
        <v>TP/0024</v>
      </c>
      <c r="C96">
        <f>VLOOKUP([1]LISTADO_OTS!B96,[1]Redes!$C$1:$E$5,3,FALSE)</f>
        <v>3</v>
      </c>
      <c r="D96">
        <f>[1]LISTADO_OTS!C96</f>
        <v>2</v>
      </c>
      <c r="E96">
        <f>[1]LISTADO_OTS!D96</f>
        <v>8</v>
      </c>
      <c r="F96">
        <f>[1]LISTADO_OTS!Q96</f>
        <v>1</v>
      </c>
      <c r="G96">
        <f>[1]LISTADO_OTS!R96</f>
        <v>1</v>
      </c>
      <c r="H96" t="str">
        <f>[1]LISTADO_OTS!H96</f>
        <v>Alta contador en Kartuja-Ibarra</v>
      </c>
      <c r="I96" t="str">
        <f>[1]LISTADO_OTS!I96</f>
        <v>Alta contador - Alta contador</v>
      </c>
      <c r="J96" s="1">
        <f>[1]LISTADO_OTS!F96</f>
        <v>45881</v>
      </c>
      <c r="K96" s="1">
        <f>[1]LISTADO_OTS!G96</f>
        <v>45881</v>
      </c>
      <c r="L96">
        <f>[1]LISTADO_OTS!M96</f>
        <v>43.133416666666669</v>
      </c>
      <c r="M96">
        <f>[1]LISTADO_OTS!N96</f>
        <v>-2.9922500000000003</v>
      </c>
      <c r="U96" t="b">
        <f>[1]LISTADO_OTS!O96</f>
        <v>1</v>
      </c>
      <c r="V96" t="str">
        <f>[1]LISTADO_OTS!J96</f>
        <v>Katuja-Ibarra, Llodio</v>
      </c>
      <c r="W96">
        <f>[1]LISTADO_OTS!R96</f>
        <v>1</v>
      </c>
      <c r="X96">
        <f>[1]LISTADO_OTS!P96</f>
        <v>0</v>
      </c>
      <c r="Y96">
        <v>1</v>
      </c>
      <c r="Z96">
        <f>[1]LISTADO_OTS!S96</f>
        <v>0</v>
      </c>
    </row>
    <row r="97" spans="1:26" x14ac:dyDescent="0.4">
      <c r="A97">
        <v>96</v>
      </c>
      <c r="B97" t="str">
        <f>[1]LISTADO_OTS!E97</f>
        <v>TP/0025</v>
      </c>
      <c r="C97">
        <f>VLOOKUP([1]LISTADO_OTS!B97,[1]Redes!$C$1:$E$5,3,FALSE)</f>
        <v>3</v>
      </c>
      <c r="D97">
        <f>[1]LISTADO_OTS!C97</f>
        <v>2</v>
      </c>
      <c r="E97">
        <f>[1]LISTADO_OTS!D97</f>
        <v>18</v>
      </c>
      <c r="F97">
        <f>[1]LISTADO_OTS!Q97</f>
        <v>1</v>
      </c>
      <c r="G97">
        <f>[1]LISTADO_OTS!R97</f>
        <v>1</v>
      </c>
      <c r="H97" t="str">
        <f>[1]LISTADO_OTS!H97</f>
        <v>Conexión de acometida de agua potable Kartuja-Ibarra</v>
      </c>
      <c r="I97" t="str">
        <f>[1]LISTADO_OTS!I97</f>
        <v>Conexión de acometida de agua potable a barraqueros</v>
      </c>
      <c r="J97" s="1">
        <f>[1]LISTADO_OTS!F97</f>
        <v>45881</v>
      </c>
      <c r="K97" s="1">
        <f>[1]LISTADO_OTS!G97</f>
        <v>45881</v>
      </c>
      <c r="L97">
        <f>[1]LISTADO_OTS!M97</f>
        <v>43.133416666666669</v>
      </c>
      <c r="M97">
        <f>[1]LISTADO_OTS!N97</f>
        <v>-2.9925277777777777</v>
      </c>
      <c r="U97" t="b">
        <f>[1]LISTADO_OTS!O97</f>
        <v>1</v>
      </c>
      <c r="V97" t="str">
        <f>[1]LISTADO_OTS!J97</f>
        <v>Katuja-Ibarra, Llodio</v>
      </c>
      <c r="W97">
        <f>[1]LISTADO_OTS!R97</f>
        <v>1</v>
      </c>
      <c r="X97">
        <f>[1]LISTADO_OTS!P97</f>
        <v>0</v>
      </c>
      <c r="Y97">
        <v>1</v>
      </c>
      <c r="Z97">
        <f>[1]LISTADO_OTS!S97</f>
        <v>0</v>
      </c>
    </row>
    <row r="98" spans="1:26" x14ac:dyDescent="0.4">
      <c r="A98">
        <v>97</v>
      </c>
      <c r="B98" t="str">
        <f>[1]LISTADO_OTS!E98</f>
        <v>TP/0026</v>
      </c>
      <c r="C98">
        <f>VLOOKUP([1]LISTADO_OTS!B98,[1]Redes!$C$1:$E$5,3,FALSE)</f>
        <v>3</v>
      </c>
      <c r="D98">
        <f>[1]LISTADO_OTS!C98</f>
        <v>2</v>
      </c>
      <c r="E98">
        <f>[1]LISTADO_OTS!D98</f>
        <v>8</v>
      </c>
      <c r="F98">
        <f>[1]LISTADO_OTS!Q98</f>
        <v>1</v>
      </c>
      <c r="G98">
        <f>[1]LISTADO_OTS!R98</f>
        <v>1</v>
      </c>
      <c r="H98" t="str">
        <f>[1]LISTADO_OTS!H98</f>
        <v>Alta contador de fiestas de Herriko Plaza en Llodio</v>
      </c>
      <c r="I98" t="str">
        <f>[1]LISTADO_OTS!I98</f>
        <v>Alta contador de fiestas de Llodio</v>
      </c>
      <c r="J98" s="1">
        <f>[1]LISTADO_OTS!F98</f>
        <v>45882</v>
      </c>
      <c r="K98" s="1">
        <f>[1]LISTADO_OTS!G98</f>
        <v>45882</v>
      </c>
      <c r="L98">
        <f>[1]LISTADO_OTS!M98</f>
        <v>43.14297222222222</v>
      </c>
      <c r="M98">
        <f>[1]LISTADO_OTS!N98</f>
        <v>-2.9761388888888889</v>
      </c>
      <c r="U98" t="b">
        <f>[1]LISTADO_OTS!O98</f>
        <v>1</v>
      </c>
      <c r="V98" t="str">
        <f>[1]LISTADO_OTS!J98</f>
        <v>Herriko Palaza, Llodio</v>
      </c>
      <c r="W98">
        <f>[1]LISTADO_OTS!R98</f>
        <v>1</v>
      </c>
      <c r="X98">
        <f>[1]LISTADO_OTS!P98</f>
        <v>0</v>
      </c>
      <c r="Y98">
        <v>1</v>
      </c>
      <c r="Z98">
        <f>[1]LISTADO_OTS!S98</f>
        <v>0</v>
      </c>
    </row>
    <row r="99" spans="1:26" x14ac:dyDescent="0.4">
      <c r="A99">
        <v>98</v>
      </c>
      <c r="B99" t="str">
        <f>[1]LISTADO_OTS!E99</f>
        <v>TP/0027</v>
      </c>
      <c r="C99">
        <f>VLOOKUP([1]LISTADO_OTS!B99,[1]Redes!$C$1:$E$5,3,FALSE)</f>
        <v>5</v>
      </c>
      <c r="D99">
        <f>[1]LISTADO_OTS!C99</f>
        <v>2</v>
      </c>
      <c r="E99">
        <f>[1]LISTADO_OTS!D99</f>
        <v>1</v>
      </c>
      <c r="F99">
        <f>[1]LISTADO_OTS!Q99</f>
        <v>1</v>
      </c>
      <c r="G99">
        <f>[1]LISTADO_OTS!R99</f>
        <v>1</v>
      </c>
      <c r="H99" t="str">
        <f>[1]LISTADO_OTS!H99</f>
        <v>Limpieza mantenimiento saneamiento Amurrio</v>
      </c>
      <c r="I99" t="str">
        <f>[1]LISTADO_OTS!I99</f>
        <v>Limpieza mantenimiento saneamiento en el barrio San Jose, Amurrio</v>
      </c>
      <c r="J99" s="1">
        <f>[1]LISTADO_OTS!F99</f>
        <v>45882</v>
      </c>
      <c r="K99" s="1">
        <f>[1]LISTADO_OTS!G99</f>
        <v>45882</v>
      </c>
      <c r="L99">
        <f>[1]LISTADO_OTS!M99</f>
        <v>43.059888888888885</v>
      </c>
      <c r="M99">
        <f>[1]LISTADO_OTS!N99</f>
        <v>-3.0097499999999999</v>
      </c>
      <c r="U99" t="b">
        <f>[1]LISTADO_OTS!O99</f>
        <v>1</v>
      </c>
      <c r="V99" t="str">
        <f>[1]LISTADO_OTS!J99</f>
        <v>Amurrio</v>
      </c>
      <c r="W99">
        <f>[1]LISTADO_OTS!R99</f>
        <v>1</v>
      </c>
      <c r="X99">
        <f>[1]LISTADO_OTS!P99</f>
        <v>0</v>
      </c>
      <c r="Y99">
        <v>1</v>
      </c>
      <c r="Z99">
        <f>[1]LISTADO_OTS!S99</f>
        <v>0</v>
      </c>
    </row>
    <row r="100" spans="1:26" x14ac:dyDescent="0.4">
      <c r="A100">
        <v>99</v>
      </c>
      <c r="B100" t="str">
        <f>[1]LISTADO_OTS!E100</f>
        <v>TP/0028</v>
      </c>
      <c r="C100">
        <f>VLOOKUP([1]LISTADO_OTS!B100,[1]Redes!$C$1:$E$5,3,FALSE)</f>
        <v>1</v>
      </c>
      <c r="D100">
        <f>[1]LISTADO_OTS!C100</f>
        <v>2</v>
      </c>
      <c r="E100">
        <f>[1]LISTADO_OTS!D100</f>
        <v>2</v>
      </c>
      <c r="F100">
        <f>[1]LISTADO_OTS!Q100</f>
        <v>1</v>
      </c>
      <c r="G100">
        <f>[1]LISTADO_OTS!R100</f>
        <v>1</v>
      </c>
      <c r="H100" t="str">
        <f>[1]LISTADO_OTS!H100</f>
        <v>Limpieza captaciones Katxabazo e Intxutaspe</v>
      </c>
      <c r="I100" t="str">
        <f>[1]LISTADO_OTS!I100</f>
        <v>Limpieza captaciones Katxabazo e Intxutaspe</v>
      </c>
      <c r="J100" s="1">
        <f>[1]LISTADO_OTS!F100</f>
        <v>45882</v>
      </c>
      <c r="K100" s="1">
        <f>[1]LISTADO_OTS!G100</f>
        <v>45882</v>
      </c>
      <c r="L100">
        <f>[1]LISTADO_OTS!M100</f>
        <v>43.046027777777773</v>
      </c>
      <c r="M100">
        <f>[1]LISTADO_OTS!N100</f>
        <v>-2.9100277777777777</v>
      </c>
      <c r="U100" t="b">
        <f>[1]LISTADO_OTS!O100</f>
        <v>1</v>
      </c>
      <c r="V100" t="str">
        <f>[1]LISTADO_OTS!J100</f>
        <v>Katxabazo e Intxutaspe-Baranbio</v>
      </c>
      <c r="W100">
        <f>[1]LISTADO_OTS!R100</f>
        <v>1</v>
      </c>
      <c r="X100">
        <f>[1]LISTADO_OTS!P100</f>
        <v>0</v>
      </c>
      <c r="Y100">
        <v>1</v>
      </c>
      <c r="Z100">
        <f>[1]LISTADO_OTS!S100</f>
        <v>0</v>
      </c>
    </row>
    <row r="101" spans="1:26" x14ac:dyDescent="0.4">
      <c r="A101">
        <v>100</v>
      </c>
      <c r="B101" t="str">
        <f>[1]LISTADO_OTS!E101</f>
        <v>OT/0163</v>
      </c>
      <c r="C101">
        <f>VLOOKUP([1]LISTADO_OTS!B101,[1]Redes!$C$1:$E$5,3,FALSE)</f>
        <v>3</v>
      </c>
      <c r="D101">
        <f>[1]LISTADO_OTS!C101</f>
        <v>1</v>
      </c>
      <c r="E101">
        <f>[1]LISTADO_OTS!D101</f>
        <v>0</v>
      </c>
      <c r="F101">
        <f>[1]LISTADO_OTS!Q101</f>
        <v>1</v>
      </c>
      <c r="G101">
        <f>[1]LISTADO_OTS!R101</f>
        <v>1</v>
      </c>
      <c r="H101" t="str">
        <f>[1]LISTADO_OTS!H101</f>
        <v>Tapado de cata y reparación de la puerta de cierre en Delika (Amurrio)</v>
      </c>
      <c r="I101" t="str">
        <f>[1]LISTADO_OTS!I101</f>
        <v>Tapado de cata y reparación de la puerta de cierre</v>
      </c>
      <c r="J101" s="1">
        <f>[1]LISTADO_OTS!F101</f>
        <v>45875</v>
      </c>
      <c r="K101" s="1">
        <f>[1]LISTADO_OTS!G101</f>
        <v>45875</v>
      </c>
      <c r="L101">
        <f>[1]LISTADO_OTS!M101</f>
        <v>42.97013888888889</v>
      </c>
      <c r="M101">
        <f>[1]LISTADO_OTS!N101</f>
        <v>-3.0103055555555556</v>
      </c>
      <c r="U101" t="b">
        <f>[1]LISTADO_OTS!O101</f>
        <v>1</v>
      </c>
      <c r="V101" t="str">
        <f>[1]LISTADO_OTS!J101</f>
        <v>Delika</v>
      </c>
      <c r="W101">
        <f>[1]LISTADO_OTS!R101</f>
        <v>1</v>
      </c>
      <c r="X101">
        <f>[1]LISTADO_OTS!P101</f>
        <v>0</v>
      </c>
      <c r="Y101">
        <v>1</v>
      </c>
      <c r="Z101">
        <f>[1]LISTADO_OTS!S101</f>
        <v>3</v>
      </c>
    </row>
    <row r="102" spans="1:26" x14ac:dyDescent="0.4">
      <c r="A102">
        <v>101</v>
      </c>
      <c r="B102" t="str">
        <f>[1]LISTADO_OTS!E102</f>
        <v>OT/0164</v>
      </c>
      <c r="C102">
        <f>VLOOKUP([1]LISTADO_OTS!B102,[1]Redes!$C$1:$E$5,3,FALSE)</f>
        <v>3</v>
      </c>
      <c r="D102">
        <f>[1]LISTADO_OTS!C102</f>
        <v>1</v>
      </c>
      <c r="E102">
        <f>[1]LISTADO_OTS!D102</f>
        <v>0</v>
      </c>
      <c r="F102">
        <f>[1]LISTADO_OTS!Q102</f>
        <v>1</v>
      </c>
      <c r="G102">
        <f>[1]LISTADO_OTS!R102</f>
        <v>1</v>
      </c>
      <c r="H102" t="str">
        <f>[1]LISTADO_OTS!H102</f>
        <v>Reparación de fuga en Delika (Amurrio)</v>
      </c>
      <c r="I102" t="str">
        <f>[1]LISTADO_OTS!I102</f>
        <v>Búsqueda y reparación de fuga. Hormigonado.</v>
      </c>
      <c r="J102" s="1">
        <f>[1]LISTADO_OTS!F102</f>
        <v>45876</v>
      </c>
      <c r="K102" s="1">
        <f>[1]LISTADO_OTS!G102</f>
        <v>45876</v>
      </c>
      <c r="L102">
        <f>[1]LISTADO_OTS!M102</f>
        <v>42.97013888888889</v>
      </c>
      <c r="M102">
        <f>[1]LISTADO_OTS!N102</f>
        <v>-3.0105833333333334</v>
      </c>
      <c r="U102" t="b">
        <f>[1]LISTADO_OTS!O102</f>
        <v>1</v>
      </c>
      <c r="V102" t="str">
        <f>[1]LISTADO_OTS!J102</f>
        <v>Delika</v>
      </c>
      <c r="W102">
        <f>[1]LISTADO_OTS!R102</f>
        <v>1</v>
      </c>
      <c r="X102">
        <f>[1]LISTADO_OTS!P102</f>
        <v>0</v>
      </c>
      <c r="Y102">
        <v>1</v>
      </c>
      <c r="Z102">
        <f>[1]LISTADO_OTS!S102</f>
        <v>1</v>
      </c>
    </row>
    <row r="103" spans="1:26" x14ac:dyDescent="0.4">
      <c r="A103">
        <v>102</v>
      </c>
      <c r="B103" t="str">
        <f>[1]LISTADO_OTS!E103</f>
        <v>OT/0165</v>
      </c>
      <c r="C103">
        <f>VLOOKUP([1]LISTADO_OTS!B103,[1]Redes!$C$1:$E$5,3,FALSE)</f>
        <v>3</v>
      </c>
      <c r="D103">
        <f>[1]LISTADO_OTS!C103</f>
        <v>1</v>
      </c>
      <c r="E103">
        <f>[1]LISTADO_OTS!D103</f>
        <v>0</v>
      </c>
      <c r="F103">
        <f>[1]LISTADO_OTS!Q103</f>
        <v>1</v>
      </c>
      <c r="G103">
        <f>[1]LISTADO_OTS!R103</f>
        <v>1</v>
      </c>
      <c r="H103" t="str">
        <f>[1]LISTADO_OTS!H103</f>
        <v>Cierre de llave Delika (Amurrio)</v>
      </c>
      <c r="I103" t="str">
        <f>[1]LISTADO_OTS!I103</f>
        <v>Cierre de llave</v>
      </c>
      <c r="J103" s="1">
        <f>[1]LISTADO_OTS!F103</f>
        <v>45877</v>
      </c>
      <c r="K103" s="1">
        <f>[1]LISTADO_OTS!G103</f>
        <v>45877</v>
      </c>
      <c r="L103">
        <f>[1]LISTADO_OTS!M103</f>
        <v>42.97013888888889</v>
      </c>
      <c r="M103">
        <f>[1]LISTADO_OTS!N103</f>
        <v>-3.0108611111111112</v>
      </c>
      <c r="U103" t="b">
        <f>[1]LISTADO_OTS!O103</f>
        <v>1</v>
      </c>
      <c r="V103" t="str">
        <f>[1]LISTADO_OTS!J103</f>
        <v>Delika</v>
      </c>
      <c r="W103">
        <f>[1]LISTADO_OTS!R103</f>
        <v>1</v>
      </c>
      <c r="X103">
        <f>[1]LISTADO_OTS!P103</f>
        <v>0</v>
      </c>
      <c r="Y103">
        <v>1</v>
      </c>
      <c r="Z103">
        <f>[1]LISTADO_OTS!S103</f>
        <v>3</v>
      </c>
    </row>
    <row r="104" spans="1:26" x14ac:dyDescent="0.4">
      <c r="A104">
        <v>103</v>
      </c>
      <c r="B104" t="str">
        <f>[1]LISTADO_OTS!E104</f>
        <v>OT/0166</v>
      </c>
      <c r="C104">
        <f>VLOOKUP([1]LISTADO_OTS!B104,[1]Redes!$C$1:$E$5,3,FALSE)</f>
        <v>3</v>
      </c>
      <c r="D104">
        <f>[1]LISTADO_OTS!C104</f>
        <v>1</v>
      </c>
      <c r="E104">
        <f>[1]LISTADO_OTS!D104</f>
        <v>0</v>
      </c>
      <c r="F104">
        <f>[1]LISTADO_OTS!Q104</f>
        <v>1</v>
      </c>
      <c r="G104">
        <f>[1]LISTADO_OTS!R104</f>
        <v>1</v>
      </c>
      <c r="H104" t="str">
        <f>[1]LISTADO_OTS!H104</f>
        <v>Búsqueda y reparación de fuga en Artzeniaga</v>
      </c>
      <c r="I104" t="str">
        <f>[1]LISTADO_OTS!I104</f>
        <v>Búsqueda y reparación de fuga</v>
      </c>
      <c r="J104" s="1">
        <f>[1]LISTADO_OTS!F104</f>
        <v>45877</v>
      </c>
      <c r="K104" s="1">
        <f>[1]LISTADO_OTS!G104</f>
        <v>45877</v>
      </c>
      <c r="L104">
        <f>[1]LISTADO_OTS!M104</f>
        <v>43.122083333333336</v>
      </c>
      <c r="M104">
        <f>[1]LISTADO_OTS!N104</f>
        <v>-3.1444722222222223</v>
      </c>
      <c r="U104" t="b">
        <f>[1]LISTADO_OTS!O104</f>
        <v>1</v>
      </c>
      <c r="V104" t="str">
        <f>[1]LISTADO_OTS!J104</f>
        <v>Artziniega</v>
      </c>
      <c r="W104">
        <f>[1]LISTADO_OTS!R104</f>
        <v>1</v>
      </c>
      <c r="X104">
        <f>[1]LISTADO_OTS!P104</f>
        <v>0</v>
      </c>
      <c r="Y104">
        <v>1</v>
      </c>
      <c r="Z104">
        <f>[1]LISTADO_OTS!S104</f>
        <v>1</v>
      </c>
    </row>
    <row r="105" spans="1:26" x14ac:dyDescent="0.4">
      <c r="A105">
        <v>104</v>
      </c>
      <c r="B105" t="str">
        <f>[1]LISTADO_OTS!E105</f>
        <v>OT/0167</v>
      </c>
      <c r="C105">
        <f>VLOOKUP([1]LISTADO_OTS!B105,[1]Redes!$C$1:$E$5,3,FALSE)</f>
        <v>3</v>
      </c>
      <c r="D105">
        <f>[1]LISTADO_OTS!C105</f>
        <v>1</v>
      </c>
      <c r="E105">
        <f>[1]LISTADO_OTS!D105</f>
        <v>0</v>
      </c>
      <c r="F105">
        <f>[1]LISTADO_OTS!Q105</f>
        <v>3</v>
      </c>
      <c r="G105">
        <f>[1]LISTADO_OTS!R105</f>
        <v>3</v>
      </c>
      <c r="H105" t="str">
        <f>[1]LISTADO_OTS!H105</f>
        <v>Búsqueda de arquetas en Agurain/Salvatierra</v>
      </c>
      <c r="I105" t="str">
        <f>[1]LISTADO_OTS!I105</f>
        <v>Búsqueda de arquetas en el Polígono fFueros, 2, Agurain</v>
      </c>
      <c r="J105" s="1">
        <f>[1]LISTADO_OTS!F105</f>
        <v>45881</v>
      </c>
      <c r="K105" s="1">
        <f>[1]LISTADO_OTS!G105</f>
        <v>45881</v>
      </c>
      <c r="L105">
        <f>[1]LISTADO_OTS!M105</f>
        <v>42.849916666666672</v>
      </c>
      <c r="M105">
        <f>[1]LISTADO_OTS!N105</f>
        <v>-2.4114166666666668</v>
      </c>
      <c r="U105" t="b">
        <f>[1]LISTADO_OTS!O105</f>
        <v>1</v>
      </c>
      <c r="V105" t="str">
        <f>[1]LISTADO_OTS!J105</f>
        <v>Agurain</v>
      </c>
      <c r="W105">
        <f>[1]LISTADO_OTS!R105</f>
        <v>3</v>
      </c>
      <c r="X105">
        <f>[1]LISTADO_OTS!P105</f>
        <v>0</v>
      </c>
      <c r="Y105">
        <v>1</v>
      </c>
      <c r="Z105">
        <f>[1]LISTADO_OTS!S105</f>
        <v>3</v>
      </c>
    </row>
    <row r="106" spans="1:26" x14ac:dyDescent="0.4">
      <c r="A106">
        <v>105</v>
      </c>
      <c r="B106" t="str">
        <f>[1]LISTADO_OTS!E106</f>
        <v>TP/0029</v>
      </c>
      <c r="C106">
        <f>VLOOKUP([1]LISTADO_OTS!B106,[1]Redes!$C$1:$E$5,3,FALSE)</f>
        <v>3</v>
      </c>
      <c r="D106">
        <f>[1]LISTADO_OTS!C106</f>
        <v>2</v>
      </c>
      <c r="E106">
        <f>[1]LISTADO_OTS!D106</f>
        <v>8</v>
      </c>
      <c r="F106">
        <f>[1]LISTADO_OTS!Q106</f>
        <v>1</v>
      </c>
      <c r="G106">
        <f>[1]LISTADO_OTS!R106</f>
        <v>1</v>
      </c>
      <c r="H106" t="str">
        <f>[1]LISTADO_OTS!H106</f>
        <v>Alta contador en Amurrio</v>
      </c>
      <c r="I106" t="str">
        <f>[1]LISTADO_OTS!I106</f>
        <v>Instalación contadores, alta contador</v>
      </c>
      <c r="J106" s="1">
        <f>[1]LISTADO_OTS!F106</f>
        <v>45875</v>
      </c>
      <c r="K106" s="1">
        <f>[1]LISTADO_OTS!G106</f>
        <v>45875</v>
      </c>
      <c r="L106">
        <f>[1]LISTADO_OTS!M106</f>
        <v>43.05244444444444</v>
      </c>
      <c r="M106">
        <f>[1]LISTADO_OTS!N106</f>
        <v>-3.0283611111111113</v>
      </c>
      <c r="U106" t="b">
        <f>[1]LISTADO_OTS!O106</f>
        <v>1</v>
      </c>
      <c r="V106" t="str">
        <f>[1]LISTADO_OTS!J106</f>
        <v>Amurrio</v>
      </c>
      <c r="W106">
        <f>[1]LISTADO_OTS!R106</f>
        <v>1</v>
      </c>
      <c r="X106">
        <f>[1]LISTADO_OTS!P106</f>
        <v>0</v>
      </c>
      <c r="Y106">
        <v>1</v>
      </c>
      <c r="Z106">
        <f>[1]LISTADO_OTS!S106</f>
        <v>0</v>
      </c>
    </row>
    <row r="107" spans="1:26" x14ac:dyDescent="0.4">
      <c r="A107">
        <v>106</v>
      </c>
      <c r="B107" t="str">
        <f>[1]LISTADO_OTS!E107</f>
        <v>TP/0030</v>
      </c>
      <c r="C107">
        <f>VLOOKUP([1]LISTADO_OTS!B107,[1]Redes!$C$1:$E$5,3,FALSE)</f>
        <v>3</v>
      </c>
      <c r="D107">
        <f>[1]LISTADO_OTS!C107</f>
        <v>2</v>
      </c>
      <c r="E107">
        <f>[1]LISTADO_OTS!D107</f>
        <v>8</v>
      </c>
      <c r="F107">
        <f>[1]LISTADO_OTS!Q107</f>
        <v>1</v>
      </c>
      <c r="G107">
        <f>[1]LISTADO_OTS!R107</f>
        <v>1</v>
      </c>
      <c r="H107" t="str">
        <f>[1]LISTADO_OTS!H107</f>
        <v>Alta contador en Amurrio</v>
      </c>
      <c r="I107" t="str">
        <f>[1]LISTADO_OTS!I107</f>
        <v>Instalación contadores, alta contador</v>
      </c>
      <c r="J107" s="1">
        <f>[1]LISTADO_OTS!F107</f>
        <v>45876</v>
      </c>
      <c r="K107" s="1">
        <f>[1]LISTADO_OTS!G107</f>
        <v>45876</v>
      </c>
      <c r="L107">
        <f>[1]LISTADO_OTS!M107</f>
        <v>43.050138888888888</v>
      </c>
      <c r="M107">
        <f>[1]LISTADO_OTS!N107</f>
        <v>-3.0286388888888891</v>
      </c>
      <c r="U107" t="b">
        <f>[1]LISTADO_OTS!O107</f>
        <v>1</v>
      </c>
      <c r="V107" t="str">
        <f>[1]LISTADO_OTS!J107</f>
        <v>Amurrio</v>
      </c>
      <c r="W107">
        <f>[1]LISTADO_OTS!R107</f>
        <v>1</v>
      </c>
      <c r="X107">
        <f>[1]LISTADO_OTS!P107</f>
        <v>0</v>
      </c>
      <c r="Y107">
        <v>1</v>
      </c>
      <c r="Z107">
        <f>[1]LISTADO_OTS!S107</f>
        <v>0</v>
      </c>
    </row>
    <row r="108" spans="1:26" x14ac:dyDescent="0.4">
      <c r="A108">
        <v>107</v>
      </c>
      <c r="B108" t="str">
        <f>[1]LISTADO_OTS!E108</f>
        <v>TP/0031</v>
      </c>
      <c r="C108">
        <f>VLOOKUP([1]LISTADO_OTS!B108,[1]Redes!$C$1:$E$5,3,FALSE)</f>
        <v>3</v>
      </c>
      <c r="D108">
        <f>[1]LISTADO_OTS!C108</f>
        <v>2</v>
      </c>
      <c r="E108">
        <f>[1]LISTADO_OTS!D108</f>
        <v>9</v>
      </c>
      <c r="F108">
        <f>[1]LISTADO_OTS!Q108</f>
        <v>1</v>
      </c>
      <c r="G108">
        <f>[1]LISTADO_OTS!R108</f>
        <v>1</v>
      </c>
      <c r="H108" t="str">
        <f>[1]LISTADO_OTS!H108</f>
        <v>Baja contador en Amurrio</v>
      </c>
      <c r="I108" t="str">
        <f>[1]LISTADO_OTS!I108</f>
        <v>Desinstalación contadores, baja contador</v>
      </c>
      <c r="J108" s="1">
        <f>[1]LISTADO_OTS!F108</f>
        <v>45877</v>
      </c>
      <c r="K108" s="1">
        <f>[1]LISTADO_OTS!G108</f>
        <v>45877</v>
      </c>
      <c r="L108">
        <f>[1]LISTADO_OTS!M108</f>
        <v>43.048416666666668</v>
      </c>
      <c r="M108">
        <f>[1]LISTADO_OTS!N108</f>
        <v>-3.0289166666666665</v>
      </c>
      <c r="U108" t="b">
        <f>[1]LISTADO_OTS!O108</f>
        <v>1</v>
      </c>
      <c r="V108" t="str">
        <f>[1]LISTADO_OTS!J108</f>
        <v>Amurrio</v>
      </c>
      <c r="W108">
        <f>[1]LISTADO_OTS!R108</f>
        <v>1</v>
      </c>
      <c r="X108">
        <f>[1]LISTADO_OTS!P108</f>
        <v>0</v>
      </c>
      <c r="Y108">
        <v>1</v>
      </c>
      <c r="Z108">
        <f>[1]LISTADO_OTS!S108</f>
        <v>0</v>
      </c>
    </row>
    <row r="109" spans="1:26" x14ac:dyDescent="0.4">
      <c r="A109">
        <v>108</v>
      </c>
      <c r="B109" t="str">
        <f>[1]LISTADO_OTS!E109</f>
        <v>TP/0032</v>
      </c>
      <c r="C109">
        <f>VLOOKUP([1]LISTADO_OTS!B109,[1]Redes!$C$1:$E$5,3,FALSE)</f>
        <v>3</v>
      </c>
      <c r="D109">
        <f>[1]LISTADO_OTS!C109</f>
        <v>2</v>
      </c>
      <c r="E109">
        <f>[1]LISTADO_OTS!D109</f>
        <v>9</v>
      </c>
      <c r="F109">
        <f>[1]LISTADO_OTS!Q109</f>
        <v>1</v>
      </c>
      <c r="G109">
        <f>[1]LISTADO_OTS!R109</f>
        <v>1</v>
      </c>
      <c r="H109" t="str">
        <f>[1]LISTADO_OTS!H109</f>
        <v>Baja contador en Llodio</v>
      </c>
      <c r="I109" t="str">
        <f>[1]LISTADO_OTS!I109</f>
        <v>Desinstalación contadores, baja contador</v>
      </c>
      <c r="J109" s="1">
        <f>[1]LISTADO_OTS!F109</f>
        <v>45880</v>
      </c>
      <c r="K109" s="1">
        <f>[1]LISTADO_OTS!G109</f>
        <v>45880</v>
      </c>
      <c r="L109">
        <f>[1]LISTADO_OTS!M109</f>
        <v>43.14308333333333</v>
      </c>
      <c r="M109">
        <f>[1]LISTADO_OTS!N109</f>
        <v>-2.9791944444444445</v>
      </c>
      <c r="U109" t="b">
        <f>[1]LISTADO_OTS!O109</f>
        <v>1</v>
      </c>
      <c r="V109" t="str">
        <f>[1]LISTADO_OTS!J109</f>
        <v>Llodio</v>
      </c>
      <c r="W109">
        <f>[1]LISTADO_OTS!R109</f>
        <v>1</v>
      </c>
      <c r="X109">
        <f>[1]LISTADO_OTS!P109</f>
        <v>0</v>
      </c>
      <c r="Y109">
        <v>1</v>
      </c>
      <c r="Z109">
        <f>[1]LISTADO_OTS!S109</f>
        <v>0</v>
      </c>
    </row>
    <row r="110" spans="1:26" x14ac:dyDescent="0.4">
      <c r="A110">
        <v>109</v>
      </c>
      <c r="B110" t="str">
        <f>[1]LISTADO_OTS!E110</f>
        <v>TP/0033</v>
      </c>
      <c r="C110">
        <f>VLOOKUP([1]LISTADO_OTS!B110,[1]Redes!$C$1:$E$5,3,FALSE)</f>
        <v>3</v>
      </c>
      <c r="D110">
        <f>[1]LISTADO_OTS!C110</f>
        <v>2</v>
      </c>
      <c r="E110">
        <f>[1]LISTADO_OTS!D110</f>
        <v>8</v>
      </c>
      <c r="F110">
        <f>[1]LISTADO_OTS!Q110</f>
        <v>1</v>
      </c>
      <c r="G110">
        <f>[1]LISTADO_OTS!R110</f>
        <v>1</v>
      </c>
      <c r="H110" t="str">
        <f>[1]LISTADO_OTS!H110</f>
        <v>Alta contadores Llodio</v>
      </c>
      <c r="I110" t="str">
        <f>[1]LISTADO_OTS!I110</f>
        <v>Instalación contadores, alta contador</v>
      </c>
      <c r="J110" s="1">
        <f>[1]LISTADO_OTS!F110</f>
        <v>45880</v>
      </c>
      <c r="K110" s="1">
        <f>[1]LISTADO_OTS!G110</f>
        <v>45880</v>
      </c>
      <c r="L110">
        <f>[1]LISTADO_OTS!M110</f>
        <v>43.143916666666669</v>
      </c>
      <c r="M110">
        <f>[1]LISTADO_OTS!N110</f>
        <v>-2.9794722222222223</v>
      </c>
      <c r="U110" t="b">
        <f>[1]LISTADO_OTS!O110</f>
        <v>1</v>
      </c>
      <c r="V110" t="str">
        <f>[1]LISTADO_OTS!J110</f>
        <v>Llodio</v>
      </c>
      <c r="W110">
        <f>[1]LISTADO_OTS!R110</f>
        <v>1</v>
      </c>
      <c r="X110">
        <f>[1]LISTADO_OTS!P110</f>
        <v>0</v>
      </c>
      <c r="Y110">
        <v>1</v>
      </c>
      <c r="Z110">
        <f>[1]LISTADO_OTS!S110</f>
        <v>0</v>
      </c>
    </row>
    <row r="111" spans="1:26" x14ac:dyDescent="0.4">
      <c r="A111">
        <v>110</v>
      </c>
      <c r="B111" t="str">
        <f>[1]LISTADO_OTS!E111</f>
        <v>TP/0034</v>
      </c>
      <c r="C111">
        <f>VLOOKUP([1]LISTADO_OTS!B111,[1]Redes!$C$1:$E$5,3,FALSE)</f>
        <v>3</v>
      </c>
      <c r="D111">
        <f>[1]LISTADO_OTS!C111</f>
        <v>2</v>
      </c>
      <c r="E111">
        <f>[1]LISTADO_OTS!D111</f>
        <v>10</v>
      </c>
      <c r="F111">
        <f>[1]LISTADO_OTS!Q111</f>
        <v>1</v>
      </c>
      <c r="G111">
        <f>[1]LISTADO_OTS!R111</f>
        <v>1</v>
      </c>
      <c r="H111" t="str">
        <f>[1]LISTADO_OTS!H111</f>
        <v>Cambio de contador en Amurrio</v>
      </c>
      <c r="I111" t="str">
        <f>[1]LISTADO_OTS!I111</f>
        <v>Sustitución contadores, cambio de contador</v>
      </c>
      <c r="J111" s="1">
        <f>[1]LISTADO_OTS!F111</f>
        <v>45881</v>
      </c>
      <c r="K111" s="1">
        <f>[1]LISTADO_OTS!G111</f>
        <v>45881</v>
      </c>
      <c r="L111">
        <f>[1]LISTADO_OTS!M111</f>
        <v>43.056555555555555</v>
      </c>
      <c r="M111">
        <f>[1]LISTADO_OTS!N111</f>
        <v>-3.0297499999999999</v>
      </c>
      <c r="U111" t="b">
        <f>[1]LISTADO_OTS!O111</f>
        <v>1</v>
      </c>
      <c r="V111" t="str">
        <f>[1]LISTADO_OTS!J111</f>
        <v>Amurrio</v>
      </c>
      <c r="W111">
        <f>[1]LISTADO_OTS!R111</f>
        <v>1</v>
      </c>
      <c r="X111">
        <f>[1]LISTADO_OTS!P111</f>
        <v>0</v>
      </c>
      <c r="Y111">
        <v>1</v>
      </c>
      <c r="Z111">
        <f>[1]LISTADO_OTS!S111</f>
        <v>0</v>
      </c>
    </row>
    <row r="112" spans="1:26" x14ac:dyDescent="0.4">
      <c r="A112">
        <v>111</v>
      </c>
      <c r="B112" t="str">
        <f>[1]LISTADO_OTS!E112</f>
        <v>TP/0035</v>
      </c>
      <c r="C112">
        <f>VLOOKUP([1]LISTADO_OTS!B112,[1]Redes!$C$1:$E$5,3,FALSE)</f>
        <v>3</v>
      </c>
      <c r="D112">
        <f>[1]LISTADO_OTS!C112</f>
        <v>2</v>
      </c>
      <c r="E112">
        <f>[1]LISTADO_OTS!D112</f>
        <v>10</v>
      </c>
      <c r="F112">
        <f>[1]LISTADO_OTS!Q112</f>
        <v>3</v>
      </c>
      <c r="G112">
        <f>[1]LISTADO_OTS!R112</f>
        <v>3</v>
      </c>
      <c r="H112" t="str">
        <f>[1]LISTADO_OTS!H112</f>
        <v>Cambio de contador en Agurain</v>
      </c>
      <c r="I112" t="str">
        <f>[1]LISTADO_OTS!I112</f>
        <v>Sustitución contadores, cambio de contador</v>
      </c>
      <c r="J112" s="1">
        <f>[1]LISTADO_OTS!F112</f>
        <v>45881</v>
      </c>
      <c r="K112" s="1">
        <f>[1]LISTADO_OTS!G112</f>
        <v>45881</v>
      </c>
      <c r="L112">
        <f>[1]LISTADO_OTS!M112</f>
        <v>42.853472222222223</v>
      </c>
      <c r="M112">
        <f>[1]LISTADO_OTS!N112</f>
        <v>-2.4133611111111111</v>
      </c>
      <c r="U112" t="b">
        <f>[1]LISTADO_OTS!O112</f>
        <v>1</v>
      </c>
      <c r="V112" t="str">
        <f>[1]LISTADO_OTS!J112</f>
        <v>Agurain</v>
      </c>
      <c r="W112">
        <f>[1]LISTADO_OTS!R112</f>
        <v>3</v>
      </c>
      <c r="X112">
        <f>[1]LISTADO_OTS!P112</f>
        <v>0</v>
      </c>
      <c r="Y112">
        <v>1</v>
      </c>
      <c r="Z112">
        <f>[1]LISTADO_OTS!S112</f>
        <v>0</v>
      </c>
    </row>
    <row r="113" spans="1:26" x14ac:dyDescent="0.4">
      <c r="A113">
        <v>112</v>
      </c>
      <c r="B113" t="str">
        <f>[1]LISTADO_OTS!E113</f>
        <v>TP/0036</v>
      </c>
      <c r="C113">
        <f>VLOOKUP([1]LISTADO_OTS!B113,[1]Redes!$C$1:$E$5,3,FALSE)</f>
        <v>3</v>
      </c>
      <c r="D113">
        <f>[1]LISTADO_OTS!C113</f>
        <v>2</v>
      </c>
      <c r="E113">
        <f>[1]LISTADO_OTS!D113</f>
        <v>10</v>
      </c>
      <c r="F113">
        <f>[1]LISTADO_OTS!Q113</f>
        <v>5</v>
      </c>
      <c r="G113">
        <f>[1]LISTADO_OTS!R113</f>
        <v>5</v>
      </c>
      <c r="H113" t="str">
        <f>[1]LISTADO_OTS!H113</f>
        <v>Cambio de contador en Rivabellosa</v>
      </c>
      <c r="I113" t="str">
        <f>[1]LISTADO_OTS!I113</f>
        <v>Sustitución contadores, cambio de contador</v>
      </c>
      <c r="J113" s="1">
        <f>[1]LISTADO_OTS!F113</f>
        <v>45881</v>
      </c>
      <c r="K113" s="1">
        <f>[1]LISTADO_OTS!G113</f>
        <v>45881</v>
      </c>
      <c r="L113">
        <f>[1]LISTADO_OTS!M113</f>
        <v>42.710027777777782</v>
      </c>
      <c r="M113">
        <f>[1]LISTADO_OTS!N113</f>
        <v>-2.9469722222222221</v>
      </c>
      <c r="U113" t="b">
        <f>[1]LISTADO_OTS!O113</f>
        <v>1</v>
      </c>
      <c r="V113" t="str">
        <f>[1]LISTADO_OTS!J113</f>
        <v>Ribabellosa-Rivera Alta</v>
      </c>
      <c r="W113">
        <f>[1]LISTADO_OTS!R113</f>
        <v>5</v>
      </c>
      <c r="X113">
        <f>[1]LISTADO_OTS!P113</f>
        <v>0</v>
      </c>
      <c r="Y113">
        <v>1</v>
      </c>
      <c r="Z113">
        <f>[1]LISTADO_OTS!S113</f>
        <v>0</v>
      </c>
    </row>
    <row r="114" spans="1:26" x14ac:dyDescent="0.4">
      <c r="A114">
        <v>113</v>
      </c>
      <c r="B114" t="str">
        <f>[1]LISTADO_OTS!E114</f>
        <v>OT/0168</v>
      </c>
      <c r="C114">
        <f>VLOOKUP([1]LISTADO_OTS!B114,[1]Redes!$C$1:$E$5,3,FALSE)</f>
        <v>3</v>
      </c>
      <c r="D114">
        <f>[1]LISTADO_OTS!C114</f>
        <v>1</v>
      </c>
      <c r="E114">
        <f>[1]LISTADO_OTS!D114</f>
        <v>0</v>
      </c>
      <c r="F114">
        <f>[1]LISTADO_OTS!Q114</f>
        <v>1</v>
      </c>
      <c r="G114">
        <f>[1]LISTADO_OTS!R114</f>
        <v>1</v>
      </c>
      <c r="H114" t="str">
        <f>[1]LISTADO_OTS!H114</f>
        <v>Fuga Añes alta</v>
      </c>
      <c r="I114" t="str">
        <f>[1]LISTADO_OTS!I114</f>
        <v>Fuga Añes alta</v>
      </c>
      <c r="J114" s="1">
        <f>[1]LISTADO_OTS!F114</f>
        <v>45883</v>
      </c>
      <c r="K114" s="1">
        <f>[1]LISTADO_OTS!G114</f>
        <v>45883</v>
      </c>
      <c r="L114">
        <f>[1]LISTADO_OTS!M114</f>
        <v>43.058</v>
      </c>
      <c r="M114">
        <f>[1]LISTADO_OTS!N114</f>
        <v>-3.1472500000000001</v>
      </c>
      <c r="U114" t="b">
        <f>[1]LISTADO_OTS!O114</f>
        <v>1</v>
      </c>
      <c r="V114" t="str">
        <f>[1]LISTADO_OTS!J114</f>
        <v>Añes-Ayala</v>
      </c>
      <c r="W114">
        <f>[1]LISTADO_OTS!R114</f>
        <v>1</v>
      </c>
      <c r="X114">
        <f>[1]LISTADO_OTS!P114</f>
        <v>0</v>
      </c>
      <c r="Y114">
        <v>1</v>
      </c>
      <c r="Z114">
        <f>[1]LISTADO_OTS!S114</f>
        <v>1</v>
      </c>
    </row>
    <row r="115" spans="1:26" x14ac:dyDescent="0.4">
      <c r="A115">
        <v>114</v>
      </c>
      <c r="B115" t="str">
        <f>[1]LISTADO_OTS!E115</f>
        <v>OT/0169</v>
      </c>
      <c r="C115">
        <f>VLOOKUP([1]LISTADO_OTS!B115,[1]Redes!$C$1:$E$5,3,FALSE)</f>
        <v>5</v>
      </c>
      <c r="D115">
        <f>[1]LISTADO_OTS!C115</f>
        <v>1</v>
      </c>
      <c r="E115">
        <f>[1]LISTADO_OTS!D115</f>
        <v>0</v>
      </c>
      <c r="F115">
        <f>[1]LISTADO_OTS!Q115</f>
        <v>1</v>
      </c>
      <c r="G115">
        <f>[1]LISTADO_OTS!R115</f>
        <v>3</v>
      </c>
      <c r="H115" t="str">
        <f>[1]LISTADO_OTS!H115</f>
        <v>Limpieza de saneamiento con camión en Esquina Abajo/Respaldiza</v>
      </c>
      <c r="I115" t="str">
        <f>[1]LISTADO_OTS!I115</f>
        <v>Limpieza de saneamiento con camión</v>
      </c>
      <c r="J115" s="1">
        <f>[1]LISTADO_OTS!F115</f>
        <v>45883</v>
      </c>
      <c r="K115" s="1">
        <f>[1]LISTADO_OTS!G115</f>
        <v>45883</v>
      </c>
      <c r="L115">
        <f>[1]LISTADO_OTS!M115</f>
        <v>43.08763888888889</v>
      </c>
      <c r="M115">
        <f>[1]LISTADO_OTS!N115</f>
        <v>-3.0641944444444444</v>
      </c>
      <c r="U115" t="b">
        <f>[1]LISTADO_OTS!O115</f>
        <v>1</v>
      </c>
      <c r="V115" t="str">
        <f>[1]LISTADO_OTS!J115</f>
        <v>Esquina Abajo/Respaldiza</v>
      </c>
      <c r="W115">
        <f>[1]LISTADO_OTS!R115</f>
        <v>3</v>
      </c>
      <c r="X115">
        <f>[1]LISTADO_OTS!P115</f>
        <v>0</v>
      </c>
      <c r="Y115">
        <v>1</v>
      </c>
      <c r="Z115">
        <f>[1]LISTADO_OTS!S115</f>
        <v>3</v>
      </c>
    </row>
    <row r="116" spans="1:26" x14ac:dyDescent="0.4">
      <c r="A116">
        <v>115</v>
      </c>
      <c r="B116" t="str">
        <f>[1]LISTADO_OTS!E116</f>
        <v>TP/0037</v>
      </c>
      <c r="C116">
        <f>VLOOKUP([1]LISTADO_OTS!B116,[1]Redes!$C$1:$E$5,3,FALSE)</f>
        <v>1</v>
      </c>
      <c r="D116">
        <f>[1]LISTADO_OTS!C116</f>
        <v>2</v>
      </c>
      <c r="E116">
        <f>[1]LISTADO_OTS!D116</f>
        <v>2</v>
      </c>
      <c r="F116">
        <f>[1]LISTADO_OTS!Q116</f>
        <v>1</v>
      </c>
      <c r="G116">
        <f>[1]LISTADO_OTS!R116</f>
        <v>1</v>
      </c>
      <c r="H116" t="str">
        <f>[1]LISTADO_OTS!H116</f>
        <v>Limpieza captaciones Aiaraldea</v>
      </c>
      <c r="I116" t="str">
        <f>[1]LISTADO_OTS!I116</f>
        <v>Limpieza captaciones Aiaraldea</v>
      </c>
      <c r="J116" s="1">
        <f>[1]LISTADO_OTS!F116</f>
        <v>45883</v>
      </c>
      <c r="K116" s="1">
        <f>[1]LISTADO_OTS!G116</f>
        <v>45883</v>
      </c>
      <c r="L116">
        <f>[1]LISTADO_OTS!M116</f>
        <v>43.134722222222223</v>
      </c>
      <c r="M116">
        <f>[1]LISTADO_OTS!N116</f>
        <v>-2.9978055555555558</v>
      </c>
      <c r="U116" t="b">
        <f>[1]LISTADO_OTS!O116</f>
        <v>1</v>
      </c>
      <c r="V116" t="str">
        <f>[1]LISTADO_OTS!J116</f>
        <v>AIARA</v>
      </c>
      <c r="W116">
        <f>[1]LISTADO_OTS!R116</f>
        <v>1</v>
      </c>
      <c r="X116">
        <f>[1]LISTADO_OTS!P116</f>
        <v>0</v>
      </c>
      <c r="Y116">
        <v>1</v>
      </c>
      <c r="Z116">
        <f>[1]LISTADO_OTS!S116</f>
        <v>0</v>
      </c>
    </row>
    <row r="117" spans="1:26" x14ac:dyDescent="0.4">
      <c r="A117">
        <v>116</v>
      </c>
      <c r="B117" t="str">
        <f>[1]LISTADO_OTS!E117</f>
        <v>TP/0038</v>
      </c>
      <c r="C117">
        <f>VLOOKUP([1]LISTADO_OTS!B117,[1]Redes!$C$1:$E$5,3,FALSE)</f>
        <v>5</v>
      </c>
      <c r="D117">
        <f>[1]LISTADO_OTS!C117</f>
        <v>2</v>
      </c>
      <c r="E117">
        <f>[1]LISTADO_OTS!D117</f>
        <v>1</v>
      </c>
      <c r="F117">
        <f>[1]LISTADO_OTS!Q117</f>
        <v>1</v>
      </c>
      <c r="G117">
        <f>[1]LISTADO_OTS!R117</f>
        <v>4</v>
      </c>
      <c r="H117" t="str">
        <f>[1]LISTADO_OTS!H117</f>
        <v>Mantenimiento de saneamiento con camión en Llodio</v>
      </c>
      <c r="I117" t="str">
        <f>[1]LISTADO_OTS!I117</f>
        <v>Mantenimiento de saneamiento con camión</v>
      </c>
      <c r="J117" s="1">
        <f>[1]LISTADO_OTS!F117</f>
        <v>45883</v>
      </c>
      <c r="K117" s="1">
        <f>[1]LISTADO_OTS!G117</f>
        <v>45883</v>
      </c>
      <c r="L117">
        <f>[1]LISTADO_OTS!M117</f>
        <v>43.14147222222222</v>
      </c>
      <c r="M117">
        <f>[1]LISTADO_OTS!N117</f>
        <v>-2.981416666666667</v>
      </c>
      <c r="U117" t="b">
        <f>[1]LISTADO_OTS!O117</f>
        <v>1</v>
      </c>
      <c r="V117" t="str">
        <f>[1]LISTADO_OTS!J117</f>
        <v>Llodio</v>
      </c>
      <c r="W117">
        <f>[1]LISTADO_OTS!R117</f>
        <v>4</v>
      </c>
      <c r="X117">
        <f>[1]LISTADO_OTS!P117</f>
        <v>0</v>
      </c>
      <c r="Y117">
        <v>1</v>
      </c>
      <c r="Z117">
        <f>[1]LISTADO_OTS!S117</f>
        <v>0</v>
      </c>
    </row>
    <row r="118" spans="1:26" x14ac:dyDescent="0.4">
      <c r="A118">
        <v>117</v>
      </c>
      <c r="B118" t="str">
        <f>[1]LISTADO_OTS!E118</f>
        <v>OT/0170</v>
      </c>
      <c r="C118">
        <f>VLOOKUP([1]LISTADO_OTS!B118,[1]Redes!$C$1:$E$5,3,FALSE)</f>
        <v>3</v>
      </c>
      <c r="D118">
        <f>[1]LISTADO_OTS!C118</f>
        <v>1</v>
      </c>
      <c r="E118">
        <f>[1]LISTADO_OTS!D118</f>
        <v>0</v>
      </c>
      <c r="F118">
        <f>[1]LISTADO_OTS!Q118</f>
        <v>1</v>
      </c>
      <c r="G118">
        <f>[1]LISTADO_OTS!R118</f>
        <v>1</v>
      </c>
      <c r="H118" t="str">
        <f>[1]LISTADO_OTS!H118</f>
        <v>Preparación de fuga en Artziniaga</v>
      </c>
      <c r="I118" t="str">
        <f>[1]LISTADO_OTS!I118</f>
        <v>Preparación de fuga en el campo de fútbol de Artziniega</v>
      </c>
      <c r="J118" s="1">
        <f>[1]LISTADO_OTS!F118</f>
        <v>45883</v>
      </c>
      <c r="K118" s="1">
        <f>[1]LISTADO_OTS!G118</f>
        <v>45883</v>
      </c>
      <c r="L118">
        <f>[1]LISTADO_OTS!M118</f>
        <v>43.117555555555555</v>
      </c>
      <c r="M118">
        <f>[1]LISTADO_OTS!N118</f>
        <v>-3.1483611111111109</v>
      </c>
      <c r="U118" t="b">
        <f>[1]LISTADO_OTS!O118</f>
        <v>1</v>
      </c>
      <c r="V118" t="str">
        <f>[1]LISTADO_OTS!J118</f>
        <v>Artziniega</v>
      </c>
      <c r="W118">
        <f>[1]LISTADO_OTS!R118</f>
        <v>1</v>
      </c>
      <c r="X118">
        <f>[1]LISTADO_OTS!P118</f>
        <v>0</v>
      </c>
      <c r="Y118">
        <v>1</v>
      </c>
      <c r="Z118">
        <f>[1]LISTADO_OTS!S118</f>
        <v>1</v>
      </c>
    </row>
    <row r="119" spans="1:26" x14ac:dyDescent="0.4">
      <c r="A119">
        <v>118</v>
      </c>
      <c r="B119" t="str">
        <f>[1]LISTADO_OTS!E119</f>
        <v>OT/0171</v>
      </c>
      <c r="C119">
        <f>VLOOKUP([1]LISTADO_OTS!B119,[1]Redes!$C$1:$E$5,3,FALSE)</f>
        <v>3</v>
      </c>
      <c r="D119">
        <f>[1]LISTADO_OTS!C119</f>
        <v>1</v>
      </c>
      <c r="E119">
        <f>[1]LISTADO_OTS!D119</f>
        <v>0</v>
      </c>
      <c r="F119">
        <f>[1]LISTADO_OTS!Q119</f>
        <v>3</v>
      </c>
      <c r="G119">
        <f>[1]LISTADO_OTS!R119</f>
        <v>3</v>
      </c>
      <c r="H119" t="str">
        <f>[1]LISTADO_OTS!H119</f>
        <v>Instalación de acometida opakua en Agurain/Salvatierra</v>
      </c>
      <c r="I119" t="str">
        <f>[1]LISTADO_OTS!I119</f>
        <v>Instalación de acometida opakua</v>
      </c>
      <c r="J119" s="1">
        <f>[1]LISTADO_OTS!F119</f>
        <v>45883</v>
      </c>
      <c r="K119" s="1">
        <f>[1]LISTADO_OTS!G119</f>
        <v>45883</v>
      </c>
      <c r="L119">
        <f>[1]LISTADO_OTS!M119</f>
        <v>42.84963888888889</v>
      </c>
      <c r="M119">
        <f>[1]LISTADO_OTS!N119</f>
        <v>-2.4153055555555554</v>
      </c>
      <c r="U119" t="b">
        <f>[1]LISTADO_OTS!O119</f>
        <v>1</v>
      </c>
      <c r="V119" t="str">
        <f>[1]LISTADO_OTS!J119</f>
        <v>Opacua</v>
      </c>
      <c r="W119">
        <f>[1]LISTADO_OTS!R119</f>
        <v>3</v>
      </c>
      <c r="X119">
        <f>[1]LISTADO_OTS!P119</f>
        <v>0</v>
      </c>
      <c r="Y119">
        <v>1</v>
      </c>
      <c r="Z119">
        <f>[1]LISTADO_OTS!S119</f>
        <v>3</v>
      </c>
    </row>
    <row r="120" spans="1:26" x14ac:dyDescent="0.4">
      <c r="A120">
        <v>119</v>
      </c>
      <c r="B120" t="str">
        <f>[1]LISTADO_OTS!E120</f>
        <v>OT/0172</v>
      </c>
      <c r="C120">
        <f>VLOOKUP([1]LISTADO_OTS!B120,[1]Redes!$C$1:$E$5,3,FALSE)</f>
        <v>1</v>
      </c>
      <c r="D120">
        <f>[1]LISTADO_OTS!C120</f>
        <v>1</v>
      </c>
      <c r="E120">
        <f>[1]LISTADO_OTS!D120</f>
        <v>0</v>
      </c>
      <c r="F120">
        <f>[1]LISTADO_OTS!Q120</f>
        <v>1</v>
      </c>
      <c r="G120">
        <f>[1]LISTADO_OTS!R120</f>
        <v>1</v>
      </c>
      <c r="H120" t="str">
        <f>[1]LISTADO_OTS!H120</f>
        <v>Búsqueda de fuga Añes</v>
      </c>
      <c r="I120" t="str">
        <f>[1]LISTADO_OTS!I120</f>
        <v>Búsqueda de fuga</v>
      </c>
      <c r="J120" s="1">
        <f>[1]LISTADO_OTS!F120</f>
        <v>45882</v>
      </c>
      <c r="K120" s="1">
        <f>[1]LISTADO_OTS!G120</f>
        <v>45882</v>
      </c>
      <c r="L120">
        <f>[1]LISTADO_OTS!M120</f>
        <v>43.05855555555555</v>
      </c>
      <c r="M120">
        <f>[1]LISTADO_OTS!N120</f>
        <v>-3.1489166666666666</v>
      </c>
      <c r="U120" t="b">
        <f>[1]LISTADO_OTS!O120</f>
        <v>1</v>
      </c>
      <c r="V120" t="str">
        <f>[1]LISTADO_OTS!J120</f>
        <v>Añes</v>
      </c>
      <c r="W120">
        <f>[1]LISTADO_OTS!R120</f>
        <v>1</v>
      </c>
      <c r="X120">
        <f>[1]LISTADO_OTS!P120</f>
        <v>0</v>
      </c>
      <c r="Y120">
        <v>1</v>
      </c>
      <c r="Z120">
        <f>[1]LISTADO_OTS!S120</f>
        <v>1</v>
      </c>
    </row>
    <row r="121" spans="1:26" x14ac:dyDescent="0.4">
      <c r="A121">
        <v>120</v>
      </c>
      <c r="B121" t="str">
        <f>[1]LISTADO_OTS!E121</f>
        <v>TP/0039</v>
      </c>
      <c r="C121">
        <f>VLOOKUP([1]LISTADO_OTS!B121,[1]Redes!$C$1:$E$5,3,FALSE)</f>
        <v>3</v>
      </c>
      <c r="D121">
        <f>[1]LISTADO_OTS!C121</f>
        <v>2</v>
      </c>
      <c r="E121">
        <f>[1]LISTADO_OTS!D121</f>
        <v>10</v>
      </c>
      <c r="F121">
        <f>[1]LISTADO_OTS!Q121</f>
        <v>5</v>
      </c>
      <c r="G121">
        <f>[1]LISTADO_OTS!R121</f>
        <v>5</v>
      </c>
      <c r="H121" t="str">
        <f>[1]LISTADO_OTS!H121</f>
        <v>Sustitución contador Urbina Eza</v>
      </c>
      <c r="I121" t="str">
        <f>[1]LISTADO_OTS!I121</f>
        <v>Sustitución contador</v>
      </c>
      <c r="J121" s="1">
        <f>[1]LISTADO_OTS!F121</f>
        <v>45882</v>
      </c>
      <c r="K121" s="1">
        <f>[1]LISTADO_OTS!G121</f>
        <v>45882</v>
      </c>
      <c r="L121">
        <f>[1]LISTADO_OTS!M121</f>
        <v>42.87788888888889</v>
      </c>
      <c r="M121">
        <f>[1]LISTADO_OTS!N121</f>
        <v>-2.915861111111111</v>
      </c>
      <c r="U121" t="b">
        <f>[1]LISTADO_OTS!O121</f>
        <v>1</v>
      </c>
      <c r="V121" t="str">
        <f>[1]LISTADO_OTS!J121</f>
        <v>Urbina Eza-Kuartango</v>
      </c>
      <c r="W121">
        <f>[1]LISTADO_OTS!R121</f>
        <v>5</v>
      </c>
      <c r="X121">
        <f>[1]LISTADO_OTS!P121</f>
        <v>0</v>
      </c>
      <c r="Y121">
        <v>1</v>
      </c>
      <c r="Z121">
        <f>[1]LISTADO_OTS!S121</f>
        <v>0</v>
      </c>
    </row>
    <row r="122" spans="1:26" x14ac:dyDescent="0.4">
      <c r="A122">
        <v>121</v>
      </c>
      <c r="B122" t="str">
        <f>[1]LISTADO_OTS!E122</f>
        <v>TP/0040</v>
      </c>
      <c r="C122">
        <f>VLOOKUP([1]LISTADO_OTS!B122,[1]Redes!$C$1:$E$5,3,FALSE)</f>
        <v>3</v>
      </c>
      <c r="D122">
        <f>[1]LISTADO_OTS!C122</f>
        <v>2</v>
      </c>
      <c r="E122">
        <f>[1]LISTADO_OTS!D122</f>
        <v>10</v>
      </c>
      <c r="F122">
        <f>[1]LISTADO_OTS!Q122</f>
        <v>4</v>
      </c>
      <c r="G122">
        <f>[1]LISTADO_OTS!R122</f>
        <v>4</v>
      </c>
      <c r="H122" t="str">
        <f>[1]LISTADO_OTS!H122</f>
        <v>Sustitución contador en Landa</v>
      </c>
      <c r="I122" t="str">
        <f>[1]LISTADO_OTS!I122</f>
        <v>Búsqueda arqueta del contador y sustitución contador</v>
      </c>
      <c r="J122" s="1">
        <f>[1]LISTADO_OTS!F122</f>
        <v>45882</v>
      </c>
      <c r="K122" s="1">
        <f>[1]LISTADO_OTS!G122</f>
        <v>45882</v>
      </c>
      <c r="L122">
        <f>[1]LISTADO_OTS!M122</f>
        <v>42.960055555555556</v>
      </c>
      <c r="M122">
        <f>[1]LISTADO_OTS!N122</f>
        <v>-2.616138888888889</v>
      </c>
      <c r="U122" t="b">
        <f>[1]LISTADO_OTS!O122</f>
        <v>1</v>
      </c>
      <c r="V122" t="str">
        <f>[1]LISTADO_OTS!J122</f>
        <v>Landa</v>
      </c>
      <c r="W122">
        <f>[1]LISTADO_OTS!R122</f>
        <v>4</v>
      </c>
      <c r="X122">
        <f>[1]LISTADO_OTS!P122</f>
        <v>0</v>
      </c>
      <c r="Y122">
        <v>1</v>
      </c>
      <c r="Z122">
        <f>[1]LISTADO_OTS!S122</f>
        <v>0</v>
      </c>
    </row>
    <row r="123" spans="1:26" x14ac:dyDescent="0.4">
      <c r="A123">
        <v>122</v>
      </c>
      <c r="B123" t="str">
        <f>[1]LISTADO_OTS!E123</f>
        <v>TP/0041</v>
      </c>
      <c r="C123">
        <f>VLOOKUP([1]LISTADO_OTS!B123,[1]Redes!$C$1:$E$5,3,FALSE)</f>
        <v>3</v>
      </c>
      <c r="D123">
        <f>[1]LISTADO_OTS!C123</f>
        <v>2</v>
      </c>
      <c r="E123">
        <f>[1]LISTADO_OTS!D123</f>
        <v>10</v>
      </c>
      <c r="F123">
        <f>[1]LISTADO_OTS!Q123</f>
        <v>3</v>
      </c>
      <c r="G123">
        <f>[1]LISTADO_OTS!R123</f>
        <v>3</v>
      </c>
      <c r="H123" t="str">
        <f>[1]LISTADO_OTS!H123</f>
        <v>Sustitución contadores en Fueros, Agurain</v>
      </c>
      <c r="I123" t="str">
        <f>[1]LISTADO_OTS!I123</f>
        <v>Búsqueda de contador. Picar arqueta, cambiar contador y hacer arqueta.</v>
      </c>
      <c r="J123" s="1">
        <f>[1]LISTADO_OTS!F123</f>
        <v>45882</v>
      </c>
      <c r="K123" s="1">
        <f>[1]LISTADO_OTS!G123</f>
        <v>45882</v>
      </c>
      <c r="L123">
        <f>[1]LISTADO_OTS!M123</f>
        <v>42.84986111111111</v>
      </c>
      <c r="M123">
        <f>[1]LISTADO_OTS!N123</f>
        <v>-2.4164166666666667</v>
      </c>
      <c r="U123" t="b">
        <f>[1]LISTADO_OTS!O123</f>
        <v>1</v>
      </c>
      <c r="V123" t="str">
        <f>[1]LISTADO_OTS!J123</f>
        <v>Fueros, Agurain</v>
      </c>
      <c r="W123">
        <f>[1]LISTADO_OTS!R123</f>
        <v>3</v>
      </c>
      <c r="X123">
        <f>[1]LISTADO_OTS!P123</f>
        <v>0</v>
      </c>
      <c r="Y123">
        <v>1</v>
      </c>
      <c r="Z123">
        <f>[1]LISTADO_OTS!S123</f>
        <v>0</v>
      </c>
    </row>
    <row r="124" spans="1:26" x14ac:dyDescent="0.4">
      <c r="A124">
        <v>123</v>
      </c>
      <c r="B124" t="str">
        <f>[1]LISTADO_OTS!E124</f>
        <v>TP/0042</v>
      </c>
      <c r="C124">
        <f>VLOOKUP([1]LISTADO_OTS!B124,[1]Redes!$C$1:$E$5,3,FALSE)</f>
        <v>3</v>
      </c>
      <c r="D124">
        <f>[1]LISTADO_OTS!C124</f>
        <v>2</v>
      </c>
      <c r="E124">
        <f>[1]LISTADO_OTS!D124</f>
        <v>10</v>
      </c>
      <c r="F124">
        <f>[1]LISTADO_OTS!Q124</f>
        <v>6</v>
      </c>
      <c r="G124">
        <f>[1]LISTADO_OTS!R124</f>
        <v>6</v>
      </c>
      <c r="H124" t="str">
        <f>[1]LISTADO_OTS!H124</f>
        <v>Sustitución contador en Sabando</v>
      </c>
      <c r="I124" t="str">
        <f>[1]LISTADO_OTS!I124</f>
        <v>Sustitución contador</v>
      </c>
      <c r="J124" s="1">
        <f>[1]LISTADO_OTS!F124</f>
        <v>45882</v>
      </c>
      <c r="K124" s="1">
        <f>[1]LISTADO_OTS!G124</f>
        <v>45882</v>
      </c>
      <c r="L124">
        <f>[1]LISTADO_OTS!M124</f>
        <v>42.749222222222222</v>
      </c>
      <c r="M124">
        <f>[1]LISTADO_OTS!N124</f>
        <v>-2.4333611111111111</v>
      </c>
      <c r="U124" t="b">
        <f>[1]LISTADO_OTS!O124</f>
        <v>1</v>
      </c>
      <c r="V124" t="str">
        <f>[1]LISTADO_OTS!J124</f>
        <v>Sabando</v>
      </c>
      <c r="W124">
        <f>[1]LISTADO_OTS!R124</f>
        <v>6</v>
      </c>
      <c r="X124">
        <f>[1]LISTADO_OTS!P124</f>
        <v>0</v>
      </c>
      <c r="Y124">
        <v>1</v>
      </c>
      <c r="Z124">
        <f>[1]LISTADO_OTS!S124</f>
        <v>0</v>
      </c>
    </row>
    <row r="125" spans="1:26" x14ac:dyDescent="0.4">
      <c r="A125">
        <v>124</v>
      </c>
      <c r="B125" t="str">
        <f>[1]LISTADO_OTS!E125</f>
        <v>TP/0043</v>
      </c>
      <c r="C125">
        <f>VLOOKUP([1]LISTADO_OTS!B125,[1]Redes!$C$1:$E$5,3,FALSE)</f>
        <v>3</v>
      </c>
      <c r="D125">
        <f>[1]LISTADO_OTS!C125</f>
        <v>2</v>
      </c>
      <c r="E125">
        <f>[1]LISTADO_OTS!D125</f>
        <v>10</v>
      </c>
      <c r="F125">
        <f>[1]LISTADO_OTS!Q125</f>
        <v>6</v>
      </c>
      <c r="G125">
        <f>[1]LISTADO_OTS!R125</f>
        <v>6</v>
      </c>
      <c r="H125" t="str">
        <f>[1]LISTADO_OTS!H125</f>
        <v>Sustitución contador en Antoñana</v>
      </c>
      <c r="I125" t="str">
        <f>[1]LISTADO_OTS!I125</f>
        <v>Sustitución contador</v>
      </c>
      <c r="J125" s="1">
        <f>[1]LISTADO_OTS!F125</f>
        <v>45882</v>
      </c>
      <c r="K125" s="1">
        <f>[1]LISTADO_OTS!G125</f>
        <v>45882</v>
      </c>
      <c r="L125">
        <f>[1]LISTADO_OTS!M125</f>
        <v>42.693249999999999</v>
      </c>
      <c r="M125">
        <f>[1]LISTADO_OTS!N125</f>
        <v>-2.4169722222222223</v>
      </c>
      <c r="U125" t="b">
        <f>[1]LISTADO_OTS!O125</f>
        <v>1</v>
      </c>
      <c r="V125" t="str">
        <f>[1]LISTADO_OTS!J125</f>
        <v>Antoñana</v>
      </c>
      <c r="W125">
        <f>[1]LISTADO_OTS!R125</f>
        <v>6</v>
      </c>
      <c r="X125">
        <f>[1]LISTADO_OTS!P125</f>
        <v>0</v>
      </c>
      <c r="Y125">
        <v>1</v>
      </c>
      <c r="Z125">
        <f>[1]LISTADO_OTS!S125</f>
        <v>0</v>
      </c>
    </row>
    <row r="126" spans="1:26" x14ac:dyDescent="0.4">
      <c r="A126">
        <v>125</v>
      </c>
      <c r="B126" t="str">
        <f>[1]LISTADO_OTS!E126</f>
        <v>TP/0044</v>
      </c>
      <c r="C126">
        <f>VLOOKUP([1]LISTADO_OTS!B126,[1]Redes!$C$1:$E$5,3,FALSE)</f>
        <v>3</v>
      </c>
      <c r="D126">
        <f>[1]LISTADO_OTS!C126</f>
        <v>2</v>
      </c>
      <c r="E126">
        <f>[1]LISTADO_OTS!D126</f>
        <v>10</v>
      </c>
      <c r="F126">
        <f>[1]LISTADO_OTS!Q126</f>
        <v>9</v>
      </c>
      <c r="G126">
        <f>[1]LISTADO_OTS!R126</f>
        <v>9</v>
      </c>
      <c r="H126" t="str">
        <f>[1]LISTADO_OTS!H126</f>
        <v>Sustitución contador en Oreitia</v>
      </c>
      <c r="I126" t="str">
        <f>[1]LISTADO_OTS!I126</f>
        <v>Sustitución contador</v>
      </c>
      <c r="J126" s="1">
        <f>[1]LISTADO_OTS!F126</f>
        <v>45882</v>
      </c>
      <c r="K126" s="1">
        <f>[1]LISTADO_OTS!G126</f>
        <v>45882</v>
      </c>
      <c r="L126">
        <f>[1]LISTADO_OTS!M126</f>
        <v>42.85702777777778</v>
      </c>
      <c r="M126">
        <f>[1]LISTADO_OTS!N126</f>
        <v>-2.5839166666666666</v>
      </c>
      <c r="U126" t="b">
        <f>[1]LISTADO_OTS!O126</f>
        <v>1</v>
      </c>
      <c r="V126" t="str">
        <f>[1]LISTADO_OTS!J126</f>
        <v>Oreitia</v>
      </c>
      <c r="W126">
        <f>[1]LISTADO_OTS!R126</f>
        <v>9</v>
      </c>
      <c r="X126">
        <f>[1]LISTADO_OTS!P126</f>
        <v>0</v>
      </c>
      <c r="Y126">
        <v>1</v>
      </c>
      <c r="Z126">
        <f>[1]LISTADO_OTS!S126</f>
        <v>0</v>
      </c>
    </row>
    <row r="127" spans="1:26" x14ac:dyDescent="0.4">
      <c r="A127">
        <v>126</v>
      </c>
      <c r="B127" t="str">
        <f>[1]LISTADO_OTS!E127</f>
        <v>TP/0045</v>
      </c>
      <c r="C127">
        <f>VLOOKUP([1]LISTADO_OTS!B127,[1]Redes!$C$1:$E$5,3,FALSE)</f>
        <v>5</v>
      </c>
      <c r="D127">
        <f>[1]LISTADO_OTS!C127</f>
        <v>2</v>
      </c>
      <c r="E127">
        <f>[1]LISTADO_OTS!D127</f>
        <v>1</v>
      </c>
      <c r="F127">
        <f>[1]LISTADO_OTS!Q127</f>
        <v>1</v>
      </c>
      <c r="G127">
        <f>[1]LISTADO_OTS!R127</f>
        <v>2</v>
      </c>
      <c r="H127" t="str">
        <f>[1]LISTADO_OTS!H127</f>
        <v>Mantenimiento preventivo de saneamiento en Artzeniaga</v>
      </c>
      <c r="I127" t="str">
        <f>[1]LISTADO_OTS!I127</f>
        <v>Mantenimiento preventivo de saneamiento</v>
      </c>
      <c r="J127" s="1">
        <f>[1]LISTADO_OTS!F127</f>
        <v>45882</v>
      </c>
      <c r="K127" s="1">
        <f>[1]LISTADO_OTS!G127</f>
        <v>45882</v>
      </c>
      <c r="L127">
        <f>[1]LISTADO_OTS!M127</f>
        <v>43.121361111111113</v>
      </c>
      <c r="M127">
        <f>[1]LISTADO_OTS!N127</f>
        <v>-3.1508611111111113</v>
      </c>
      <c r="U127" t="b">
        <f>[1]LISTADO_OTS!O127</f>
        <v>1</v>
      </c>
      <c r="V127" t="str">
        <f>[1]LISTADO_OTS!J127</f>
        <v>Artziniega</v>
      </c>
      <c r="W127">
        <f>[1]LISTADO_OTS!R127</f>
        <v>2</v>
      </c>
      <c r="X127">
        <f>[1]LISTADO_OTS!P127</f>
        <v>0</v>
      </c>
      <c r="Y127">
        <v>1</v>
      </c>
      <c r="Z127">
        <f>[1]LISTADO_OTS!S127</f>
        <v>0</v>
      </c>
    </row>
    <row r="128" spans="1:26" x14ac:dyDescent="0.4">
      <c r="A128">
        <v>127</v>
      </c>
      <c r="B128" t="str">
        <f>[1]LISTADO_OTS!E128</f>
        <v>OT/0173</v>
      </c>
      <c r="C128">
        <f>VLOOKUP([1]LISTADO_OTS!B128,[1]Redes!$C$1:$E$5,3,FALSE)</f>
        <v>3</v>
      </c>
      <c r="D128">
        <f>[1]LISTADO_OTS!C128</f>
        <v>1</v>
      </c>
      <c r="E128">
        <f>[1]LISTADO_OTS!D128</f>
        <v>0</v>
      </c>
      <c r="F128">
        <f>[1]LISTADO_OTS!Q128</f>
        <v>1</v>
      </c>
      <c r="G128">
        <f>[1]LISTADO_OTS!R128</f>
        <v>1</v>
      </c>
      <c r="H128" t="str">
        <f>[1]LISTADO_OTS!H128</f>
        <v>Reparación de fuga en Larraño( Llodio)</v>
      </c>
      <c r="I128" t="str">
        <f>[1]LISTADO_OTS!I128</f>
        <v>Reparación de fuga en Larraño, Llodio</v>
      </c>
      <c r="J128" s="1">
        <f>[1]LISTADO_OTS!F128</f>
        <v>45883</v>
      </c>
      <c r="K128" s="1">
        <f>[1]LISTADO_OTS!G128</f>
        <v>45883</v>
      </c>
      <c r="L128">
        <f>[1]LISTADO_OTS!M128</f>
        <v>43.147694444444447</v>
      </c>
      <c r="M128">
        <f>[1]LISTADO_OTS!N128</f>
        <v>-3.0011388888888888</v>
      </c>
      <c r="U128" t="b">
        <f>[1]LISTADO_OTS!O128</f>
        <v>1</v>
      </c>
      <c r="V128" t="str">
        <f>[1]LISTADO_OTS!J128</f>
        <v>Llodio</v>
      </c>
      <c r="W128">
        <f>[1]LISTADO_OTS!R128</f>
        <v>1</v>
      </c>
      <c r="X128">
        <f>[1]LISTADO_OTS!P128</f>
        <v>0</v>
      </c>
      <c r="Y128">
        <v>1</v>
      </c>
      <c r="Z128">
        <f>[1]LISTADO_OTS!S128</f>
        <v>1</v>
      </c>
    </row>
    <row r="129" spans="1:26" x14ac:dyDescent="0.4">
      <c r="A129">
        <v>128</v>
      </c>
      <c r="B129" t="str">
        <f>[1]LISTADO_OTS!E129</f>
        <v>OT/0174</v>
      </c>
      <c r="C129">
        <f>VLOOKUP([1]LISTADO_OTS!B129,[1]Redes!$C$1:$E$5,3,FALSE)</f>
        <v>3</v>
      </c>
      <c r="D129">
        <f>[1]LISTADO_OTS!C129</f>
        <v>1</v>
      </c>
      <c r="E129">
        <f>[1]LISTADO_OTS!D129</f>
        <v>0</v>
      </c>
      <c r="F129">
        <f>[1]LISTADO_OTS!Q129</f>
        <v>1</v>
      </c>
      <c r="G129">
        <f>[1]LISTADO_OTS!R129</f>
        <v>1</v>
      </c>
      <c r="H129" t="str">
        <f>[1]LISTADO_OTS!H129</f>
        <v>Reparación de fuga en Llodio</v>
      </c>
      <c r="I129" t="str">
        <f>[1]LISTADO_OTS!I129</f>
        <v>Reparación de fuga. Acometida.</v>
      </c>
      <c r="J129" s="1">
        <f>[1]LISTADO_OTS!F129</f>
        <v>45883</v>
      </c>
      <c r="K129" s="1">
        <f>[1]LISTADO_OTS!G129</f>
        <v>45883</v>
      </c>
      <c r="L129">
        <f>[1]LISTADO_OTS!M129</f>
        <v>43.143833333333333</v>
      </c>
      <c r="M129">
        <f>[1]LISTADO_OTS!N129</f>
        <v>-2.98475</v>
      </c>
      <c r="U129" t="b">
        <f>[1]LISTADO_OTS!O129</f>
        <v>1</v>
      </c>
      <c r="V129" t="str">
        <f>[1]LISTADO_OTS!J129</f>
        <v>Llodio</v>
      </c>
      <c r="W129">
        <f>[1]LISTADO_OTS!R129</f>
        <v>1</v>
      </c>
      <c r="X129">
        <f>[1]LISTADO_OTS!P129</f>
        <v>0</v>
      </c>
      <c r="Y129">
        <v>1</v>
      </c>
      <c r="Z129">
        <f>[1]LISTADO_OTS!S129</f>
        <v>1</v>
      </c>
    </row>
    <row r="130" spans="1:26" x14ac:dyDescent="0.4">
      <c r="A130">
        <v>129</v>
      </c>
      <c r="B130" t="str">
        <f>[1]LISTADO_OTS!E130</f>
        <v>TP/0046</v>
      </c>
      <c r="C130">
        <f>VLOOKUP([1]LISTADO_OTS!B130,[1]Redes!$C$1:$E$5,3,FALSE)</f>
        <v>5</v>
      </c>
      <c r="D130">
        <f>[1]LISTADO_OTS!C130</f>
        <v>2</v>
      </c>
      <c r="E130">
        <f>[1]LISTADO_OTS!D130</f>
        <v>1</v>
      </c>
      <c r="F130">
        <f>[1]LISTADO_OTS!Q130</f>
        <v>1</v>
      </c>
      <c r="G130">
        <f>[1]LISTADO_OTS!R130</f>
        <v>2</v>
      </c>
      <c r="H130" t="str">
        <f>[1]LISTADO_OTS!H130</f>
        <v>Limpieza de mantenimiento preventivo saneamiento en Artzeniaga</v>
      </c>
      <c r="I130" t="str">
        <f>[1]LISTADO_OTS!I130</f>
        <v>Limpieza de mantenimiento preventivo saneamiento</v>
      </c>
      <c r="J130" s="1">
        <f>[1]LISTADO_OTS!F130</f>
        <v>45883</v>
      </c>
      <c r="K130" s="1">
        <f>[1]LISTADO_OTS!G130</f>
        <v>45883</v>
      </c>
      <c r="L130">
        <f>[1]LISTADO_OTS!M130</f>
        <v>43.122750000000003</v>
      </c>
      <c r="M130">
        <f>[1]LISTADO_OTS!N130</f>
        <v>-3.1516944444444444</v>
      </c>
      <c r="U130" t="b">
        <f>[1]LISTADO_OTS!O130</f>
        <v>1</v>
      </c>
      <c r="V130" t="str">
        <f>[1]LISTADO_OTS!J130</f>
        <v>Artziniega</v>
      </c>
      <c r="W130">
        <f>[1]LISTADO_OTS!R130</f>
        <v>2</v>
      </c>
      <c r="X130">
        <f>[1]LISTADO_OTS!P130</f>
        <v>0</v>
      </c>
      <c r="Y130">
        <v>1</v>
      </c>
      <c r="Z130">
        <f>[1]LISTADO_OTS!S130</f>
        <v>0</v>
      </c>
    </row>
    <row r="131" spans="1:26" x14ac:dyDescent="0.4">
      <c r="A131">
        <v>130</v>
      </c>
      <c r="B131" t="str">
        <f>[1]LISTADO_OTS!E131</f>
        <v>OT/0175</v>
      </c>
      <c r="C131">
        <f>VLOOKUP([1]LISTADO_OTS!B131,[1]Redes!$C$1:$E$5,3,FALSE)</f>
        <v>3</v>
      </c>
      <c r="D131">
        <f>[1]LISTADO_OTS!C131</f>
        <v>1</v>
      </c>
      <c r="E131">
        <f>[1]LISTADO_OTS!D131</f>
        <v>0</v>
      </c>
      <c r="F131">
        <f>[1]LISTADO_OTS!Q131</f>
        <v>5</v>
      </c>
      <c r="G131">
        <f>[1]LISTADO_OTS!R131</f>
        <v>5</v>
      </c>
      <c r="H131" t="str">
        <f>[1]LISTADO_OTS!H131</f>
        <v>Reparacion de fuga por aviso en Jokano</v>
      </c>
      <c r="I131" t="str">
        <f>[1]LISTADO_OTS!I131</f>
        <v>Reparacion de fuga por aviso</v>
      </c>
      <c r="J131" s="1">
        <f>[1]LISTADO_OTS!F131</f>
        <v>45883</v>
      </c>
      <c r="K131" s="1">
        <f>[1]LISTADO_OTS!G131</f>
        <v>45883</v>
      </c>
      <c r="L131">
        <f>[1]LISTADO_OTS!M131</f>
        <v>42.87188888888889</v>
      </c>
      <c r="M131">
        <f>[1]LISTADO_OTS!N131</f>
        <v>-2.951972222222222</v>
      </c>
      <c r="U131" t="b">
        <f>[1]LISTADO_OTS!O131</f>
        <v>1</v>
      </c>
      <c r="V131" t="str">
        <f>[1]LISTADO_OTS!J131</f>
        <v>Jokano</v>
      </c>
      <c r="W131">
        <f>[1]LISTADO_OTS!R131</f>
        <v>5</v>
      </c>
      <c r="X131">
        <f>[1]LISTADO_OTS!P131</f>
        <v>0</v>
      </c>
      <c r="Y131">
        <v>1</v>
      </c>
      <c r="Z131">
        <f>[1]LISTADO_OTS!S131</f>
        <v>1</v>
      </c>
    </row>
    <row r="132" spans="1:26" x14ac:dyDescent="0.4">
      <c r="A132">
        <v>131</v>
      </c>
      <c r="B132" t="str">
        <f>[1]LISTADO_OTS!E132</f>
        <v>TP/0047</v>
      </c>
      <c r="C132">
        <f>VLOOKUP([1]LISTADO_OTS!B132,[1]Redes!$C$1:$E$5,3,FALSE)</f>
        <v>3</v>
      </c>
      <c r="D132">
        <f>[1]LISTADO_OTS!C132</f>
        <v>2</v>
      </c>
      <c r="E132">
        <f>[1]LISTADO_OTS!D132</f>
        <v>14</v>
      </c>
      <c r="F132">
        <f>[1]LISTADO_OTS!Q132</f>
        <v>4</v>
      </c>
      <c r="G132">
        <f>[1]LISTADO_OTS!R132</f>
        <v>4</v>
      </c>
      <c r="H132" t="str">
        <f>[1]LISTADO_OTS!H132</f>
        <v>Maniobras de válvulas en Landa</v>
      </c>
      <c r="I132" t="str">
        <f>[1]LISTADO_OTS!I132</f>
        <v>Maniobras de válvulas</v>
      </c>
      <c r="J132" s="1">
        <f>[1]LISTADO_OTS!F132</f>
        <v>45883</v>
      </c>
      <c r="K132" s="1">
        <f>[1]LISTADO_OTS!G132</f>
        <v>45883</v>
      </c>
      <c r="L132">
        <f>[1]LISTADO_OTS!M132</f>
        <v>42.958194444444445</v>
      </c>
      <c r="M132">
        <f>[1]LISTADO_OTS!N132</f>
        <v>-2.6189166666666668</v>
      </c>
      <c r="U132" t="b">
        <f>[1]LISTADO_OTS!O132</f>
        <v>1</v>
      </c>
      <c r="V132" t="str">
        <f>[1]LISTADO_OTS!J132</f>
        <v>Landa</v>
      </c>
      <c r="W132">
        <f>[1]LISTADO_OTS!R132</f>
        <v>4</v>
      </c>
      <c r="X132">
        <f>[1]LISTADO_OTS!P132</f>
        <v>0</v>
      </c>
      <c r="Y132">
        <v>1</v>
      </c>
      <c r="Z132">
        <f>[1]LISTADO_OTS!S132</f>
        <v>0</v>
      </c>
    </row>
    <row r="133" spans="1:26" x14ac:dyDescent="0.4">
      <c r="A133">
        <v>132</v>
      </c>
      <c r="B133" t="str">
        <f>[1]LISTADO_OTS!E133</f>
        <v>TP/0048</v>
      </c>
      <c r="C133">
        <f>VLOOKUP([1]LISTADO_OTS!B133,[1]Redes!$C$1:$E$5,3,FALSE)</f>
        <v>3</v>
      </c>
      <c r="D133">
        <f>[1]LISTADO_OTS!C133</f>
        <v>2</v>
      </c>
      <c r="E133">
        <f>[1]LISTADO_OTS!D133</f>
        <v>14</v>
      </c>
      <c r="F133">
        <f>[1]LISTADO_OTS!Q133</f>
        <v>4</v>
      </c>
      <c r="G133">
        <f>[1]LISTADO_OTS!R133</f>
        <v>4</v>
      </c>
      <c r="H133" t="str">
        <f>[1]LISTADO_OTS!H133</f>
        <v>Sustitución y limpieza de ventosas en Elosu</v>
      </c>
      <c r="I133" t="str">
        <f>[1]LISTADO_OTS!I133</f>
        <v>Sustitución y limpieza de ventosas en Elosu</v>
      </c>
      <c r="J133" s="1">
        <f>[1]LISTADO_OTS!F133</f>
        <v>45883</v>
      </c>
      <c r="K133" s="1">
        <f>[1]LISTADO_OTS!G133</f>
        <v>45883</v>
      </c>
      <c r="L133">
        <f>[1]LISTADO_OTS!M133</f>
        <v>42.976083333333335</v>
      </c>
      <c r="M133">
        <f>[1]LISTADO_OTS!N133</f>
        <v>-2.7025277777777776</v>
      </c>
      <c r="U133" t="b">
        <f>[1]LISTADO_OTS!O133</f>
        <v>1</v>
      </c>
      <c r="V133" t="str">
        <f>[1]LISTADO_OTS!J133</f>
        <v>Elosu</v>
      </c>
      <c r="W133">
        <f>[1]LISTADO_OTS!R133</f>
        <v>4</v>
      </c>
      <c r="X133">
        <f>[1]LISTADO_OTS!P133</f>
        <v>0</v>
      </c>
      <c r="Y133">
        <v>1</v>
      </c>
      <c r="Z133">
        <f>[1]LISTADO_OTS!S133</f>
        <v>0</v>
      </c>
    </row>
    <row r="134" spans="1:26" x14ac:dyDescent="0.4">
      <c r="A134">
        <v>133</v>
      </c>
      <c r="B134" t="str">
        <f>[1]LISTADO_OTS!E134</f>
        <v>OT/0176</v>
      </c>
      <c r="C134">
        <f>VLOOKUP([1]LISTADO_OTS!B134,[1]Redes!$C$1:$E$5,3,FALSE)</f>
        <v>3</v>
      </c>
      <c r="D134">
        <f>[1]LISTADO_OTS!C134</f>
        <v>1</v>
      </c>
      <c r="E134">
        <f>[1]LISTADO_OTS!D134</f>
        <v>0</v>
      </c>
      <c r="F134">
        <f>[1]LISTADO_OTS!Q134</f>
        <v>1</v>
      </c>
      <c r="G134">
        <f>[1]LISTADO_OTS!R134</f>
        <v>1</v>
      </c>
      <c r="H134" t="str">
        <f>[1]LISTADO_OTS!H134</f>
        <v>Inspección de tuberías con cámara en Colegio La Milagrosa (Llodio)</v>
      </c>
      <c r="I134" t="str">
        <f>[1]LISTADO_OTS!I134</f>
        <v>Inspección de tuberías con cámara</v>
      </c>
      <c r="J134" s="1">
        <f>[1]LISTADO_OTS!F134</f>
        <v>45883</v>
      </c>
      <c r="K134" s="1">
        <f>[1]LISTADO_OTS!G134</f>
        <v>45883</v>
      </c>
      <c r="L134">
        <f>[1]LISTADO_OTS!M134</f>
        <v>43.147194444444445</v>
      </c>
      <c r="M134">
        <f>[1]LISTADO_OTS!N134</f>
        <v>-3.0028055555555557</v>
      </c>
      <c r="U134" t="b">
        <f>[1]LISTADO_OTS!O134</f>
        <v>1</v>
      </c>
      <c r="V134" t="str">
        <f>[1]LISTADO_OTS!J134</f>
        <v>Llodio</v>
      </c>
      <c r="W134">
        <f>[1]LISTADO_OTS!R134</f>
        <v>1</v>
      </c>
      <c r="X134">
        <f>[1]LISTADO_OTS!P134</f>
        <v>0</v>
      </c>
      <c r="Y134">
        <v>1</v>
      </c>
      <c r="Z134">
        <f>[1]LISTADO_OTS!S134</f>
        <v>3</v>
      </c>
    </row>
    <row r="135" spans="1:26" x14ac:dyDescent="0.4">
      <c r="A135">
        <v>134</v>
      </c>
      <c r="B135" t="str">
        <f>[1]LISTADO_OTS!E135</f>
        <v>TP/0049</v>
      </c>
      <c r="C135">
        <f>VLOOKUP([1]LISTADO_OTS!B135,[1]Redes!$C$1:$E$5,3,FALSE)</f>
        <v>5</v>
      </c>
      <c r="D135">
        <f>[1]LISTADO_OTS!C135</f>
        <v>2</v>
      </c>
      <c r="E135">
        <f>[1]LISTADO_OTS!D135</f>
        <v>1</v>
      </c>
      <c r="F135">
        <f>[1]LISTADO_OTS!Q135</f>
        <v>1</v>
      </c>
      <c r="G135">
        <f>[1]LISTADO_OTS!R135</f>
        <v>1</v>
      </c>
      <c r="H135" t="str">
        <f>[1]LISTADO_OTS!H135</f>
        <v>Mantenimiento preventivo de saneamiento de las fosas de Tamices en Onsoño</v>
      </c>
      <c r="I135" t="str">
        <f>[1]LISTADO_OTS!I135</f>
        <v>Mantenimiento preventivo de saneamiento de las fosas de Tamices</v>
      </c>
      <c r="J135" s="1">
        <f>[1]LISTADO_OTS!F135</f>
        <v>45883</v>
      </c>
      <c r="K135" s="1">
        <f>[1]LISTADO_OTS!G135</f>
        <v>45883</v>
      </c>
      <c r="L135">
        <f>[1]LISTADO_OTS!M135</f>
        <v>43.060499999999998</v>
      </c>
      <c r="M135">
        <f>[1]LISTADO_OTS!N135</f>
        <v>-2.9697500000000003</v>
      </c>
      <c r="U135" t="b">
        <f>[1]LISTADO_OTS!O135</f>
        <v>1</v>
      </c>
      <c r="V135" t="str">
        <f>[1]LISTADO_OTS!J135</f>
        <v>Onsoño-Amurrio</v>
      </c>
      <c r="W135">
        <f>[1]LISTADO_OTS!R135</f>
        <v>1</v>
      </c>
      <c r="X135">
        <f>[1]LISTADO_OTS!P135</f>
        <v>0</v>
      </c>
      <c r="Y135">
        <v>1</v>
      </c>
      <c r="Z135">
        <f>[1]LISTADO_OTS!S135</f>
        <v>0</v>
      </c>
    </row>
    <row r="136" spans="1:26" x14ac:dyDescent="0.4">
      <c r="A136">
        <v>135</v>
      </c>
      <c r="B136" t="str">
        <f>[1]LISTADO_OTS!E136</f>
        <v>OT/0177</v>
      </c>
      <c r="C136">
        <f>VLOOKUP([1]LISTADO_OTS!B136,[1]Redes!$C$1:$E$5,3,FALSE)</f>
        <v>5</v>
      </c>
      <c r="D136">
        <f>[1]LISTADO_OTS!C136</f>
        <v>1</v>
      </c>
      <c r="E136">
        <f>[1]LISTADO_OTS!D136</f>
        <v>0</v>
      </c>
      <c r="F136">
        <f>[1]LISTADO_OTS!Q136</f>
        <v>1</v>
      </c>
      <c r="G136">
        <f>[1]LISTADO_OTS!R136</f>
        <v>1</v>
      </c>
      <c r="H136" t="str">
        <f>[1]LISTADO_OTS!H136</f>
        <v>Atasco en Amurrio</v>
      </c>
      <c r="I136" t="str">
        <f>[1]LISTADO_OTS!I136</f>
        <v>Atasco en Amurrio</v>
      </c>
      <c r="J136" s="1">
        <f>[1]LISTADO_OTS!F136</f>
        <v>45884</v>
      </c>
      <c r="K136" s="1">
        <f>[1]LISTADO_OTS!G136</f>
        <v>45884</v>
      </c>
      <c r="L136">
        <f>[1]LISTADO_OTS!M136</f>
        <v>43.052944444444442</v>
      </c>
      <c r="M136">
        <f>[1]LISTADO_OTS!N136</f>
        <v>-3.0366944444444446</v>
      </c>
      <c r="U136" t="b">
        <f>[1]LISTADO_OTS!O136</f>
        <v>1</v>
      </c>
      <c r="V136" t="str">
        <f>[1]LISTADO_OTS!J136</f>
        <v>Amurrio</v>
      </c>
      <c r="W136">
        <f>[1]LISTADO_OTS!R136</f>
        <v>1</v>
      </c>
      <c r="X136">
        <f>[1]LISTADO_OTS!P136</f>
        <v>0</v>
      </c>
      <c r="Y136">
        <v>1</v>
      </c>
      <c r="Z136">
        <f>[1]LISTADO_OTS!S136</f>
        <v>2</v>
      </c>
    </row>
    <row r="137" spans="1:26" x14ac:dyDescent="0.4">
      <c r="A137">
        <v>136</v>
      </c>
      <c r="B137" t="str">
        <f>[1]LISTADO_OTS!E137</f>
        <v>OT/0178</v>
      </c>
      <c r="C137">
        <f>VLOOKUP([1]LISTADO_OTS!B137,[1]Redes!$C$1:$E$5,3,FALSE)</f>
        <v>3</v>
      </c>
      <c r="D137">
        <f>[1]LISTADO_OTS!C137</f>
        <v>1</v>
      </c>
      <c r="E137">
        <f>[1]LISTADO_OTS!D137</f>
        <v>0</v>
      </c>
      <c r="F137">
        <f>[1]LISTADO_OTS!Q137</f>
        <v>1</v>
      </c>
      <c r="G137">
        <f>[1]LISTADO_OTS!R137</f>
        <v>1</v>
      </c>
      <c r="H137" t="str">
        <f>[1]LISTADO_OTS!H137</f>
        <v>Fuga de agua en Sojoguti (Concejo municipio Artzeniaga)</v>
      </c>
      <c r="I137" t="str">
        <f>[1]LISTADO_OTS!I137</f>
        <v>Fuga de agua en Sojoguti</v>
      </c>
      <c r="J137" s="1">
        <f>[1]LISTADO_OTS!F137</f>
        <v>45884</v>
      </c>
      <c r="K137" s="1">
        <f>[1]LISTADO_OTS!G137</f>
        <v>45884</v>
      </c>
      <c r="L137">
        <f>[1]LISTADO_OTS!M137</f>
        <v>43.112277777777777</v>
      </c>
      <c r="M137">
        <f>[1]LISTADO_OTS!N137</f>
        <v>-3.1536388888888891</v>
      </c>
      <c r="U137" t="b">
        <f>[1]LISTADO_OTS!O137</f>
        <v>1</v>
      </c>
      <c r="V137" t="str">
        <f>[1]LISTADO_OTS!J137</f>
        <v>Sojoguti/Artzeniaga</v>
      </c>
      <c r="W137">
        <f>[1]LISTADO_OTS!R137</f>
        <v>1</v>
      </c>
      <c r="X137">
        <f>[1]LISTADO_OTS!P137</f>
        <v>0</v>
      </c>
      <c r="Y137">
        <v>1</v>
      </c>
      <c r="Z137">
        <f>[1]LISTADO_OTS!S137</f>
        <v>1</v>
      </c>
    </row>
    <row r="138" spans="1:26" x14ac:dyDescent="0.4">
      <c r="A138">
        <v>137</v>
      </c>
      <c r="B138" t="str">
        <f>[1]LISTADO_OTS!E138</f>
        <v>OT/0179</v>
      </c>
      <c r="C138">
        <f>VLOOKUP([1]LISTADO_OTS!B138,[1]Redes!$C$1:$E$5,3,FALSE)</f>
        <v>5</v>
      </c>
      <c r="D138">
        <f>[1]LISTADO_OTS!C138</f>
        <v>1</v>
      </c>
      <c r="E138">
        <f>[1]LISTADO_OTS!D138</f>
        <v>0</v>
      </c>
      <c r="F138">
        <f>[1]LISTADO_OTS!Q138</f>
        <v>1</v>
      </c>
      <c r="G138">
        <f>[1]LISTADO_OTS!R138</f>
        <v>1</v>
      </c>
      <c r="H138" t="str">
        <f>[1]LISTADO_OTS!H138</f>
        <v>Atasco de saneamiento en Amurrio</v>
      </c>
      <c r="I138" t="str">
        <f>[1]LISTADO_OTS!I138</f>
        <v>Atasco de saneamiento</v>
      </c>
      <c r="J138" s="1">
        <f>[1]LISTADO_OTS!F138</f>
        <v>45884</v>
      </c>
      <c r="K138" s="1">
        <f>[1]LISTADO_OTS!G138</f>
        <v>45884</v>
      </c>
      <c r="L138">
        <f>[1]LISTADO_OTS!M138</f>
        <v>43.052833333333332</v>
      </c>
      <c r="M138">
        <f>[1]LISTADO_OTS!N138</f>
        <v>-3.0372499999999998</v>
      </c>
      <c r="U138" t="b">
        <f>[1]LISTADO_OTS!O138</f>
        <v>1</v>
      </c>
      <c r="V138" t="str">
        <f>[1]LISTADO_OTS!J138</f>
        <v>Amurrio</v>
      </c>
      <c r="W138">
        <f>[1]LISTADO_OTS!R138</f>
        <v>1</v>
      </c>
      <c r="X138">
        <f>[1]LISTADO_OTS!P138</f>
        <v>0</v>
      </c>
      <c r="Y138">
        <v>1</v>
      </c>
      <c r="Z138">
        <f>[1]LISTADO_OTS!S138</f>
        <v>2</v>
      </c>
    </row>
    <row r="139" spans="1:26" x14ac:dyDescent="0.4">
      <c r="A139">
        <v>138</v>
      </c>
      <c r="B139" t="str">
        <f>[1]LISTADO_OTS!E139</f>
        <v>OT/0180</v>
      </c>
      <c r="C139">
        <f>VLOOKUP([1]LISTADO_OTS!B139,[1]Redes!$C$1:$E$5,3,FALSE)</f>
        <v>3</v>
      </c>
      <c r="D139">
        <f>[1]LISTADO_OTS!C139</f>
        <v>1</v>
      </c>
      <c r="E139">
        <f>[1]LISTADO_OTS!D139</f>
        <v>0</v>
      </c>
      <c r="F139">
        <f>[1]LISTADO_OTS!Q139</f>
        <v>1</v>
      </c>
      <c r="G139">
        <f>[1]LISTADO_OTS!R139</f>
        <v>1</v>
      </c>
      <c r="H139" t="str">
        <f>[1]LISTADO_OTS!H139</f>
        <v>Reparación de fuga en acometida  en Retes de Llanteno</v>
      </c>
      <c r="I139" t="str">
        <f>[1]LISTADO_OTS!I139</f>
        <v>Reparación de fuga en acometida. Hormigonado y asfaltado.</v>
      </c>
      <c r="J139" s="1">
        <f>[1]LISTADO_OTS!F139</f>
        <v>45884</v>
      </c>
      <c r="K139" s="1">
        <f>[1]LISTADO_OTS!G139</f>
        <v>45884</v>
      </c>
      <c r="L139">
        <f>[1]LISTADO_OTS!M139</f>
        <v>43.091444444444448</v>
      </c>
      <c r="M139">
        <f>[1]LISTADO_OTS!N139</f>
        <v>-3.1375277777777777</v>
      </c>
      <c r="U139" t="b">
        <f>[1]LISTADO_OTS!O139</f>
        <v>1</v>
      </c>
      <c r="V139" t="str">
        <f>[1]LISTADO_OTS!J139</f>
        <v>Retes de Llanteno</v>
      </c>
      <c r="W139">
        <f>[1]LISTADO_OTS!R139</f>
        <v>1</v>
      </c>
      <c r="X139">
        <f>[1]LISTADO_OTS!P139</f>
        <v>0</v>
      </c>
      <c r="Y139">
        <v>1</v>
      </c>
      <c r="Z139">
        <f>[1]LISTADO_OTS!S139</f>
        <v>1</v>
      </c>
    </row>
    <row r="140" spans="1:26" x14ac:dyDescent="0.4">
      <c r="A140">
        <v>139</v>
      </c>
      <c r="B140" t="str">
        <f>[1]LISTADO_OTS!E140</f>
        <v>OT/0181</v>
      </c>
      <c r="C140">
        <f>VLOOKUP([1]LISTADO_OTS!B140,[1]Redes!$C$1:$E$5,3,FALSE)</f>
        <v>3</v>
      </c>
      <c r="D140">
        <f>[1]LISTADO_OTS!C140</f>
        <v>1</v>
      </c>
      <c r="E140">
        <f>[1]LISTADO_OTS!D140</f>
        <v>0</v>
      </c>
      <c r="F140">
        <f>[1]LISTADO_OTS!Q140</f>
        <v>1</v>
      </c>
      <c r="G140">
        <f>[1]LISTADO_OTS!R140</f>
        <v>1</v>
      </c>
      <c r="H140" t="str">
        <f>[1]LISTADO_OTS!H140</f>
        <v>Reparación avería en Llodio</v>
      </c>
      <c r="I140" t="str">
        <f>[1]LISTADO_OTS!I140</f>
        <v>Picado y reparación de reventón. Preparación para hormigonado. Desescombrar. Hormigonado y recorte de baldosa. Embaldosado.</v>
      </c>
      <c r="J140" s="1">
        <f>[1]LISTADO_OTS!F140</f>
        <v>45885</v>
      </c>
      <c r="K140" s="1">
        <f>[1]LISTADO_OTS!G140</f>
        <v>45885</v>
      </c>
      <c r="L140">
        <f>[1]LISTADO_OTS!M140</f>
        <v>43.142277777777778</v>
      </c>
      <c r="M140">
        <f>[1]LISTADO_OTS!N140</f>
        <v>-2.9878055555555556</v>
      </c>
      <c r="U140" t="b">
        <f>[1]LISTADO_OTS!O140</f>
        <v>1</v>
      </c>
      <c r="V140" t="str">
        <f>[1]LISTADO_OTS!J140</f>
        <v>Llodio</v>
      </c>
      <c r="W140">
        <f>[1]LISTADO_OTS!R140</f>
        <v>1</v>
      </c>
      <c r="X140">
        <f>[1]LISTADO_OTS!P140</f>
        <v>0</v>
      </c>
      <c r="Y140">
        <v>1</v>
      </c>
      <c r="Z140">
        <f>[1]LISTADO_OTS!S140</f>
        <v>3</v>
      </c>
    </row>
    <row r="141" spans="1:26" x14ac:dyDescent="0.4">
      <c r="A141">
        <v>140</v>
      </c>
      <c r="B141" t="str">
        <f>[1]LISTADO_OTS!E141</f>
        <v>OT/0182</v>
      </c>
      <c r="C141">
        <f>VLOOKUP([1]LISTADO_OTS!B141,[1]Redes!$C$1:$E$5,3,FALSE)</f>
        <v>3</v>
      </c>
      <c r="D141">
        <f>[1]LISTADO_OTS!C141</f>
        <v>1</v>
      </c>
      <c r="E141">
        <f>[1]LISTADO_OTS!D141</f>
        <v>0</v>
      </c>
      <c r="F141">
        <f>[1]LISTADO_OTS!Q141</f>
        <v>1</v>
      </c>
      <c r="G141">
        <f>[1]LISTADO_OTS!R141</f>
        <v>1</v>
      </c>
      <c r="H141" t="str">
        <f>[1]LISTADO_OTS!H141</f>
        <v>Fuga de agua en Berganza</v>
      </c>
      <c r="I141" t="str">
        <f>[1]LISTADO_OTS!I141</f>
        <v>Fuga de agua en Berganza</v>
      </c>
      <c r="J141" s="1">
        <f>[1]LISTADO_OTS!F141</f>
        <v>45885</v>
      </c>
      <c r="K141" s="1">
        <f>[1]LISTADO_OTS!G141</f>
        <v>45885</v>
      </c>
      <c r="L141">
        <f>[1]LISTADO_OTS!M141</f>
        <v>43.121305555555558</v>
      </c>
      <c r="M141">
        <f>[1]LISTADO_OTS!N141</f>
        <v>-3.1547499999999999</v>
      </c>
      <c r="U141" t="b">
        <f>[1]LISTADO_OTS!O141</f>
        <v>1</v>
      </c>
      <c r="V141" t="str">
        <f>[1]LISTADO_OTS!J141</f>
        <v>Berganza-Baranbio</v>
      </c>
      <c r="W141">
        <f>[1]LISTADO_OTS!R141</f>
        <v>1</v>
      </c>
      <c r="X141">
        <f>[1]LISTADO_OTS!P141</f>
        <v>0</v>
      </c>
      <c r="Y141">
        <v>1</v>
      </c>
      <c r="Z141">
        <f>[1]LISTADO_OTS!S141</f>
        <v>1</v>
      </c>
    </row>
    <row r="142" spans="1:26" x14ac:dyDescent="0.4">
      <c r="A142">
        <v>141</v>
      </c>
      <c r="B142" t="str">
        <f>[1]LISTADO_OTS!E142</f>
        <v>OT/0183</v>
      </c>
      <c r="C142">
        <f>VLOOKUP([1]LISTADO_OTS!B142,[1]Redes!$C$1:$E$5,3,FALSE)</f>
        <v>5</v>
      </c>
      <c r="D142">
        <f>[1]LISTADO_OTS!C142</f>
        <v>1</v>
      </c>
      <c r="E142">
        <f>[1]LISTADO_OTS!D142</f>
        <v>0</v>
      </c>
      <c r="F142">
        <f>[1]LISTADO_OTS!Q142</f>
        <v>1</v>
      </c>
      <c r="G142">
        <f>[1]LISTADO_OTS!R142</f>
        <v>4</v>
      </c>
      <c r="H142" t="str">
        <f>[1]LISTADO_OTS!H142</f>
        <v>Atasco en Landaluce, Llodio</v>
      </c>
      <c r="I142" t="str">
        <f>[1]LISTADO_OTS!I142</f>
        <v>Atasco en Landaluce, Llodio</v>
      </c>
      <c r="J142" s="1">
        <f>[1]LISTADO_OTS!F142</f>
        <v>45885</v>
      </c>
      <c r="K142" s="1">
        <f>[1]LISTADO_OTS!G142</f>
        <v>45885</v>
      </c>
      <c r="L142">
        <f>[1]LISTADO_OTS!M142</f>
        <v>43.140472222222222</v>
      </c>
      <c r="M142">
        <f>[1]LISTADO_OTS!N142</f>
        <v>-3.0050277777777779</v>
      </c>
      <c r="U142" t="b">
        <f>[1]LISTADO_OTS!O142</f>
        <v>1</v>
      </c>
      <c r="V142" t="str">
        <f>[1]LISTADO_OTS!J142</f>
        <v>Llodio</v>
      </c>
      <c r="W142">
        <f>[1]LISTADO_OTS!R142</f>
        <v>4</v>
      </c>
      <c r="X142">
        <f>[1]LISTADO_OTS!P142</f>
        <v>0</v>
      </c>
      <c r="Y142">
        <v>1</v>
      </c>
      <c r="Z142">
        <f>[1]LISTADO_OTS!S142</f>
        <v>2</v>
      </c>
    </row>
    <row r="143" spans="1:26" x14ac:dyDescent="0.4">
      <c r="A143">
        <v>142</v>
      </c>
      <c r="B143" t="str">
        <f>[1]LISTADO_OTS!E143</f>
        <v>OT/0184</v>
      </c>
      <c r="C143">
        <f>VLOOKUP([1]LISTADO_OTS!B143,[1]Redes!$C$1:$E$5,3,FALSE)</f>
        <v>3</v>
      </c>
      <c r="D143">
        <f>[1]LISTADO_OTS!C143</f>
        <v>1</v>
      </c>
      <c r="E143">
        <f>[1]LISTADO_OTS!D143</f>
        <v>0</v>
      </c>
      <c r="F143">
        <f>[1]LISTADO_OTS!Q143</f>
        <v>1</v>
      </c>
      <c r="G143">
        <f>[1]LISTADO_OTS!R143</f>
        <v>1</v>
      </c>
      <c r="H143" t="str">
        <f>[1]LISTADO_OTS!H143</f>
        <v>Fuga de agua en Erbi</v>
      </c>
      <c r="I143" t="str">
        <f>[1]LISTADO_OTS!I143</f>
        <v>Fuga de agua en Erbi</v>
      </c>
      <c r="J143" s="1">
        <f>[1]LISTADO_OTS!F143</f>
        <v>45886</v>
      </c>
      <c r="K143" s="1">
        <f>[1]LISTADO_OTS!G143</f>
        <v>45886</v>
      </c>
      <c r="L143">
        <f>[1]LISTADO_OTS!M143</f>
        <v>43.075055555555558</v>
      </c>
      <c r="M143">
        <f>[1]LISTADO_OTS!N143</f>
        <v>-3.138638888888889</v>
      </c>
      <c r="U143" t="b">
        <f>[1]LISTADO_OTS!O143</f>
        <v>1</v>
      </c>
      <c r="V143" t="str">
        <f>[1]LISTADO_OTS!J143</f>
        <v>Erbi</v>
      </c>
      <c r="W143">
        <f>[1]LISTADO_OTS!R143</f>
        <v>1</v>
      </c>
      <c r="X143">
        <f>[1]LISTADO_OTS!P143</f>
        <v>0</v>
      </c>
      <c r="Y143">
        <v>1</v>
      </c>
      <c r="Z143">
        <f>[1]LISTADO_OTS!S143</f>
        <v>1</v>
      </c>
    </row>
    <row r="144" spans="1:26" x14ac:dyDescent="0.4">
      <c r="A144">
        <v>143</v>
      </c>
      <c r="B144" t="str">
        <f>[1]LISTADO_OTS!E144</f>
        <v>OT/0185</v>
      </c>
      <c r="C144">
        <f>VLOOKUP([1]LISTADO_OTS!B144,[1]Redes!$C$1:$E$5,3,FALSE)</f>
        <v>5</v>
      </c>
      <c r="D144">
        <f>[1]LISTADO_OTS!C144</f>
        <v>1</v>
      </c>
      <c r="E144">
        <f>[1]LISTADO_OTS!D144</f>
        <v>0</v>
      </c>
      <c r="F144">
        <f>[1]LISTADO_OTS!Q144</f>
        <v>1</v>
      </c>
      <c r="G144">
        <f>[1]LISTADO_OTS!R144</f>
        <v>1</v>
      </c>
      <c r="H144" t="str">
        <f>[1]LISTADO_OTS!H144</f>
        <v>Atasco de saneamiento en Amurrio</v>
      </c>
      <c r="I144" t="str">
        <f>[1]LISTADO_OTS!I144</f>
        <v>Atasco de saneamiento</v>
      </c>
      <c r="J144" s="1">
        <f>[1]LISTADO_OTS!F144</f>
        <v>45886</v>
      </c>
      <c r="K144" s="1">
        <f>[1]LISTADO_OTS!G144</f>
        <v>45886</v>
      </c>
      <c r="L144">
        <f>[1]LISTADO_OTS!M144</f>
        <v>43.05394444444444</v>
      </c>
      <c r="M144">
        <f>[1]LISTADO_OTS!N144</f>
        <v>-3.0389166666666667</v>
      </c>
      <c r="U144" t="b">
        <f>[1]LISTADO_OTS!O144</f>
        <v>1</v>
      </c>
      <c r="V144" t="str">
        <f>[1]LISTADO_OTS!J144</f>
        <v>Amurrio</v>
      </c>
      <c r="W144">
        <f>[1]LISTADO_OTS!R144</f>
        <v>1</v>
      </c>
      <c r="X144">
        <f>[1]LISTADO_OTS!P144</f>
        <v>0</v>
      </c>
      <c r="Y144">
        <v>1</v>
      </c>
      <c r="Z144">
        <f>[1]LISTADO_OTS!S144</f>
        <v>2</v>
      </c>
    </row>
    <row r="145" spans="1:26" x14ac:dyDescent="0.4">
      <c r="A145">
        <v>144</v>
      </c>
      <c r="B145" t="str">
        <f>[1]LISTADO_OTS!E145</f>
        <v>OT/0186</v>
      </c>
      <c r="C145">
        <f>VLOOKUP([1]LISTADO_OTS!B145,[1]Redes!$C$1:$E$5,3,FALSE)</f>
        <v>3</v>
      </c>
      <c r="D145">
        <f>[1]LISTADO_OTS!C145</f>
        <v>1</v>
      </c>
      <c r="E145">
        <f>[1]LISTADO_OTS!D145</f>
        <v>0</v>
      </c>
      <c r="F145">
        <f>[1]LISTADO_OTS!Q145</f>
        <v>1</v>
      </c>
      <c r="G145">
        <f>[1]LISTADO_OTS!R145</f>
        <v>1</v>
      </c>
      <c r="H145" t="str">
        <f>[1]LISTADO_OTS!H145</f>
        <v>Fuga de agua en Erbi</v>
      </c>
      <c r="I145" t="str">
        <f>[1]LISTADO_OTS!I145</f>
        <v>Fuga de agua en Erbi</v>
      </c>
      <c r="J145" s="1">
        <f>[1]LISTADO_OTS!F145</f>
        <v>45887</v>
      </c>
      <c r="K145" s="1">
        <f>[1]LISTADO_OTS!G145</f>
        <v>45887</v>
      </c>
      <c r="L145">
        <f>[1]LISTADO_OTS!M145</f>
        <v>43.075194444444449</v>
      </c>
      <c r="M145">
        <f>[1]LISTADO_OTS!N145</f>
        <v>-3.1391944444444446</v>
      </c>
      <c r="U145" t="b">
        <f>[1]LISTADO_OTS!O145</f>
        <v>1</v>
      </c>
      <c r="V145" t="str">
        <f>[1]LISTADO_OTS!J145</f>
        <v>Erbi-Ayala</v>
      </c>
      <c r="W145">
        <f>[1]LISTADO_OTS!R145</f>
        <v>1</v>
      </c>
      <c r="X145">
        <f>[1]LISTADO_OTS!P145</f>
        <v>0</v>
      </c>
      <c r="Y145">
        <v>1</v>
      </c>
      <c r="Z145">
        <f>[1]LISTADO_OTS!S145</f>
        <v>1</v>
      </c>
    </row>
    <row r="146" spans="1:26" x14ac:dyDescent="0.4">
      <c r="A146">
        <v>145</v>
      </c>
      <c r="B146" t="str">
        <f>[1]LISTADO_OTS!E146</f>
        <v>OT/0187</v>
      </c>
      <c r="C146">
        <f>VLOOKUP([1]LISTADO_OTS!B146,[1]Redes!$C$1:$E$5,3,FALSE)</f>
        <v>3</v>
      </c>
      <c r="D146">
        <f>[1]LISTADO_OTS!C146</f>
        <v>1</v>
      </c>
      <c r="E146">
        <f>[1]LISTADO_OTS!D146</f>
        <v>0</v>
      </c>
      <c r="F146">
        <f>[1]LISTADO_OTS!Q146</f>
        <v>1</v>
      </c>
      <c r="G146">
        <f>[1]LISTADO_OTS!R146</f>
        <v>1</v>
      </c>
      <c r="H146" t="str">
        <f>[1]LISTADO_OTS!H146</f>
        <v>Fuga de agua en Berganza</v>
      </c>
      <c r="I146" t="str">
        <f>[1]LISTADO_OTS!I146</f>
        <v>Fuga de agua</v>
      </c>
      <c r="J146" s="1">
        <f>[1]LISTADO_OTS!F146</f>
        <v>45887</v>
      </c>
      <c r="K146" s="1">
        <f>[1]LISTADO_OTS!G146</f>
        <v>45887</v>
      </c>
      <c r="L146">
        <f>[1]LISTADO_OTS!M146</f>
        <v>43.121305555555558</v>
      </c>
      <c r="M146">
        <f>[1]LISTADO_OTS!N146</f>
        <v>-3.156138888888889</v>
      </c>
      <c r="U146" t="b">
        <f>[1]LISTADO_OTS!O146</f>
        <v>1</v>
      </c>
      <c r="V146" t="str">
        <f>[1]LISTADO_OTS!J146</f>
        <v>Berganza-Baranbio</v>
      </c>
      <c r="W146">
        <f>[1]LISTADO_OTS!R146</f>
        <v>1</v>
      </c>
      <c r="X146">
        <f>[1]LISTADO_OTS!P146</f>
        <v>0</v>
      </c>
      <c r="Y146">
        <v>1</v>
      </c>
      <c r="Z146">
        <f>[1]LISTADO_OTS!S146</f>
        <v>1</v>
      </c>
    </row>
    <row r="147" spans="1:26" x14ac:dyDescent="0.4">
      <c r="A147">
        <v>146</v>
      </c>
      <c r="B147" t="str">
        <f>[1]LISTADO_OTS!E147</f>
        <v>TP/0050</v>
      </c>
      <c r="C147">
        <f>VLOOKUP([1]LISTADO_OTS!B147,[1]Redes!$C$1:$E$5,3,FALSE)</f>
        <v>5</v>
      </c>
      <c r="D147">
        <f>[1]LISTADO_OTS!C147</f>
        <v>2</v>
      </c>
      <c r="E147">
        <f>[1]LISTADO_OTS!D147</f>
        <v>1</v>
      </c>
      <c r="F147">
        <f>[1]LISTADO_OTS!Q147</f>
        <v>1</v>
      </c>
      <c r="G147">
        <f>[1]LISTADO_OTS!R147</f>
        <v>4</v>
      </c>
      <c r="H147" t="str">
        <f>[1]LISTADO_OTS!H147</f>
        <v>Mantenimiento preventivo con camión de saneamiento en Llodio</v>
      </c>
      <c r="I147" t="str">
        <f>[1]LISTADO_OTS!I147</f>
        <v>Mantenimiento preventivo con camión de saneamient en Llodio: Goikoplaza, Tubacex, Zumalakarregi.</v>
      </c>
      <c r="J147" s="1">
        <f>[1]LISTADO_OTS!F147</f>
        <v>45887</v>
      </c>
      <c r="K147" s="1">
        <f>[1]LISTADO_OTS!G147</f>
        <v>45887</v>
      </c>
      <c r="L147">
        <f>[1]LISTADO_OTS!M147</f>
        <v>43.138222222222218</v>
      </c>
      <c r="M147">
        <f>[1]LISTADO_OTS!N147</f>
        <v>-2.9897500000000004</v>
      </c>
      <c r="U147" t="b">
        <f>[1]LISTADO_OTS!O147</f>
        <v>1</v>
      </c>
      <c r="V147" t="str">
        <f>[1]LISTADO_OTS!J147</f>
        <v>Llodio</v>
      </c>
      <c r="W147">
        <f>[1]LISTADO_OTS!R147</f>
        <v>4</v>
      </c>
      <c r="X147">
        <f>[1]LISTADO_OTS!P147</f>
        <v>0</v>
      </c>
      <c r="Y147">
        <v>1</v>
      </c>
      <c r="Z147">
        <f>[1]LISTADO_OTS!S147</f>
        <v>0</v>
      </c>
    </row>
    <row r="148" spans="1:26" x14ac:dyDescent="0.4">
      <c r="A148">
        <v>147</v>
      </c>
      <c r="B148" t="str">
        <f>[1]LISTADO_OTS!E148</f>
        <v>OT/0188</v>
      </c>
      <c r="C148">
        <f>VLOOKUP([1]LISTADO_OTS!B148,[1]Redes!$C$1:$E$5,3,FALSE)</f>
        <v>3</v>
      </c>
      <c r="D148">
        <f>[1]LISTADO_OTS!C148</f>
        <v>1</v>
      </c>
      <c r="E148">
        <f>[1]LISTADO_OTS!D148</f>
        <v>0</v>
      </c>
      <c r="F148">
        <f>[1]LISTADO_OTS!Q148</f>
        <v>5</v>
      </c>
      <c r="G148">
        <f>[1]LISTADO_OTS!R148</f>
        <v>5</v>
      </c>
      <c r="H148" t="str">
        <f>[1]LISTADO_OTS!H148</f>
        <v>Reparación de fuga y tapado de cata en Zambrana</v>
      </c>
      <c r="I148" t="str">
        <f>[1]LISTADO_OTS!I148</f>
        <v>Reparación de fuga y tapado de cata</v>
      </c>
      <c r="J148" s="1">
        <f>[1]LISTADO_OTS!F148</f>
        <v>45887</v>
      </c>
      <c r="K148" s="1">
        <f>[1]LISTADO_OTS!G148</f>
        <v>45887</v>
      </c>
      <c r="L148">
        <f>[1]LISTADO_OTS!M148</f>
        <v>42.661527777777778</v>
      </c>
      <c r="M148">
        <f>[1]LISTADO_OTS!N148</f>
        <v>-2.9066944444444447</v>
      </c>
      <c r="U148" t="b">
        <f>[1]LISTADO_OTS!O148</f>
        <v>1</v>
      </c>
      <c r="V148" t="str">
        <f>[1]LISTADO_OTS!J148</f>
        <v>Zambrana</v>
      </c>
      <c r="W148">
        <f>[1]LISTADO_OTS!R148</f>
        <v>5</v>
      </c>
      <c r="X148">
        <f>[1]LISTADO_OTS!P148</f>
        <v>0</v>
      </c>
      <c r="Y148">
        <v>1</v>
      </c>
      <c r="Z148">
        <f>[1]LISTADO_OTS!S148</f>
        <v>1</v>
      </c>
    </row>
    <row r="149" spans="1:26" x14ac:dyDescent="0.4">
      <c r="A149">
        <v>148</v>
      </c>
      <c r="B149" t="str">
        <f>[1]LISTADO_OTS!E149</f>
        <v>TP/0051</v>
      </c>
      <c r="C149">
        <f>VLOOKUP([1]LISTADO_OTS!B149,[1]Redes!$C$1:$E$5,3,FALSE)</f>
        <v>3</v>
      </c>
      <c r="D149">
        <f>[1]LISTADO_OTS!C149</f>
        <v>2</v>
      </c>
      <c r="E149">
        <f>[1]LISTADO_OTS!D149</f>
        <v>8</v>
      </c>
      <c r="F149">
        <f>[1]LISTADO_OTS!Q149</f>
        <v>1</v>
      </c>
      <c r="G149">
        <f>[1]LISTADO_OTS!R149</f>
        <v>1</v>
      </c>
      <c r="H149" t="str">
        <f>[1]LISTADO_OTS!H149</f>
        <v>Retirada de contadores en Amurrio</v>
      </c>
      <c r="I149" t="str">
        <f>[1]LISTADO_OTS!I149</f>
        <v>Retirada de contadores de txonas, etc.</v>
      </c>
      <c r="J149" s="1">
        <f>[1]LISTADO_OTS!F149</f>
        <v>45887</v>
      </c>
      <c r="K149" s="1">
        <f>[1]LISTADO_OTS!G149</f>
        <v>45887</v>
      </c>
      <c r="L149">
        <f>[1]LISTADO_OTS!M149</f>
        <v>43.049916666666668</v>
      </c>
      <c r="M149">
        <f>[1]LISTADO_OTS!N149</f>
        <v>-3.0236388888888888</v>
      </c>
      <c r="U149" t="b">
        <f>[1]LISTADO_OTS!O149</f>
        <v>1</v>
      </c>
      <c r="V149" t="str">
        <f>[1]LISTADO_OTS!J149</f>
        <v>Amurrio</v>
      </c>
      <c r="W149">
        <f>[1]LISTADO_OTS!R149</f>
        <v>1</v>
      </c>
      <c r="X149">
        <f>[1]LISTADO_OTS!P149</f>
        <v>0</v>
      </c>
      <c r="Y149">
        <v>1</v>
      </c>
      <c r="Z149">
        <f>[1]LISTADO_OTS!S149</f>
        <v>0</v>
      </c>
    </row>
    <row r="150" spans="1:26" x14ac:dyDescent="0.4">
      <c r="A150">
        <v>149</v>
      </c>
      <c r="B150" t="str">
        <f>[1]LISTADO_OTS!E150</f>
        <v>OT/0189</v>
      </c>
      <c r="C150">
        <f>VLOOKUP([1]LISTADO_OTS!B150,[1]Redes!$C$1:$E$5,3,FALSE)</f>
        <v>3</v>
      </c>
      <c r="D150">
        <f>[1]LISTADO_OTS!C150</f>
        <v>1</v>
      </c>
      <c r="E150">
        <f>[1]LISTADO_OTS!D150</f>
        <v>0</v>
      </c>
      <c r="F150">
        <f>[1]LISTADO_OTS!Q150</f>
        <v>5</v>
      </c>
      <c r="G150">
        <f>[1]LISTADO_OTS!R150</f>
        <v>5</v>
      </c>
      <c r="H150" t="str">
        <f>[1]LISTADO_OTS!H150</f>
        <v>Fuga de agua en Zambrana</v>
      </c>
      <c r="I150" t="str">
        <f>[1]LISTADO_OTS!I150</f>
        <v>Fuga de agua en Zambrana</v>
      </c>
      <c r="J150" s="1">
        <f>[1]LISTADO_OTS!F150</f>
        <v>45888</v>
      </c>
      <c r="K150" s="1">
        <f>[1]LISTADO_OTS!G150</f>
        <v>45888</v>
      </c>
      <c r="L150">
        <f>[1]LISTADO_OTS!M150</f>
        <v>42.664055555555557</v>
      </c>
      <c r="M150">
        <f>[1]LISTADO_OTS!N150</f>
        <v>-2.9072499999999999</v>
      </c>
      <c r="U150" t="b">
        <f>[1]LISTADO_OTS!O150</f>
        <v>1</v>
      </c>
      <c r="V150" t="str">
        <f>[1]LISTADO_OTS!J150</f>
        <v>Zambrana</v>
      </c>
      <c r="W150">
        <f>[1]LISTADO_OTS!R150</f>
        <v>5</v>
      </c>
      <c r="X150">
        <f>[1]LISTADO_OTS!P150</f>
        <v>0</v>
      </c>
      <c r="Y150">
        <v>1</v>
      </c>
      <c r="Z150">
        <f>[1]LISTADO_OTS!S150</f>
        <v>1</v>
      </c>
    </row>
    <row r="151" spans="1:26" x14ac:dyDescent="0.4">
      <c r="A151">
        <v>150</v>
      </c>
      <c r="B151" t="str">
        <f>[1]LISTADO_OTS!E151</f>
        <v>OT/0190</v>
      </c>
      <c r="C151">
        <f>VLOOKUP([1]LISTADO_OTS!B151,[1]Redes!$C$1:$E$5,3,FALSE)</f>
        <v>3</v>
      </c>
      <c r="D151">
        <f>[1]LISTADO_OTS!C151</f>
        <v>1</v>
      </c>
      <c r="E151">
        <f>[1]LISTADO_OTS!D151</f>
        <v>0</v>
      </c>
      <c r="F151">
        <f>[1]LISTADO_OTS!Q151</f>
        <v>1</v>
      </c>
      <c r="G151">
        <f>[1]LISTADO_OTS!R151</f>
        <v>1</v>
      </c>
      <c r="H151" t="str">
        <f>[1]LISTADO_OTS!H151</f>
        <v>Fuga de agua en Lujatea (Erbi)</v>
      </c>
      <c r="I151" t="str">
        <f>[1]LISTADO_OTS!I151</f>
        <v>Fuga de agua en Lujatea</v>
      </c>
      <c r="J151" s="1">
        <f>[1]LISTADO_OTS!F151</f>
        <v>45888</v>
      </c>
      <c r="K151" s="1">
        <f>[1]LISTADO_OTS!G151</f>
        <v>45888</v>
      </c>
      <c r="L151">
        <f>[1]LISTADO_OTS!M151</f>
        <v>43.077500000000001</v>
      </c>
      <c r="M151">
        <f>[1]LISTADO_OTS!N151</f>
        <v>-3.1408611111111111</v>
      </c>
      <c r="U151" t="b">
        <f>[1]LISTADO_OTS!O151</f>
        <v>1</v>
      </c>
      <c r="V151" t="str">
        <f>[1]LISTADO_OTS!J151</f>
        <v>Lujatea-Erbi</v>
      </c>
      <c r="W151">
        <f>[1]LISTADO_OTS!R151</f>
        <v>1</v>
      </c>
      <c r="X151">
        <f>[1]LISTADO_OTS!P151</f>
        <v>0</v>
      </c>
      <c r="Y151">
        <v>1</v>
      </c>
      <c r="Z151">
        <f>[1]LISTADO_OTS!S151</f>
        <v>1</v>
      </c>
    </row>
    <row r="152" spans="1:26" x14ac:dyDescent="0.4">
      <c r="A152">
        <v>151</v>
      </c>
      <c r="B152" t="str">
        <f>[1]LISTADO_OTS!E152</f>
        <v>TP/0052</v>
      </c>
      <c r="C152">
        <f>VLOOKUP([1]LISTADO_OTS!B152,[1]Redes!$C$1:$E$5,3,FALSE)</f>
        <v>3</v>
      </c>
      <c r="D152">
        <f>[1]LISTADO_OTS!C152</f>
        <v>2</v>
      </c>
      <c r="E152">
        <f>[1]LISTADO_OTS!D152</f>
        <v>1</v>
      </c>
      <c r="F152">
        <f>[1]LISTADO_OTS!Q152</f>
        <v>5</v>
      </c>
      <c r="G152">
        <f>[1]LISTADO_OTS!R152</f>
        <v>5</v>
      </c>
      <c r="H152" t="str">
        <f>[1]LISTADO_OTS!H152</f>
        <v>Limpieza de red de saneamiento en Pinedo</v>
      </c>
      <c r="I152" t="str">
        <f>[1]LISTADO_OTS!I152</f>
        <v>Limpieza de red de saneamiento</v>
      </c>
      <c r="J152" s="1">
        <f>[1]LISTADO_OTS!F152</f>
        <v>45888</v>
      </c>
      <c r="K152" s="1">
        <f>[1]LISTADO_OTS!G152</f>
        <v>45888</v>
      </c>
      <c r="L152">
        <f>[1]LISTADO_OTS!M152</f>
        <v>42.875500000000002</v>
      </c>
      <c r="M152">
        <f>[1]LISTADO_OTS!N152</f>
        <v>-3.1744722222222221</v>
      </c>
      <c r="U152" t="b">
        <f>[1]LISTADO_OTS!O152</f>
        <v>1</v>
      </c>
      <c r="V152" t="str">
        <f>[1]LISTADO_OTS!J152</f>
        <v>Pinedo</v>
      </c>
      <c r="W152">
        <f>[1]LISTADO_OTS!R152</f>
        <v>5</v>
      </c>
      <c r="X152">
        <f>[1]LISTADO_OTS!P152</f>
        <v>0</v>
      </c>
      <c r="Y152">
        <v>1</v>
      </c>
      <c r="Z152">
        <f>[1]LISTADO_OTS!S152</f>
        <v>0</v>
      </c>
    </row>
    <row r="153" spans="1:26" x14ac:dyDescent="0.4">
      <c r="A153">
        <v>152</v>
      </c>
      <c r="B153" t="str">
        <f>[1]LISTADO_OTS!E153</f>
        <v>TP/0053</v>
      </c>
      <c r="C153">
        <f>VLOOKUP([1]LISTADO_OTS!B153,[1]Redes!$C$1:$E$5,3,FALSE)</f>
        <v>2</v>
      </c>
      <c r="D153">
        <f>[1]LISTADO_OTS!C153</f>
        <v>2</v>
      </c>
      <c r="E153">
        <f>[1]LISTADO_OTS!D153</f>
        <v>3</v>
      </c>
      <c r="F153">
        <f>[1]LISTADO_OTS!Q153</f>
        <v>4</v>
      </c>
      <c r="G153">
        <f>[1]LISTADO_OTS!R153</f>
        <v>4</v>
      </c>
      <c r="H153" t="str">
        <f>[1]LISTADO_OTS!H153</f>
        <v>Limpieza fosa séptica en Durana</v>
      </c>
      <c r="I153" t="str">
        <f>[1]LISTADO_OTS!I153</f>
        <v>Limpieza fosa séptica. Picar arquetas, preparar y colocar tapas de arquetas. Hormigonar. Recoger escombros.</v>
      </c>
      <c r="J153" s="1">
        <f>[1]LISTADO_OTS!F153</f>
        <v>45888</v>
      </c>
      <c r="K153" s="1">
        <f>[1]LISTADO_OTS!G153</f>
        <v>45888</v>
      </c>
      <c r="L153">
        <f>[1]LISTADO_OTS!M153</f>
        <v>42.890166666666666</v>
      </c>
      <c r="M153">
        <f>[1]LISTADO_OTS!N153</f>
        <v>-2.67475</v>
      </c>
      <c r="U153" t="b">
        <f>[1]LISTADO_OTS!O153</f>
        <v>1</v>
      </c>
      <c r="V153" t="str">
        <f>[1]LISTADO_OTS!J153</f>
        <v>Durana</v>
      </c>
      <c r="W153">
        <f>[1]LISTADO_OTS!R153</f>
        <v>4</v>
      </c>
      <c r="X153">
        <f>[1]LISTADO_OTS!P153</f>
        <v>0</v>
      </c>
      <c r="Y153">
        <v>1</v>
      </c>
      <c r="Z153">
        <f>[1]LISTADO_OTS!S153</f>
        <v>0</v>
      </c>
    </row>
    <row r="154" spans="1:26" x14ac:dyDescent="0.4">
      <c r="A154">
        <v>153</v>
      </c>
      <c r="B154" t="str">
        <f>[1]LISTADO_OTS!E154</f>
        <v>TP/0054</v>
      </c>
      <c r="C154">
        <f>VLOOKUP([1]LISTADO_OTS!B154,[1]Redes!$C$1:$E$5,3,FALSE)</f>
        <v>3</v>
      </c>
      <c r="D154">
        <f>[1]LISTADO_OTS!C154</f>
        <v>2</v>
      </c>
      <c r="E154">
        <f>[1]LISTADO_OTS!D154</f>
        <v>8</v>
      </c>
      <c r="F154">
        <f>[1]LISTADO_OTS!Q154</f>
        <v>1</v>
      </c>
      <c r="G154">
        <f>[1]LISTADO_OTS!R154</f>
        <v>1</v>
      </c>
      <c r="H154" t="str">
        <f>[1]LISTADO_OTS!H154</f>
        <v>Instalación de contador en Llodio</v>
      </c>
      <c r="I154" t="str">
        <f>[1]LISTADO_OTS!I154</f>
        <v>Instalación de contador en el rocódromo de Llodio</v>
      </c>
      <c r="J154" s="1">
        <f>[1]LISTADO_OTS!F154</f>
        <v>45888</v>
      </c>
      <c r="K154" s="1">
        <f>[1]LISTADO_OTS!G154</f>
        <v>45888</v>
      </c>
      <c r="L154">
        <f>[1]LISTADO_OTS!M154</f>
        <v>43.137138888888892</v>
      </c>
      <c r="M154">
        <f>[1]LISTADO_OTS!N154</f>
        <v>-2.9916944444444447</v>
      </c>
      <c r="U154" t="b">
        <f>[1]LISTADO_OTS!O154</f>
        <v>1</v>
      </c>
      <c r="V154" t="str">
        <f>[1]LISTADO_OTS!J154</f>
        <v>Llodio</v>
      </c>
      <c r="W154">
        <f>[1]LISTADO_OTS!R154</f>
        <v>1</v>
      </c>
      <c r="X154">
        <f>[1]LISTADO_OTS!P154</f>
        <v>0</v>
      </c>
      <c r="Y154">
        <v>1</v>
      </c>
      <c r="Z154">
        <f>[1]LISTADO_OTS!S154</f>
        <v>0</v>
      </c>
    </row>
    <row r="155" spans="1:26" x14ac:dyDescent="0.4">
      <c r="A155">
        <v>154</v>
      </c>
      <c r="B155" t="str">
        <f>[1]LISTADO_OTS!E155</f>
        <v>TP/0055</v>
      </c>
      <c r="C155">
        <f>VLOOKUP([1]LISTADO_OTS!B155,[1]Redes!$C$1:$E$5,3,FALSE)</f>
        <v>2</v>
      </c>
      <c r="D155">
        <f>[1]LISTADO_OTS!C155</f>
        <v>2</v>
      </c>
      <c r="E155">
        <f>[1]LISTADO_OTS!D155</f>
        <v>3</v>
      </c>
      <c r="F155">
        <f>[1]LISTADO_OTS!Q155</f>
        <v>1</v>
      </c>
      <c r="G155">
        <f>[1]LISTADO_OTS!R155</f>
        <v>1</v>
      </c>
      <c r="H155" t="str">
        <f>[1]LISTADO_OTS!H155</f>
        <v>Limpieza de la Fosa de Izoria</v>
      </c>
      <c r="I155" t="str">
        <f>[1]LISTADO_OTS!I155</f>
        <v>Mantenimiento de la Fosa de Izoria</v>
      </c>
      <c r="J155" s="1">
        <f>[1]LISTADO_OTS!F155</f>
        <v>45888</v>
      </c>
      <c r="K155" s="1">
        <f>[1]LISTADO_OTS!G155</f>
        <v>45888</v>
      </c>
      <c r="L155">
        <f>[1]LISTADO_OTS!M155</f>
        <v>43.06111111111111</v>
      </c>
      <c r="M155">
        <f>[1]LISTADO_OTS!N155</f>
        <v>-3.0753055555555555</v>
      </c>
      <c r="U155" t="b">
        <f>[1]LISTADO_OTS!O155</f>
        <v>1</v>
      </c>
      <c r="V155" t="str">
        <f>[1]LISTADO_OTS!J155</f>
        <v>Izoria</v>
      </c>
      <c r="W155">
        <f>[1]LISTADO_OTS!R155</f>
        <v>1</v>
      </c>
      <c r="X155">
        <f>[1]LISTADO_OTS!P155</f>
        <v>0</v>
      </c>
      <c r="Y155">
        <v>1</v>
      </c>
      <c r="Z155">
        <f>[1]LISTADO_OTS!S155</f>
        <v>0</v>
      </c>
    </row>
    <row r="156" spans="1:26" x14ac:dyDescent="0.4">
      <c r="A156">
        <v>155</v>
      </c>
      <c r="B156" t="str">
        <f>[1]LISTADO_OTS!E156</f>
        <v>TP/0056</v>
      </c>
      <c r="C156">
        <f>VLOOKUP([1]LISTADO_OTS!B156,[1]Redes!$C$1:$E$5,3,FALSE)</f>
        <v>2</v>
      </c>
      <c r="D156">
        <f>[1]LISTADO_OTS!C156</f>
        <v>2</v>
      </c>
      <c r="E156">
        <f>[1]LISTADO_OTS!D156</f>
        <v>3</v>
      </c>
      <c r="F156">
        <f>[1]LISTADO_OTS!Q156</f>
        <v>1</v>
      </c>
      <c r="G156">
        <f>[1]LISTADO_OTS!R156</f>
        <v>1</v>
      </c>
      <c r="H156" t="str">
        <f>[1]LISTADO_OTS!H156</f>
        <v>Limpieza de la fosa Artomaña</v>
      </c>
      <c r="I156" t="str">
        <f>[1]LISTADO_OTS!I156</f>
        <v>Limpieza de la fosa Artomaña</v>
      </c>
      <c r="J156" s="1">
        <f>[1]LISTADO_OTS!F156</f>
        <v>45888</v>
      </c>
      <c r="K156" s="1">
        <f>[1]LISTADO_OTS!G156</f>
        <v>45888</v>
      </c>
      <c r="L156">
        <f>[1]LISTADO_OTS!M156</f>
        <v>42.984194444444448</v>
      </c>
      <c r="M156">
        <f>[1]LISTADO_OTS!N156</f>
        <v>-3.0089166666666669</v>
      </c>
      <c r="U156" t="b">
        <f>[1]LISTADO_OTS!O156</f>
        <v>1</v>
      </c>
      <c r="V156" t="str">
        <f>[1]LISTADO_OTS!J156</f>
        <v>Artomaña-Amurrio</v>
      </c>
      <c r="W156">
        <f>[1]LISTADO_OTS!R156</f>
        <v>1</v>
      </c>
      <c r="X156">
        <f>[1]LISTADO_OTS!P156</f>
        <v>0</v>
      </c>
      <c r="Y156">
        <v>1</v>
      </c>
      <c r="Z156">
        <f>[1]LISTADO_OTS!S156</f>
        <v>0</v>
      </c>
    </row>
    <row r="157" spans="1:26" x14ac:dyDescent="0.4">
      <c r="A157">
        <v>156</v>
      </c>
      <c r="B157" t="str">
        <f>[1]LISTADO_OTS!E157</f>
        <v>OT/0191</v>
      </c>
      <c r="C157">
        <f>VLOOKUP([1]LISTADO_OTS!B157,[1]Redes!$C$1:$E$5,3,FALSE)</f>
        <v>3</v>
      </c>
      <c r="D157">
        <f>[1]LISTADO_OTS!C157</f>
        <v>1</v>
      </c>
      <c r="E157">
        <f>[1]LISTADO_OTS!D157</f>
        <v>0</v>
      </c>
      <c r="F157">
        <f>[1]LISTADO_OTS!Q157</f>
        <v>3</v>
      </c>
      <c r="G157">
        <f>[1]LISTADO_OTS!R157</f>
        <v>3</v>
      </c>
      <c r="H157" t="str">
        <f>[1]LISTADO_OTS!H157</f>
        <v>Fuga de agua en Opacua</v>
      </c>
      <c r="I157" t="str">
        <f>[1]LISTADO_OTS!I157</f>
        <v>Fugade agua en Opakua</v>
      </c>
      <c r="J157" s="1">
        <f>[1]LISTADO_OTS!F157</f>
        <v>45889</v>
      </c>
      <c r="K157" s="1">
        <f>[1]LISTADO_OTS!G157</f>
        <v>45889</v>
      </c>
      <c r="L157">
        <f>[1]LISTADO_OTS!M157</f>
        <v>42.82866666666667</v>
      </c>
      <c r="M157">
        <f>[1]LISTADO_OTS!N157</f>
        <v>-2.392527777777778</v>
      </c>
      <c r="U157" t="b">
        <f>[1]LISTADO_OTS!O157</f>
        <v>1</v>
      </c>
      <c r="V157" t="str">
        <f>[1]LISTADO_OTS!J157</f>
        <v>Opacua</v>
      </c>
      <c r="W157">
        <f>[1]LISTADO_OTS!R157</f>
        <v>3</v>
      </c>
      <c r="X157">
        <f>[1]LISTADO_OTS!P157</f>
        <v>0</v>
      </c>
      <c r="Y157">
        <v>1</v>
      </c>
      <c r="Z157">
        <f>[1]LISTADO_OTS!S157</f>
        <v>1</v>
      </c>
    </row>
    <row r="158" spans="1:26" x14ac:dyDescent="0.4">
      <c r="A158">
        <v>157</v>
      </c>
      <c r="B158" t="str">
        <f>[1]LISTADO_OTS!E158</f>
        <v>OT/0192</v>
      </c>
      <c r="C158">
        <f>VLOOKUP([1]LISTADO_OTS!B158,[1]Redes!$C$1:$E$5,3,FALSE)</f>
        <v>3</v>
      </c>
      <c r="D158">
        <f>[1]LISTADO_OTS!C158</f>
        <v>1</v>
      </c>
      <c r="E158">
        <f>[1]LISTADO_OTS!D158</f>
        <v>0</v>
      </c>
      <c r="F158">
        <f>[1]LISTADO_OTS!Q158</f>
        <v>5</v>
      </c>
      <c r="G158">
        <f>[1]LISTADO_OTS!R158</f>
        <v>5</v>
      </c>
      <c r="H158" t="str">
        <f>[1]LISTADO_OTS!H158</f>
        <v>Aviso de usuario por presión en Ribabellosa</v>
      </c>
      <c r="I158" t="str">
        <f>[1]LISTADO_OTS!I158</f>
        <v>Aviso de usuario por presión</v>
      </c>
      <c r="J158" s="1">
        <f>[1]LISTADO_OTS!F158</f>
        <v>45889</v>
      </c>
      <c r="K158" s="1">
        <f>[1]LISTADO_OTS!G158</f>
        <v>45889</v>
      </c>
      <c r="L158">
        <f>[1]LISTADO_OTS!M158</f>
        <v>42.708555555555556</v>
      </c>
      <c r="M158">
        <f>[1]LISTADO_OTS!N158</f>
        <v>-2.9594722222222223</v>
      </c>
      <c r="U158" t="b">
        <f>[1]LISTADO_OTS!O158</f>
        <v>1</v>
      </c>
      <c r="V158" t="str">
        <f>[1]LISTADO_OTS!J158</f>
        <v>Ribabellosa</v>
      </c>
      <c r="W158">
        <f>[1]LISTADO_OTS!R158</f>
        <v>5</v>
      </c>
      <c r="X158">
        <f>[1]LISTADO_OTS!P158</f>
        <v>0</v>
      </c>
      <c r="Y158">
        <v>1</v>
      </c>
      <c r="Z158">
        <f>[1]LISTADO_OTS!S158</f>
        <v>3</v>
      </c>
    </row>
    <row r="159" spans="1:26" x14ac:dyDescent="0.4">
      <c r="A159">
        <v>158</v>
      </c>
      <c r="B159" t="str">
        <f>[1]LISTADO_OTS!E159</f>
        <v>OT/0193</v>
      </c>
      <c r="C159">
        <f>VLOOKUP([1]LISTADO_OTS!B159,[1]Redes!$C$1:$E$5,3,FALSE)</f>
        <v>3</v>
      </c>
      <c r="D159">
        <f>[1]LISTADO_OTS!C159</f>
        <v>1</v>
      </c>
      <c r="E159">
        <f>[1]LISTADO_OTS!D159</f>
        <v>0</v>
      </c>
      <c r="F159">
        <f>[1]LISTADO_OTS!Q159</f>
        <v>1</v>
      </c>
      <c r="G159">
        <f>[1]LISTADO_OTS!R159</f>
        <v>1</v>
      </c>
      <c r="H159" t="str">
        <f>[1]LISTADO_OTS!H159</f>
        <v>Cambio de contador y reductora en mal estado en Amurrio</v>
      </c>
      <c r="I159" t="str">
        <f>[1]LISTADO_OTS!I159</f>
        <v>Cambio de contador y reductora en mal estado</v>
      </c>
      <c r="J159" s="1">
        <f>[1]LISTADO_OTS!F159</f>
        <v>45889</v>
      </c>
      <c r="K159" s="1">
        <f>[1]LISTADO_OTS!G159</f>
        <v>45889</v>
      </c>
      <c r="L159">
        <f>[1]LISTADO_OTS!M159</f>
        <v>43.053055555555552</v>
      </c>
      <c r="M159">
        <f>[1]LISTADO_OTS!N159</f>
        <v>-3.0430833333333331</v>
      </c>
      <c r="U159" t="b">
        <f>[1]LISTADO_OTS!O159</f>
        <v>1</v>
      </c>
      <c r="V159" t="str">
        <f>[1]LISTADO_OTS!J159</f>
        <v>Amurrio</v>
      </c>
      <c r="W159">
        <f>[1]LISTADO_OTS!R159</f>
        <v>1</v>
      </c>
      <c r="X159">
        <f>[1]LISTADO_OTS!P159</f>
        <v>0</v>
      </c>
      <c r="Y159">
        <v>1</v>
      </c>
      <c r="Z159">
        <f>[1]LISTADO_OTS!S159</f>
        <v>3</v>
      </c>
    </row>
    <row r="160" spans="1:26" x14ac:dyDescent="0.4">
      <c r="A160">
        <v>159</v>
      </c>
      <c r="B160" t="str">
        <f>[1]LISTADO_OTS!E160</f>
        <v>TP/0057</v>
      </c>
      <c r="C160">
        <f>VLOOKUP([1]LISTADO_OTS!B160,[1]Redes!$C$1:$E$5,3,FALSE)</f>
        <v>3</v>
      </c>
      <c r="D160">
        <f>[1]LISTADO_OTS!C160</f>
        <v>2</v>
      </c>
      <c r="E160">
        <f>[1]LISTADO_OTS!D160</f>
        <v>8</v>
      </c>
      <c r="F160">
        <f>[1]LISTADO_OTS!Q160</f>
        <v>1</v>
      </c>
      <c r="G160">
        <f>[1]LISTADO_OTS!R160</f>
        <v>1</v>
      </c>
      <c r="H160" t="str">
        <f>[1]LISTADO_OTS!H160</f>
        <v>Alta contador en Llodio</v>
      </c>
      <c r="I160" t="str">
        <f>[1]LISTADO_OTS!I160</f>
        <v>Alta contador</v>
      </c>
      <c r="J160" s="1">
        <f>[1]LISTADO_OTS!F160</f>
        <v>45889</v>
      </c>
      <c r="K160" s="1">
        <f>[1]LISTADO_OTS!G160</f>
        <v>45889</v>
      </c>
      <c r="L160">
        <f>[1]LISTADO_OTS!M160</f>
        <v>43.137194444444447</v>
      </c>
      <c r="M160">
        <f>[1]LISTADO_OTS!N160</f>
        <v>-2.9933611111111111</v>
      </c>
      <c r="U160" t="b">
        <f>[1]LISTADO_OTS!O160</f>
        <v>1</v>
      </c>
      <c r="V160" t="str">
        <f>[1]LISTADO_OTS!J160</f>
        <v>Llodio</v>
      </c>
      <c r="W160">
        <f>[1]LISTADO_OTS!R160</f>
        <v>1</v>
      </c>
      <c r="X160">
        <f>[1]LISTADO_OTS!P160</f>
        <v>0</v>
      </c>
      <c r="Y160">
        <v>1</v>
      </c>
      <c r="Z160">
        <f>[1]LISTADO_OTS!S160</f>
        <v>0</v>
      </c>
    </row>
    <row r="161" spans="1:26" x14ac:dyDescent="0.4">
      <c r="A161">
        <v>160</v>
      </c>
      <c r="B161" t="str">
        <f>[1]LISTADO_OTS!E161</f>
        <v>TP/0058</v>
      </c>
      <c r="C161">
        <f>VLOOKUP([1]LISTADO_OTS!B161,[1]Redes!$C$1:$E$5,3,FALSE)</f>
        <v>3</v>
      </c>
      <c r="D161">
        <f>[1]LISTADO_OTS!C161</f>
        <v>2</v>
      </c>
      <c r="E161">
        <f>[1]LISTADO_OTS!D161</f>
        <v>8</v>
      </c>
      <c r="F161">
        <f>[1]LISTADO_OTS!Q161</f>
        <v>1</v>
      </c>
      <c r="G161">
        <f>[1]LISTADO_OTS!R161</f>
        <v>1</v>
      </c>
      <c r="H161" t="str">
        <f>[1]LISTADO_OTS!H161</f>
        <v>Alta contador en Llodio</v>
      </c>
      <c r="I161" t="str">
        <f>[1]LISTADO_OTS!I161</f>
        <v>Alta contador</v>
      </c>
      <c r="J161" s="1">
        <f>[1]LISTADO_OTS!F161</f>
        <v>45889</v>
      </c>
      <c r="K161" s="1">
        <f>[1]LISTADO_OTS!G161</f>
        <v>45889</v>
      </c>
      <c r="L161">
        <f>[1]LISTADO_OTS!M161</f>
        <v>43.141888888888886</v>
      </c>
      <c r="M161">
        <f>[1]LISTADO_OTS!N161</f>
        <v>-2.993638888888889</v>
      </c>
      <c r="U161" t="b">
        <f>[1]LISTADO_OTS!O161</f>
        <v>1</v>
      </c>
      <c r="V161" t="str">
        <f>[1]LISTADO_OTS!J161</f>
        <v>Llodio</v>
      </c>
      <c r="W161">
        <f>[1]LISTADO_OTS!R161</f>
        <v>1</v>
      </c>
      <c r="X161">
        <f>[1]LISTADO_OTS!P161</f>
        <v>0</v>
      </c>
      <c r="Y161">
        <v>1</v>
      </c>
      <c r="Z161">
        <f>[1]LISTADO_OTS!S161</f>
        <v>0</v>
      </c>
    </row>
    <row r="162" spans="1:26" x14ac:dyDescent="0.4">
      <c r="A162">
        <v>161</v>
      </c>
      <c r="B162" t="str">
        <f>[1]LISTADO_OTS!E162</f>
        <v>TP/0059</v>
      </c>
      <c r="C162">
        <f>VLOOKUP([1]LISTADO_OTS!B162,[1]Redes!$C$1:$E$5,3,FALSE)</f>
        <v>2</v>
      </c>
      <c r="D162">
        <f>[1]LISTADO_OTS!C162</f>
        <v>2</v>
      </c>
      <c r="E162">
        <f>[1]LISTADO_OTS!D162</f>
        <v>3</v>
      </c>
      <c r="F162">
        <f>[1]LISTADO_OTS!Q162</f>
        <v>3</v>
      </c>
      <c r="G162">
        <f>[1]LISTADO_OTS!R162</f>
        <v>3</v>
      </c>
      <c r="H162" t="str">
        <f>[1]LISTADO_OTS!H162</f>
        <v>Mantenimiento fosa séptica Elburgo</v>
      </c>
      <c r="I162" t="str">
        <f>[1]LISTADO_OTS!I162</f>
        <v>Mantenimiento fosa séptica, desbrozar fosa séptica</v>
      </c>
      <c r="J162" s="1">
        <f>[1]LISTADO_OTS!F162</f>
        <v>45889</v>
      </c>
      <c r="K162" s="1">
        <f>[1]LISTADO_OTS!G162</f>
        <v>45889</v>
      </c>
      <c r="L162">
        <f>[1]LISTADO_OTS!M162</f>
        <v>42.84952777777778</v>
      </c>
      <c r="M162">
        <f>[1]LISTADO_OTS!N162</f>
        <v>-2.5772499999999998</v>
      </c>
      <c r="U162" t="b">
        <f>[1]LISTADO_OTS!O162</f>
        <v>1</v>
      </c>
      <c r="V162" t="str">
        <f>[1]LISTADO_OTS!J162</f>
        <v>Elburgo</v>
      </c>
      <c r="W162">
        <f>[1]LISTADO_OTS!R162</f>
        <v>3</v>
      </c>
      <c r="X162">
        <f>[1]LISTADO_OTS!P162</f>
        <v>0</v>
      </c>
      <c r="Y162">
        <v>1</v>
      </c>
      <c r="Z162">
        <f>[1]LISTADO_OTS!S162</f>
        <v>0</v>
      </c>
    </row>
    <row r="163" spans="1:26" x14ac:dyDescent="0.4">
      <c r="A163">
        <v>162</v>
      </c>
      <c r="B163" t="str">
        <f>[1]LISTADO_OTS!E163</f>
        <v>TP/0060</v>
      </c>
      <c r="C163">
        <f>VLOOKUP([1]LISTADO_OTS!B163,[1]Redes!$C$1:$E$5,3,FALSE)</f>
        <v>2</v>
      </c>
      <c r="D163">
        <f>[1]LISTADO_OTS!C163</f>
        <v>2</v>
      </c>
      <c r="E163">
        <f>[1]LISTADO_OTS!D163</f>
        <v>3</v>
      </c>
      <c r="F163">
        <f>[1]LISTADO_OTS!Q163</f>
        <v>5</v>
      </c>
      <c r="G163">
        <f>[1]LISTADO_OTS!R163</f>
        <v>5</v>
      </c>
      <c r="H163" t="str">
        <f>[1]LISTADO_OTS!H163</f>
        <v>Mantenimiento fosa séptica Lahoz</v>
      </c>
      <c r="I163" t="str">
        <f>[1]LISTADO_OTS!I163</f>
        <v>Mantenimiento fosa séptica, desbrozar fosa séptica</v>
      </c>
      <c r="J163" s="1">
        <f>[1]LISTADO_OTS!F163</f>
        <v>45889</v>
      </c>
      <c r="K163" s="1">
        <f>[1]LISTADO_OTS!G163</f>
        <v>45889</v>
      </c>
      <c r="L163">
        <f>[1]LISTADO_OTS!M163</f>
        <v>42.884472222222222</v>
      </c>
      <c r="M163">
        <f>[1]LISTADO_OTS!N163</f>
        <v>-3.2775277777777778</v>
      </c>
      <c r="U163" t="b">
        <f>[1]LISTADO_OTS!O163</f>
        <v>1</v>
      </c>
      <c r="V163" t="str">
        <f>[1]LISTADO_OTS!J163</f>
        <v>Lahoz</v>
      </c>
      <c r="W163">
        <f>[1]LISTADO_OTS!R163</f>
        <v>5</v>
      </c>
      <c r="X163">
        <f>[1]LISTADO_OTS!P163</f>
        <v>0</v>
      </c>
      <c r="Y163">
        <v>1</v>
      </c>
      <c r="Z163">
        <f>[1]LISTADO_OTS!S163</f>
        <v>0</v>
      </c>
    </row>
    <row r="164" spans="1:26" x14ac:dyDescent="0.4">
      <c r="A164">
        <v>163</v>
      </c>
      <c r="B164" t="str">
        <f>[1]LISTADO_OTS!E164</f>
        <v>TP/0061</v>
      </c>
      <c r="C164">
        <f>VLOOKUP([1]LISTADO_OTS!B164,[1]Redes!$C$1:$E$5,3,FALSE)</f>
        <v>2</v>
      </c>
      <c r="D164">
        <f>[1]LISTADO_OTS!C164</f>
        <v>2</v>
      </c>
      <c r="E164">
        <f>[1]LISTADO_OTS!D164</f>
        <v>3</v>
      </c>
      <c r="F164">
        <f>[1]LISTADO_OTS!Q164</f>
        <v>1</v>
      </c>
      <c r="G164">
        <f>[1]LISTADO_OTS!R164</f>
        <v>1</v>
      </c>
      <c r="H164" t="str">
        <f>[1]LISTADO_OTS!H164</f>
        <v>Mantenimiento fosa séptica en Delika</v>
      </c>
      <c r="I164" t="str">
        <f>[1]LISTADO_OTS!I164</f>
        <v>Mantenimiento fosa séptica</v>
      </c>
      <c r="J164" s="1">
        <f>[1]LISTADO_OTS!F164</f>
        <v>45889</v>
      </c>
      <c r="K164" s="1">
        <f>[1]LISTADO_OTS!G164</f>
        <v>45889</v>
      </c>
      <c r="L164">
        <f>[1]LISTADO_OTS!M164</f>
        <v>42.969972222222225</v>
      </c>
      <c r="M164">
        <f>[1]LISTADO_OTS!N164</f>
        <v>-3.0278055555555556</v>
      </c>
      <c r="U164" t="b">
        <f>[1]LISTADO_OTS!O164</f>
        <v>1</v>
      </c>
      <c r="V164" t="str">
        <f>[1]LISTADO_OTS!J164</f>
        <v>Delika</v>
      </c>
      <c r="W164">
        <f>[1]LISTADO_OTS!R164</f>
        <v>1</v>
      </c>
      <c r="X164">
        <f>[1]LISTADO_OTS!P164</f>
        <v>0</v>
      </c>
      <c r="Y164">
        <v>1</v>
      </c>
      <c r="Z164">
        <f>[1]LISTADO_OTS!S164</f>
        <v>0</v>
      </c>
    </row>
    <row r="165" spans="1:26" x14ac:dyDescent="0.4">
      <c r="A165">
        <v>164</v>
      </c>
      <c r="B165" t="str">
        <f>[1]LISTADO_OTS!E165</f>
        <v>OT/0194</v>
      </c>
      <c r="C165">
        <f>VLOOKUP([1]LISTADO_OTS!B165,[1]Redes!$C$1:$E$5,3,FALSE)</f>
        <v>3</v>
      </c>
      <c r="D165">
        <f>[1]LISTADO_OTS!C165</f>
        <v>1</v>
      </c>
      <c r="E165">
        <f>[1]LISTADO_OTS!D165</f>
        <v>0</v>
      </c>
      <c r="F165">
        <f>[1]LISTADO_OTS!Q165</f>
        <v>5</v>
      </c>
      <c r="G165">
        <f>[1]LISTADO_OTS!R165</f>
        <v>5</v>
      </c>
      <c r="H165" t="str">
        <f>[1]LISTADO_OTS!H165</f>
        <v>Reparación de fuga en Jokano</v>
      </c>
      <c r="I165" t="str">
        <f>[1]LISTADO_OTS!I165</f>
        <v>Reparación de fuga</v>
      </c>
      <c r="J165" s="1">
        <f>[1]LISTADO_OTS!F165</f>
        <v>45889</v>
      </c>
      <c r="K165" s="1">
        <f>[1]LISTADO_OTS!G165</f>
        <v>45889</v>
      </c>
      <c r="L165">
        <f>[1]LISTADO_OTS!M165</f>
        <v>42.87188888888889</v>
      </c>
      <c r="M165">
        <f>[1]LISTADO_OTS!N165</f>
        <v>-2.9614166666666666</v>
      </c>
      <c r="U165" t="b">
        <f>[1]LISTADO_OTS!O165</f>
        <v>1</v>
      </c>
      <c r="V165" t="str">
        <f>[1]LISTADO_OTS!J165</f>
        <v>Jokano</v>
      </c>
      <c r="W165">
        <f>[1]LISTADO_OTS!R165</f>
        <v>5</v>
      </c>
      <c r="X165">
        <f>[1]LISTADO_OTS!P165</f>
        <v>0</v>
      </c>
      <c r="Y165">
        <v>1</v>
      </c>
      <c r="Z165">
        <f>[1]LISTADO_OTS!S165</f>
        <v>1</v>
      </c>
    </row>
    <row r="166" spans="1:26" x14ac:dyDescent="0.4">
      <c r="A166">
        <v>165</v>
      </c>
      <c r="B166" t="str">
        <f>[1]LISTADO_OTS!E166</f>
        <v>OT/0195</v>
      </c>
      <c r="C166">
        <f>VLOOKUP([1]LISTADO_OTS!B166,[1]Redes!$C$1:$E$5,3,FALSE)</f>
        <v>3</v>
      </c>
      <c r="D166">
        <f>[1]LISTADO_OTS!C166</f>
        <v>1</v>
      </c>
      <c r="E166">
        <f>[1]LISTADO_OTS!D166</f>
        <v>0</v>
      </c>
      <c r="F166">
        <f>[1]LISTADO_OTS!Q166</f>
        <v>6</v>
      </c>
      <c r="G166">
        <f>[1]LISTADO_OTS!R166</f>
        <v>6</v>
      </c>
      <c r="H166" t="str">
        <f>[1]LISTADO_OTS!H166</f>
        <v>Reparación de fuga del contador en Maeztu</v>
      </c>
      <c r="I166" t="str">
        <f>[1]LISTADO_OTS!I166</f>
        <v>Reparación de fuga</v>
      </c>
      <c r="J166" s="1">
        <f>[1]LISTADO_OTS!F166</f>
        <v>45890</v>
      </c>
      <c r="K166" s="1">
        <f>[1]LISTADO_OTS!G166</f>
        <v>45890</v>
      </c>
      <c r="L166">
        <f>[1]LISTADO_OTS!M166</f>
        <v>42.739111111111114</v>
      </c>
      <c r="M166">
        <f>[1]LISTADO_OTS!N166</f>
        <v>-2.4783611111111115</v>
      </c>
      <c r="U166" t="b">
        <f>[1]LISTADO_OTS!O166</f>
        <v>1</v>
      </c>
      <c r="V166" t="str">
        <f>[1]LISTADO_OTS!J166</f>
        <v>Maeztu</v>
      </c>
      <c r="W166">
        <f>[1]LISTADO_OTS!R166</f>
        <v>6</v>
      </c>
      <c r="X166">
        <f>[1]LISTADO_OTS!P166</f>
        <v>0</v>
      </c>
      <c r="Y166">
        <v>1</v>
      </c>
      <c r="Z166">
        <f>[1]LISTADO_OTS!S166</f>
        <v>1</v>
      </c>
    </row>
    <row r="167" spans="1:26" x14ac:dyDescent="0.4">
      <c r="A167">
        <v>166</v>
      </c>
      <c r="B167" t="str">
        <f>[1]LISTADO_OTS!E167</f>
        <v>OT/0196</v>
      </c>
      <c r="C167">
        <f>VLOOKUP([1]LISTADO_OTS!B167,[1]Redes!$C$1:$E$5,3,FALSE)</f>
        <v>3</v>
      </c>
      <c r="D167">
        <f>[1]LISTADO_OTS!C167</f>
        <v>1</v>
      </c>
      <c r="E167">
        <f>[1]LISTADO_OTS!D167</f>
        <v>0</v>
      </c>
      <c r="F167">
        <f>[1]LISTADO_OTS!Q167</f>
        <v>5</v>
      </c>
      <c r="G167">
        <f>[1]LISTADO_OTS!R167</f>
        <v>5</v>
      </c>
      <c r="H167" t="str">
        <f>[1]LISTADO_OTS!H167</f>
        <v>Aviso de falta de agua en Salinas de Añana</v>
      </c>
      <c r="I167" t="str">
        <f>[1]LISTADO_OTS!I167</f>
        <v>Reductora en mal estado.</v>
      </c>
      <c r="J167" s="1">
        <f>[1]LISTADO_OTS!F167</f>
        <v>45890</v>
      </c>
      <c r="K167" s="1">
        <f>[1]LISTADO_OTS!G167</f>
        <v>45890</v>
      </c>
      <c r="L167">
        <f>[1]LISTADO_OTS!M167</f>
        <v>42.80255555555555</v>
      </c>
      <c r="M167">
        <f>[1]LISTADO_OTS!N167</f>
        <v>-3.0286388888888891</v>
      </c>
      <c r="U167" t="b">
        <f>[1]LISTADO_OTS!O167</f>
        <v>1</v>
      </c>
      <c r="V167" t="str">
        <f>[1]LISTADO_OTS!J167</f>
        <v>Salinas de Añana-AÑANA</v>
      </c>
      <c r="W167">
        <f>[1]LISTADO_OTS!R167</f>
        <v>5</v>
      </c>
      <c r="X167">
        <f>[1]LISTADO_OTS!P167</f>
        <v>0</v>
      </c>
      <c r="Y167">
        <v>1</v>
      </c>
      <c r="Z167">
        <f>[1]LISTADO_OTS!S167</f>
        <v>3</v>
      </c>
    </row>
    <row r="168" spans="1:26" x14ac:dyDescent="0.4">
      <c r="A168">
        <v>167</v>
      </c>
      <c r="B168" t="str">
        <f>[1]LISTADO_OTS!E168</f>
        <v>TP/0062</v>
      </c>
      <c r="C168">
        <f>VLOOKUP([1]LISTADO_OTS!B168,[1]Redes!$C$1:$E$5,3,FALSE)</f>
        <v>2</v>
      </c>
      <c r="D168">
        <f>[1]LISTADO_OTS!C168</f>
        <v>2</v>
      </c>
      <c r="E168">
        <f>[1]LISTADO_OTS!D168</f>
        <v>3</v>
      </c>
      <c r="F168">
        <f>[1]LISTADO_OTS!Q168</f>
        <v>5</v>
      </c>
      <c r="G168">
        <f>[1]LISTADO_OTS!R168</f>
        <v>5</v>
      </c>
      <c r="H168" t="str">
        <f>[1]LISTADO_OTS!H168</f>
        <v>Mantenimiento fosa séptica de San Miguel</v>
      </c>
      <c r="I168" t="str">
        <f>[1]LISTADO_OTS!I168</f>
        <v>Limpieza de la fosa de San Miguel con camión succionador y descarga en la depuradora.</v>
      </c>
      <c r="J168" s="1">
        <f>[1]LISTADO_OTS!F168</f>
        <v>45890</v>
      </c>
      <c r="K168" s="1">
        <f>[1]LISTADO_OTS!G168</f>
        <v>45890</v>
      </c>
      <c r="L168">
        <f>[1]LISTADO_OTS!M168</f>
        <v>42.756972222222224</v>
      </c>
      <c r="M168">
        <f>[1]LISTADO_OTS!N168</f>
        <v>-2.96225</v>
      </c>
      <c r="U168" t="b">
        <f>[1]LISTADO_OTS!O168</f>
        <v>1</v>
      </c>
      <c r="V168" t="str">
        <f>[1]LISTADO_OTS!J168</f>
        <v>San Miguel</v>
      </c>
      <c r="W168">
        <f>[1]LISTADO_OTS!R168</f>
        <v>5</v>
      </c>
      <c r="X168">
        <f>[1]LISTADO_OTS!P168</f>
        <v>0</v>
      </c>
      <c r="Y168">
        <v>1</v>
      </c>
      <c r="Z168">
        <f>[1]LISTADO_OTS!S168</f>
        <v>0</v>
      </c>
    </row>
    <row r="169" spans="1:26" x14ac:dyDescent="0.4">
      <c r="A169">
        <v>168</v>
      </c>
      <c r="B169" t="str">
        <f>[1]LISTADO_OTS!E169</f>
        <v>TP/0063</v>
      </c>
      <c r="C169">
        <f>VLOOKUP([1]LISTADO_OTS!B169,[1]Redes!$C$1:$E$5,3,FALSE)</f>
        <v>2</v>
      </c>
      <c r="D169">
        <f>[1]LISTADO_OTS!C169</f>
        <v>2</v>
      </c>
      <c r="E169">
        <f>[1]LISTADO_OTS!D169</f>
        <v>3</v>
      </c>
      <c r="F169">
        <f>[1]LISTADO_OTS!Q169</f>
        <v>1</v>
      </c>
      <c r="G169">
        <f>[1]LISTADO_OTS!R169</f>
        <v>1</v>
      </c>
      <c r="H169" t="str">
        <f>[1]LISTADO_OTS!H169</f>
        <v>Mantenimiento fosa séptica en Artzeniaga</v>
      </c>
      <c r="I169" t="str">
        <f>[1]LISTADO_OTS!I169</f>
        <v>Limpieza de la fosa de Artziniega</v>
      </c>
      <c r="J169" s="1">
        <f>[1]LISTADO_OTS!F169</f>
        <v>45890</v>
      </c>
      <c r="K169" s="1">
        <f>[1]LISTADO_OTS!G169</f>
        <v>45890</v>
      </c>
      <c r="L169">
        <f>[1]LISTADO_OTS!M169</f>
        <v>43.122750000000003</v>
      </c>
      <c r="M169">
        <f>[1]LISTADO_OTS!N169</f>
        <v>-3.1625277777777776</v>
      </c>
      <c r="U169" t="b">
        <f>[1]LISTADO_OTS!O169</f>
        <v>1</v>
      </c>
      <c r="V169" t="str">
        <f>[1]LISTADO_OTS!J169</f>
        <v>Artziniega</v>
      </c>
      <c r="W169">
        <f>[1]LISTADO_OTS!R169</f>
        <v>1</v>
      </c>
      <c r="X169">
        <f>[1]LISTADO_OTS!P169</f>
        <v>0</v>
      </c>
      <c r="Y169">
        <v>1</v>
      </c>
      <c r="Z169">
        <f>[1]LISTADO_OTS!S169</f>
        <v>0</v>
      </c>
    </row>
    <row r="170" spans="1:26" x14ac:dyDescent="0.4">
      <c r="A170">
        <v>169</v>
      </c>
      <c r="B170" t="str">
        <f>[1]LISTADO_OTS!E170</f>
        <v>OT/0197</v>
      </c>
      <c r="C170">
        <f>VLOOKUP([1]LISTADO_OTS!B170,[1]Redes!$C$1:$E$5,3,FALSE)</f>
        <v>3</v>
      </c>
      <c r="D170">
        <f>[1]LISTADO_OTS!C170</f>
        <v>1</v>
      </c>
      <c r="E170">
        <f>[1]LISTADO_OTS!D170</f>
        <v>0</v>
      </c>
      <c r="F170">
        <f>[1]LISTADO_OTS!Q170</f>
        <v>1</v>
      </c>
      <c r="G170">
        <f>[1]LISTADO_OTS!R170</f>
        <v>1</v>
      </c>
      <c r="H170" t="str">
        <f>[1]LISTADO_OTS!H170</f>
        <v>Recoger escombro en Amurrio</v>
      </c>
      <c r="I170" t="str">
        <f>[1]LISTADO_OTS!I170</f>
        <v>Recoger escombro</v>
      </c>
      <c r="J170" s="1">
        <f>[1]LISTADO_OTS!F170</f>
        <v>45890</v>
      </c>
      <c r="K170" s="1">
        <f>[1]LISTADO_OTS!G170</f>
        <v>45890</v>
      </c>
      <c r="L170">
        <f>[1]LISTADO_OTS!M170</f>
        <v>43.14147222222222</v>
      </c>
      <c r="M170">
        <f>[1]LISTADO_OTS!N170</f>
        <v>-2.9961388888888889</v>
      </c>
      <c r="U170" t="b">
        <f>[1]LISTADO_OTS!O170</f>
        <v>1</v>
      </c>
      <c r="V170" t="str">
        <f>[1]LISTADO_OTS!J170</f>
        <v>Amurrio</v>
      </c>
      <c r="W170">
        <f>[1]LISTADO_OTS!R170</f>
        <v>1</v>
      </c>
      <c r="X170">
        <f>[1]LISTADO_OTS!P170</f>
        <v>0</v>
      </c>
      <c r="Y170">
        <v>1</v>
      </c>
      <c r="Z170">
        <f>[1]LISTADO_OTS!S170</f>
        <v>3</v>
      </c>
    </row>
    <row r="171" spans="1:26" x14ac:dyDescent="0.4">
      <c r="A171">
        <v>170</v>
      </c>
      <c r="B171" t="str">
        <f>[1]LISTADO_OTS!E171</f>
        <v>OT/0198</v>
      </c>
      <c r="C171">
        <f>VLOOKUP([1]LISTADO_OTS!B171,[1]Redes!$C$1:$E$5,3,FALSE)</f>
        <v>3</v>
      </c>
      <c r="D171">
        <f>[1]LISTADO_OTS!C171</f>
        <v>1</v>
      </c>
      <c r="E171">
        <f>[1]LISTADO_OTS!D171</f>
        <v>0</v>
      </c>
      <c r="F171">
        <f>[1]LISTADO_OTS!Q171</f>
        <v>1</v>
      </c>
      <c r="G171">
        <f>[1]LISTADO_OTS!R171</f>
        <v>1</v>
      </c>
      <c r="H171" t="str">
        <f>[1]LISTADO_OTS!H171</f>
        <v>Tapado de catas en Menagarai</v>
      </c>
      <c r="I171" t="str">
        <f>[1]LISTADO_OTS!I171</f>
        <v>Tapado de catas</v>
      </c>
      <c r="J171" s="1">
        <f>[1]LISTADO_OTS!F171</f>
        <v>45890</v>
      </c>
      <c r="K171" s="1">
        <f>[1]LISTADO_OTS!G171</f>
        <v>45890</v>
      </c>
      <c r="L171">
        <f>[1]LISTADO_OTS!M171</f>
        <v>43.096444444444444</v>
      </c>
      <c r="M171">
        <f>[1]LISTADO_OTS!N171</f>
        <v>-3.1130833333333334</v>
      </c>
      <c r="U171" t="b">
        <f>[1]LISTADO_OTS!O171</f>
        <v>1</v>
      </c>
      <c r="V171" t="str">
        <f>[1]LISTADO_OTS!J171</f>
        <v>Menagaray</v>
      </c>
      <c r="W171">
        <f>[1]LISTADO_OTS!R171</f>
        <v>1</v>
      </c>
      <c r="X171">
        <f>[1]LISTADO_OTS!P171</f>
        <v>0</v>
      </c>
      <c r="Y171">
        <v>1</v>
      </c>
      <c r="Z171">
        <f>[1]LISTADO_OTS!S171</f>
        <v>3</v>
      </c>
    </row>
    <row r="172" spans="1:26" x14ac:dyDescent="0.4">
      <c r="A172">
        <v>171</v>
      </c>
      <c r="B172" t="str">
        <f>[1]LISTADO_OTS!E172</f>
        <v>OT/0199</v>
      </c>
      <c r="C172">
        <f>VLOOKUP([1]LISTADO_OTS!B172,[1]Redes!$C$1:$E$5,3,FALSE)</f>
        <v>3</v>
      </c>
      <c r="D172">
        <f>[1]LISTADO_OTS!C172</f>
        <v>1</v>
      </c>
      <c r="E172">
        <f>[1]LISTADO_OTS!D172</f>
        <v>0</v>
      </c>
      <c r="F172">
        <f>[1]LISTADO_OTS!Q172</f>
        <v>3</v>
      </c>
      <c r="G172">
        <f>[1]LISTADO_OTS!R172</f>
        <v>3</v>
      </c>
      <c r="H172" t="str">
        <f>[1]LISTADO_OTS!H172</f>
        <v>Reparación de fuga en la EDAR Agurain/Salvatierra</v>
      </c>
      <c r="I172" t="str">
        <f>[1]LISTADO_OTS!I172</f>
        <v>Reparación de fuga en la EDAR Agurain</v>
      </c>
      <c r="J172" s="1">
        <f>[1]LISTADO_OTS!F172</f>
        <v>45890</v>
      </c>
      <c r="K172" s="1">
        <f>[1]LISTADO_OTS!G172</f>
        <v>45891</v>
      </c>
      <c r="L172">
        <f>[1]LISTADO_OTS!M172</f>
        <v>42.856027777777783</v>
      </c>
      <c r="M172">
        <f>[1]LISTADO_OTS!N172</f>
        <v>-2.4466944444444443</v>
      </c>
      <c r="U172" t="b">
        <f>[1]LISTADO_OTS!O172</f>
        <v>1</v>
      </c>
      <c r="V172" t="str">
        <f>[1]LISTADO_OTS!J172</f>
        <v>Agurain</v>
      </c>
      <c r="W172">
        <f>[1]LISTADO_OTS!R172</f>
        <v>3</v>
      </c>
      <c r="X172">
        <f>[1]LISTADO_OTS!P172</f>
        <v>0</v>
      </c>
      <c r="Y172">
        <v>1</v>
      </c>
      <c r="Z172">
        <f>[1]LISTADO_OTS!S172</f>
        <v>1</v>
      </c>
    </row>
    <row r="173" spans="1:26" x14ac:dyDescent="0.4">
      <c r="A173">
        <v>172</v>
      </c>
      <c r="B173" t="str">
        <f>[1]LISTADO_OTS!E173</f>
        <v>OT/0200</v>
      </c>
      <c r="C173">
        <f>VLOOKUP([1]LISTADO_OTS!B173,[1]Redes!$C$1:$E$5,3,FALSE)</f>
        <v>3</v>
      </c>
      <c r="D173">
        <f>[1]LISTADO_OTS!C173</f>
        <v>1</v>
      </c>
      <c r="E173">
        <f>[1]LISTADO_OTS!D173</f>
        <v>0</v>
      </c>
      <c r="F173">
        <f>[1]LISTADO_OTS!Q173</f>
        <v>5</v>
      </c>
      <c r="G173">
        <f>[1]LISTADO_OTS!R173</f>
        <v>5</v>
      </c>
      <c r="H173" t="str">
        <f>[1]LISTADO_OTS!H173</f>
        <v>Aviso de fuga de agua en Puentelarrá</v>
      </c>
      <c r="I173" t="str">
        <f>[1]LISTADO_OTS!I173</f>
        <v>Aviso de fuga de agua en Puentelarrá por filtro roto</v>
      </c>
      <c r="J173" s="1">
        <f>[1]LISTADO_OTS!F173</f>
        <v>45891</v>
      </c>
      <c r="K173" s="1">
        <f>[1]LISTADO_OTS!G173</f>
        <v>45891</v>
      </c>
      <c r="L173">
        <f>[1]LISTADO_OTS!M173</f>
        <v>42.75138888888889</v>
      </c>
      <c r="M173">
        <f>[1]LISTADO_OTS!N173</f>
        <v>-3.0803055555555554</v>
      </c>
      <c r="U173" t="b">
        <f>[1]LISTADO_OTS!O173</f>
        <v>1</v>
      </c>
      <c r="V173" t="str">
        <f>[1]LISTADO_OTS!J173</f>
        <v>Puentelarra</v>
      </c>
      <c r="W173">
        <f>[1]LISTADO_OTS!R173</f>
        <v>5</v>
      </c>
      <c r="X173">
        <f>[1]LISTADO_OTS!P173</f>
        <v>0</v>
      </c>
      <c r="Y173">
        <v>1</v>
      </c>
      <c r="Z173">
        <f>[1]LISTADO_OTS!S173</f>
        <v>1</v>
      </c>
    </row>
    <row r="174" spans="1:26" x14ac:dyDescent="0.4">
      <c r="A174">
        <v>173</v>
      </c>
      <c r="B174" t="str">
        <f>[1]LISTADO_OTS!E174</f>
        <v>TP/0064</v>
      </c>
      <c r="C174">
        <f>VLOOKUP([1]LISTADO_OTS!B174,[1]Redes!$C$1:$E$5,3,FALSE)</f>
        <v>3</v>
      </c>
      <c r="D174">
        <f>[1]LISTADO_OTS!C174</f>
        <v>2</v>
      </c>
      <c r="E174">
        <f>[1]LISTADO_OTS!D174</f>
        <v>8</v>
      </c>
      <c r="F174">
        <f>[1]LISTADO_OTS!Q174</f>
        <v>5</v>
      </c>
      <c r="G174">
        <f>[1]LISTADO_OTS!R174</f>
        <v>5</v>
      </c>
      <c r="H174" t="str">
        <f>[1]LISTADO_OTS!H174</f>
        <v>Alta contador en Antezana de la Ribera</v>
      </c>
      <c r="I174" t="str">
        <f>[1]LISTADO_OTS!I174</f>
        <v>Alta contador</v>
      </c>
      <c r="J174" s="1">
        <f>[1]LISTADO_OTS!F174</f>
        <v>45891</v>
      </c>
      <c r="K174" s="1">
        <f>[1]LISTADO_OTS!G174</f>
        <v>45891</v>
      </c>
      <c r="L174">
        <f>[1]LISTADO_OTS!M174</f>
        <v>42.771277777777776</v>
      </c>
      <c r="M174">
        <f>[1]LISTADO_OTS!N174</f>
        <v>-2.9139166666666667</v>
      </c>
      <c r="U174" t="b">
        <f>[1]LISTADO_OTS!O174</f>
        <v>1</v>
      </c>
      <c r="V174" t="str">
        <f>[1]LISTADO_OTS!J174</f>
        <v>Antezana de la Ribera</v>
      </c>
      <c r="W174">
        <f>[1]LISTADO_OTS!R174</f>
        <v>5</v>
      </c>
      <c r="X174">
        <f>[1]LISTADO_OTS!P174</f>
        <v>0</v>
      </c>
      <c r="Y174">
        <v>1</v>
      </c>
      <c r="Z174">
        <f>[1]LISTADO_OTS!S174</f>
        <v>0</v>
      </c>
    </row>
    <row r="175" spans="1:26" x14ac:dyDescent="0.4">
      <c r="A175">
        <v>174</v>
      </c>
      <c r="B175" t="str">
        <f>[1]LISTADO_OTS!E175</f>
        <v>TP/0065</v>
      </c>
      <c r="C175">
        <f>VLOOKUP([1]LISTADO_OTS!B175,[1]Redes!$C$1:$E$5,3,FALSE)</f>
        <v>3</v>
      </c>
      <c r="D175">
        <f>[1]LISTADO_OTS!C175</f>
        <v>2</v>
      </c>
      <c r="E175">
        <f>[1]LISTADO_OTS!D175</f>
        <v>8</v>
      </c>
      <c r="F175">
        <f>[1]LISTADO_OTS!Q175</f>
        <v>5</v>
      </c>
      <c r="G175">
        <f>[1]LISTADO_OTS!R175</f>
        <v>5</v>
      </c>
      <c r="H175" t="str">
        <f>[1]LISTADO_OTS!H175</f>
        <v>Alta contador en Anuntzeta</v>
      </c>
      <c r="I175" t="str">
        <f>[1]LISTADO_OTS!I175</f>
        <v>Alta contador</v>
      </c>
      <c r="J175" s="1">
        <f>[1]LISTADO_OTS!F175</f>
        <v>45891</v>
      </c>
      <c r="K175" s="1">
        <f>[1]LISTADO_OTS!G175</f>
        <v>45891</v>
      </c>
      <c r="L175">
        <f>[1]LISTADO_OTS!M175</f>
        <v>42.801222222222222</v>
      </c>
      <c r="M175">
        <f>[1]LISTADO_OTS!N175</f>
        <v>-2.9308611111111111</v>
      </c>
      <c r="U175" t="b">
        <f>[1]LISTADO_OTS!O175</f>
        <v>1</v>
      </c>
      <c r="V175" t="str">
        <f>[1]LISTADO_OTS!J175</f>
        <v>Anuntzeta</v>
      </c>
      <c r="W175">
        <f>[1]LISTADO_OTS!R175</f>
        <v>5</v>
      </c>
      <c r="X175">
        <f>[1]LISTADO_OTS!P175</f>
        <v>0</v>
      </c>
      <c r="Y175">
        <v>1</v>
      </c>
      <c r="Z175">
        <f>[1]LISTADO_OTS!S175</f>
        <v>0</v>
      </c>
    </row>
    <row r="176" spans="1:26" x14ac:dyDescent="0.4">
      <c r="A176">
        <v>175</v>
      </c>
      <c r="B176" t="str">
        <f>[1]LISTADO_OTS!E176</f>
        <v>TP/0066</v>
      </c>
      <c r="C176">
        <f>VLOOKUP([1]LISTADO_OTS!B176,[1]Redes!$C$1:$E$5,3,FALSE)</f>
        <v>2</v>
      </c>
      <c r="D176">
        <f>[1]LISTADO_OTS!C176</f>
        <v>2</v>
      </c>
      <c r="E176">
        <f>[1]LISTADO_OTS!D176</f>
        <v>3</v>
      </c>
      <c r="F176">
        <f>[1]LISTADO_OTS!Q176</f>
        <v>5</v>
      </c>
      <c r="G176">
        <f>[1]LISTADO_OTS!R176</f>
        <v>5</v>
      </c>
      <c r="H176" t="str">
        <f>[1]LISTADO_OTS!H176</f>
        <v>Desbrozado de fosa Arbígano</v>
      </c>
      <c r="I176" t="str">
        <f>[1]LISTADO_OTS!I176</f>
        <v>Desbrozado de fosa. Desatascar y quitar raíces.</v>
      </c>
      <c r="J176" s="1">
        <f>[1]LISTADO_OTS!F176</f>
        <v>45891</v>
      </c>
      <c r="K176" s="1">
        <f>[1]LISTADO_OTS!G176</f>
        <v>45891</v>
      </c>
      <c r="L176">
        <f>[1]LISTADO_OTS!M176</f>
        <v>42.805</v>
      </c>
      <c r="M176">
        <f>[1]LISTADO_OTS!N176</f>
        <v>-2.9644722222222222</v>
      </c>
      <c r="U176" t="b">
        <f>[1]LISTADO_OTS!O176</f>
        <v>1</v>
      </c>
      <c r="V176" t="str">
        <f>[1]LISTADO_OTS!J176</f>
        <v>Arbígano</v>
      </c>
      <c r="W176">
        <f>[1]LISTADO_OTS!R176</f>
        <v>5</v>
      </c>
      <c r="X176">
        <f>[1]LISTADO_OTS!P176</f>
        <v>0</v>
      </c>
      <c r="Y176">
        <v>1</v>
      </c>
      <c r="Z176">
        <f>[1]LISTADO_OTS!S176</f>
        <v>0</v>
      </c>
    </row>
    <row r="177" spans="1:26" x14ac:dyDescent="0.4">
      <c r="A177">
        <v>176</v>
      </c>
      <c r="B177" t="str">
        <f>[1]LISTADO_OTS!E177</f>
        <v>TP/0067</v>
      </c>
      <c r="C177">
        <f>VLOOKUP([1]LISTADO_OTS!B177,[1]Redes!$C$1:$E$5,3,FALSE)</f>
        <v>1</v>
      </c>
      <c r="D177">
        <f>[1]LISTADO_OTS!C177</f>
        <v>2</v>
      </c>
      <c r="E177">
        <f>[1]LISTADO_OTS!D177</f>
        <v>2</v>
      </c>
      <c r="F177">
        <f>[1]LISTADO_OTS!Q177</f>
        <v>1</v>
      </c>
      <c r="G177">
        <f>[1]LISTADO_OTS!R177</f>
        <v>1</v>
      </c>
      <c r="H177" t="str">
        <f>[1]LISTADO_OTS!H177</f>
        <v>Limpieza de captaciones Katzabazo, Intxutaspe, Delika, Artomaña</v>
      </c>
      <c r="I177" t="str">
        <f>[1]LISTADO_OTS!I177</f>
        <v>Limpieza de captaciones Katzabazo, Intxutaspe, Delika, Artomaña</v>
      </c>
      <c r="J177" s="1">
        <f>[1]LISTADO_OTS!F177</f>
        <v>45891</v>
      </c>
      <c r="K177" s="1">
        <f>[1]LISTADO_OTS!G177</f>
        <v>45891</v>
      </c>
      <c r="L177">
        <f>[1]LISTADO_OTS!M177</f>
        <v>42.984027777777776</v>
      </c>
      <c r="M177">
        <f>[1]LISTADO_OTS!N177</f>
        <v>-3.0147500000000003</v>
      </c>
      <c r="U177" t="b">
        <f>[1]LISTADO_OTS!O177</f>
        <v>1</v>
      </c>
      <c r="V177" t="str">
        <f>[1]LISTADO_OTS!J177</f>
        <v>Katxabazo, Intxutaspe, Delika, Artomaña-Aiaraldea</v>
      </c>
      <c r="W177">
        <f>[1]LISTADO_OTS!R177</f>
        <v>1</v>
      </c>
      <c r="X177">
        <f>[1]LISTADO_OTS!P177</f>
        <v>0</v>
      </c>
      <c r="Y177">
        <v>1</v>
      </c>
      <c r="Z177">
        <f>[1]LISTADO_OTS!S177</f>
        <v>0</v>
      </c>
    </row>
    <row r="178" spans="1:26" x14ac:dyDescent="0.4">
      <c r="A178">
        <v>177</v>
      </c>
      <c r="B178" t="str">
        <f>[1]LISTADO_OTS!E178</f>
        <v>OT/0201</v>
      </c>
      <c r="C178">
        <f>VLOOKUP([1]LISTADO_OTS!B178,[1]Redes!$C$1:$E$5,3,FALSE)</f>
        <v>3</v>
      </c>
      <c r="D178">
        <f>[1]LISTADO_OTS!C178</f>
        <v>1</v>
      </c>
      <c r="E178">
        <f>[1]LISTADO_OTS!D178</f>
        <v>0</v>
      </c>
      <c r="F178">
        <f>[1]LISTADO_OTS!Q178</f>
        <v>1</v>
      </c>
      <c r="G178">
        <f>[1]LISTADO_OTS!R178</f>
        <v>1</v>
      </c>
      <c r="H178" t="str">
        <f>[1]LISTADO_OTS!H178</f>
        <v>Fuga de agua en Delika</v>
      </c>
      <c r="I178" t="str">
        <f>[1]LISTADO_OTS!I178</f>
        <v>Fuga de agua en Delika</v>
      </c>
      <c r="J178" s="1">
        <f>[1]LISTADO_OTS!F178</f>
        <v>45891</v>
      </c>
      <c r="K178" s="1">
        <f>[1]LISTADO_OTS!G178</f>
        <v>45891</v>
      </c>
      <c r="L178">
        <f>[1]LISTADO_OTS!M178</f>
        <v>42.969555555555559</v>
      </c>
      <c r="M178">
        <f>[1]LISTADO_OTS!N178</f>
        <v>-3.0316944444444447</v>
      </c>
      <c r="U178" t="b">
        <f>[1]LISTADO_OTS!O178</f>
        <v>1</v>
      </c>
      <c r="V178" t="str">
        <f>[1]LISTADO_OTS!J178</f>
        <v>Delika</v>
      </c>
      <c r="W178">
        <f>[1]LISTADO_OTS!R178</f>
        <v>1</v>
      </c>
      <c r="X178">
        <f>[1]LISTADO_OTS!P178</f>
        <v>0</v>
      </c>
      <c r="Y178">
        <v>1</v>
      </c>
      <c r="Z178">
        <f>[1]LISTADO_OTS!S178</f>
        <v>1</v>
      </c>
    </row>
    <row r="179" spans="1:26" x14ac:dyDescent="0.4">
      <c r="A179">
        <v>178</v>
      </c>
      <c r="B179" t="str">
        <f>[1]LISTADO_OTS!E179</f>
        <v>OT/0202</v>
      </c>
      <c r="C179">
        <f>VLOOKUP([1]LISTADO_OTS!B179,[1]Redes!$C$1:$E$5,3,FALSE)</f>
        <v>5</v>
      </c>
      <c r="D179">
        <f>[1]LISTADO_OTS!C179</f>
        <v>1</v>
      </c>
      <c r="E179">
        <f>[1]LISTADO_OTS!D179</f>
        <v>0</v>
      </c>
      <c r="F179">
        <f>[1]LISTADO_OTS!Q179</f>
        <v>1</v>
      </c>
      <c r="G179">
        <f>[1]LISTADO_OTS!R179</f>
        <v>3</v>
      </c>
      <c r="H179" t="str">
        <f>[1]LISTADO_OTS!H179</f>
        <v>Atasco en Luiando</v>
      </c>
      <c r="I179" t="str">
        <f>[1]LISTADO_OTS!I179</f>
        <v>Atasco en Luiando</v>
      </c>
      <c r="J179" s="1">
        <f>[1]LISTADO_OTS!F179</f>
        <v>45891</v>
      </c>
      <c r="K179" s="1">
        <f>[1]LISTADO_OTS!G179</f>
        <v>45891</v>
      </c>
      <c r="L179">
        <f>[1]LISTADO_OTS!M179</f>
        <v>43.09963888888889</v>
      </c>
      <c r="M179">
        <f>[1]LISTADO_OTS!N179</f>
        <v>-3.0319722222222221</v>
      </c>
      <c r="U179" t="b">
        <f>[1]LISTADO_OTS!O179</f>
        <v>1</v>
      </c>
      <c r="V179" t="str">
        <f>[1]LISTADO_OTS!J179</f>
        <v>Luiando</v>
      </c>
      <c r="W179">
        <f>[1]LISTADO_OTS!R179</f>
        <v>3</v>
      </c>
      <c r="X179">
        <f>[1]LISTADO_OTS!P179</f>
        <v>0</v>
      </c>
      <c r="Y179">
        <v>1</v>
      </c>
      <c r="Z179">
        <f>[1]LISTADO_OTS!S179</f>
        <v>2</v>
      </c>
    </row>
    <row r="180" spans="1:26" x14ac:dyDescent="0.4">
      <c r="A180">
        <v>179</v>
      </c>
      <c r="B180" t="str">
        <f>[1]LISTADO_OTS!E180</f>
        <v>OT/0203</v>
      </c>
      <c r="C180">
        <f>VLOOKUP([1]LISTADO_OTS!B180,[1]Redes!$C$1:$E$5,3,FALSE)</f>
        <v>3</v>
      </c>
      <c r="D180">
        <f>[1]LISTADO_OTS!C180</f>
        <v>1</v>
      </c>
      <c r="E180">
        <f>[1]LISTADO_OTS!D180</f>
        <v>0</v>
      </c>
      <c r="F180">
        <f>[1]LISTADO_OTS!Q180</f>
        <v>3</v>
      </c>
      <c r="G180">
        <f>[1]LISTADO_OTS!R180</f>
        <v>3</v>
      </c>
      <c r="H180" t="str">
        <f>[1]LISTADO_OTS!H180</f>
        <v>Fuga de agua en Depuradora Agurain</v>
      </c>
      <c r="I180" t="str">
        <f>[1]LISTADO_OTS!I180</f>
        <v>Fuga de agua en Depuradora Agurain</v>
      </c>
      <c r="J180" s="1">
        <f>[1]LISTADO_OTS!F180</f>
        <v>45891</v>
      </c>
      <c r="K180" s="1">
        <f>[1]LISTADO_OTS!G180</f>
        <v>45891</v>
      </c>
      <c r="L180">
        <f>[1]LISTADO_OTS!M180</f>
        <v>42.856111111111112</v>
      </c>
      <c r="M180">
        <f>[1]LISTADO_OTS!N180</f>
        <v>-2.4489166666666664</v>
      </c>
      <c r="U180" t="b">
        <f>[1]LISTADO_OTS!O180</f>
        <v>1</v>
      </c>
      <c r="V180" t="str">
        <f>[1]LISTADO_OTS!J180</f>
        <v>Agurain</v>
      </c>
      <c r="W180">
        <f>[1]LISTADO_OTS!R180</f>
        <v>3</v>
      </c>
      <c r="X180">
        <f>[1]LISTADO_OTS!P180</f>
        <v>0</v>
      </c>
      <c r="Y180">
        <v>1</v>
      </c>
      <c r="Z180">
        <f>[1]LISTADO_OTS!S180</f>
        <v>1</v>
      </c>
    </row>
    <row r="181" spans="1:26" x14ac:dyDescent="0.4">
      <c r="A181">
        <v>180</v>
      </c>
      <c r="B181" t="str">
        <f>[1]LISTADO_OTS!E181</f>
        <v>OT/0204</v>
      </c>
      <c r="C181">
        <f>VLOOKUP([1]LISTADO_OTS!B181,[1]Redes!$C$1:$E$5,3,FALSE)</f>
        <v>3</v>
      </c>
      <c r="D181">
        <f>[1]LISTADO_OTS!C181</f>
        <v>1</v>
      </c>
      <c r="E181">
        <f>[1]LISTADO_OTS!D181</f>
        <v>0</v>
      </c>
      <c r="F181">
        <f>[1]LISTADO_OTS!Q181</f>
        <v>3</v>
      </c>
      <c r="G181">
        <f>[1]LISTADO_OTS!R181</f>
        <v>3</v>
      </c>
      <c r="H181" t="str">
        <f>[1]LISTADO_OTS!H181</f>
        <v>Fuga en Opakua</v>
      </c>
      <c r="I181" t="str">
        <f>[1]LISTADO_OTS!I181</f>
        <v>Fuga en Opakua</v>
      </c>
      <c r="J181" s="1">
        <f>[1]LISTADO_OTS!F181</f>
        <v>45888</v>
      </c>
      <c r="K181" s="1">
        <f>[1]LISTADO_OTS!G181</f>
        <v>45888</v>
      </c>
      <c r="L181">
        <f>[1]LISTADO_OTS!M181</f>
        <v>42.828055555555558</v>
      </c>
      <c r="M181">
        <f>[1]LISTADO_OTS!N181</f>
        <v>-2.3991944444444444</v>
      </c>
      <c r="U181" t="b">
        <f>[1]LISTADO_OTS!O181</f>
        <v>1</v>
      </c>
      <c r="V181" t="str">
        <f>[1]LISTADO_OTS!J181</f>
        <v>Opacua</v>
      </c>
      <c r="W181">
        <f>[1]LISTADO_OTS!R181</f>
        <v>3</v>
      </c>
      <c r="X181">
        <f>[1]LISTADO_OTS!P181</f>
        <v>0</v>
      </c>
      <c r="Y181">
        <v>1</v>
      </c>
      <c r="Z181">
        <f>[1]LISTADO_OTS!S181</f>
        <v>1</v>
      </c>
    </row>
    <row r="182" spans="1:26" x14ac:dyDescent="0.4">
      <c r="A182">
        <v>181</v>
      </c>
      <c r="B182" t="str">
        <f>[1]LISTADO_OTS!E182</f>
        <v>OT/0205</v>
      </c>
      <c r="C182">
        <f>VLOOKUP([1]LISTADO_OTS!B182,[1]Redes!$C$1:$E$5,3,FALSE)</f>
        <v>3</v>
      </c>
      <c r="D182">
        <f>[1]LISTADO_OTS!C182</f>
        <v>1</v>
      </c>
      <c r="E182">
        <f>[1]LISTADO_OTS!D182</f>
        <v>0</v>
      </c>
      <c r="F182">
        <f>[1]LISTADO_OTS!Q182</f>
        <v>3</v>
      </c>
      <c r="G182">
        <f>[1]LISTADO_OTS!R182</f>
        <v>3</v>
      </c>
      <c r="H182" t="str">
        <f>[1]LISTADO_OTS!H182</f>
        <v>Aviso de fuga en Eguileor</v>
      </c>
      <c r="I182" t="str">
        <f>[1]LISTADO_OTS!I182</f>
        <v>Aviso de fuga en Eguileor</v>
      </c>
      <c r="J182" s="1">
        <f>[1]LISTADO_OTS!F182</f>
        <v>45888</v>
      </c>
      <c r="K182" s="1">
        <f>[1]LISTADO_OTS!G182</f>
        <v>45888</v>
      </c>
      <c r="L182">
        <f>[1]LISTADO_OTS!M182</f>
        <v>42.820277777777783</v>
      </c>
      <c r="M182">
        <f>[1]LISTADO_OTS!N182</f>
        <v>-2.4328055555555554</v>
      </c>
      <c r="U182" t="b">
        <f>[1]LISTADO_OTS!O182</f>
        <v>1</v>
      </c>
      <c r="V182" t="str">
        <f>[1]LISTADO_OTS!J182</f>
        <v>Eguileor</v>
      </c>
      <c r="W182">
        <f>[1]LISTADO_OTS!R182</f>
        <v>3</v>
      </c>
      <c r="X182">
        <f>[1]LISTADO_OTS!P182</f>
        <v>0</v>
      </c>
      <c r="Y182">
        <v>1</v>
      </c>
      <c r="Z182">
        <f>[1]LISTADO_OTS!S182</f>
        <v>1</v>
      </c>
    </row>
    <row r="183" spans="1:26" x14ac:dyDescent="0.4">
      <c r="A183">
        <v>182</v>
      </c>
      <c r="B183" t="str">
        <f>[1]LISTADO_OTS!E183</f>
        <v>OT/0206</v>
      </c>
      <c r="C183">
        <f>VLOOKUP([1]LISTADO_OTS!B183,[1]Redes!$C$1:$E$5,3,FALSE)</f>
        <v>3</v>
      </c>
      <c r="D183">
        <f>[1]LISTADO_OTS!C183</f>
        <v>1</v>
      </c>
      <c r="E183">
        <f>[1]LISTADO_OTS!D183</f>
        <v>0</v>
      </c>
      <c r="F183">
        <f>[1]LISTADO_OTS!Q183</f>
        <v>3</v>
      </c>
      <c r="G183">
        <f>[1]LISTADO_OTS!R183</f>
        <v>3</v>
      </c>
      <c r="H183" t="str">
        <f>[1]LISTADO_OTS!H183</f>
        <v>Fuga de contador en Agurain/Salvatierra</v>
      </c>
      <c r="I183" t="str">
        <f>[1]LISTADO_OTS!I183</f>
        <v>Arreglo de fuga de un contador</v>
      </c>
      <c r="J183" s="1">
        <f>[1]LISTADO_OTS!F183</f>
        <v>45888</v>
      </c>
      <c r="K183" s="1">
        <f>[1]LISTADO_OTS!G183</f>
        <v>45888</v>
      </c>
      <c r="L183">
        <f>[1]LISTADO_OTS!M183</f>
        <v>42.848555555555556</v>
      </c>
      <c r="M183">
        <f>[1]LISTADO_OTS!N183</f>
        <v>-2.4330833333333333</v>
      </c>
      <c r="U183" t="b">
        <f>[1]LISTADO_OTS!O183</f>
        <v>1</v>
      </c>
      <c r="V183" t="str">
        <f>[1]LISTADO_OTS!J183</f>
        <v>Agurain/Salvatierra</v>
      </c>
      <c r="W183">
        <f>[1]LISTADO_OTS!R183</f>
        <v>3</v>
      </c>
      <c r="X183">
        <f>[1]LISTADO_OTS!P183</f>
        <v>0</v>
      </c>
      <c r="Y183">
        <v>1</v>
      </c>
      <c r="Z183">
        <f>[1]LISTADO_OTS!S183</f>
        <v>1</v>
      </c>
    </row>
    <row r="184" spans="1:26" x14ac:dyDescent="0.4">
      <c r="A184">
        <v>183</v>
      </c>
      <c r="B184" t="str">
        <f>[1]LISTADO_OTS!E184</f>
        <v>OT/0207</v>
      </c>
      <c r="C184">
        <f>VLOOKUP([1]LISTADO_OTS!B184,[1]Redes!$C$1:$E$5,3,FALSE)</f>
        <v>3</v>
      </c>
      <c r="D184">
        <f>[1]LISTADO_OTS!C184</f>
        <v>1</v>
      </c>
      <c r="E184">
        <f>[1]LISTADO_OTS!D184</f>
        <v>0</v>
      </c>
      <c r="F184">
        <f>[1]LISTADO_OTS!Q184</f>
        <v>1</v>
      </c>
      <c r="G184">
        <f>[1]LISTADO_OTS!R184</f>
        <v>1</v>
      </c>
      <c r="H184" t="str">
        <f>[1]LISTADO_OTS!H184</f>
        <v>Reparación de fuga en Maroño</v>
      </c>
      <c r="I184" t="str">
        <f>[1]LISTADO_OTS!I184</f>
        <v>Reparación de fuga en Maroño</v>
      </c>
      <c r="J184" s="1">
        <f>[1]LISTADO_OTS!F184</f>
        <v>45889</v>
      </c>
      <c r="K184" s="1">
        <f>[1]LISTADO_OTS!G184</f>
        <v>45889</v>
      </c>
      <c r="L184">
        <f>[1]LISTADO_OTS!M184</f>
        <v>43.051499999999997</v>
      </c>
      <c r="M184">
        <f>[1]LISTADO_OTS!N184</f>
        <v>-3.1000277777777776</v>
      </c>
      <c r="U184" t="b">
        <f>[1]LISTADO_OTS!O184</f>
        <v>1</v>
      </c>
      <c r="V184" t="str">
        <f>[1]LISTADO_OTS!J184</f>
        <v>Maroño</v>
      </c>
      <c r="W184">
        <f>[1]LISTADO_OTS!R184</f>
        <v>1</v>
      </c>
      <c r="X184">
        <f>[1]LISTADO_OTS!P184</f>
        <v>0</v>
      </c>
      <c r="Y184">
        <v>1</v>
      </c>
      <c r="Z184">
        <f>[1]LISTADO_OTS!S184</f>
        <v>1</v>
      </c>
    </row>
    <row r="185" spans="1:26" x14ac:dyDescent="0.4">
      <c r="A185">
        <v>184</v>
      </c>
      <c r="B185" t="str">
        <f>[1]LISTADO_OTS!E185</f>
        <v>OT/0208</v>
      </c>
      <c r="C185">
        <f>VLOOKUP([1]LISTADO_OTS!B185,[1]Redes!$C$1:$E$5,3,FALSE)</f>
        <v>5</v>
      </c>
      <c r="D185">
        <f>[1]LISTADO_OTS!C185</f>
        <v>1</v>
      </c>
      <c r="E185">
        <f>[1]LISTADO_OTS!D185</f>
        <v>0</v>
      </c>
      <c r="F185">
        <f>[1]LISTADO_OTS!Q185</f>
        <v>1</v>
      </c>
      <c r="G185">
        <f>[1]LISTADO_OTS!R185</f>
        <v>2</v>
      </c>
      <c r="H185" t="str">
        <f>[1]LISTADO_OTS!H185</f>
        <v>Atasco de Retes de Tudela (Artzeniaga)</v>
      </c>
      <c r="I185" t="str">
        <f>[1]LISTADO_OTS!I185</f>
        <v>Atasco de Retes de Tudela</v>
      </c>
      <c r="J185" s="1">
        <f>[1]LISTADO_OTS!F185</f>
        <v>45890</v>
      </c>
      <c r="K185" s="1">
        <f>[1]LISTADO_OTS!G185</f>
        <v>45890</v>
      </c>
      <c r="L185">
        <f>[1]LISTADO_OTS!M185</f>
        <v>43.114555555555555</v>
      </c>
      <c r="M185">
        <f>[1]LISTADO_OTS!N185</f>
        <v>-3.2169722222222221</v>
      </c>
      <c r="U185" t="b">
        <f>[1]LISTADO_OTS!O185</f>
        <v>1</v>
      </c>
      <c r="V185" t="str">
        <f>[1]LISTADO_OTS!J185</f>
        <v>Retes de Tudela</v>
      </c>
      <c r="W185">
        <f>[1]LISTADO_OTS!R185</f>
        <v>2</v>
      </c>
      <c r="X185">
        <f>[1]LISTADO_OTS!P185</f>
        <v>0</v>
      </c>
      <c r="Y185">
        <v>1</v>
      </c>
      <c r="Z185">
        <f>[1]LISTADO_OTS!S185</f>
        <v>2</v>
      </c>
    </row>
    <row r="186" spans="1:26" x14ac:dyDescent="0.4">
      <c r="A186">
        <v>185</v>
      </c>
      <c r="B186" t="str">
        <f>[1]LISTADO_OTS!E186</f>
        <v>TP/0068</v>
      </c>
      <c r="C186">
        <f>VLOOKUP([1]LISTADO_OTS!B186,[1]Redes!$C$1:$E$5,3,FALSE)</f>
        <v>2</v>
      </c>
      <c r="D186">
        <f>[1]LISTADO_OTS!C186</f>
        <v>2</v>
      </c>
      <c r="E186">
        <f>[1]LISTADO_OTS!D186</f>
        <v>3</v>
      </c>
      <c r="F186">
        <f>[1]LISTADO_OTS!Q186</f>
        <v>5</v>
      </c>
      <c r="G186">
        <f>[1]LISTADO_OTS!R186</f>
        <v>5</v>
      </c>
      <c r="H186" t="str">
        <f>[1]LISTADO_OTS!H186</f>
        <v>Desbroce de fosas sépticas en Lahoz</v>
      </c>
      <c r="I186" t="str">
        <f>[1]LISTADO_OTS!I186</f>
        <v>Mantenimiento fosas sépticas, desbroce de fosas sépticas</v>
      </c>
      <c r="J186" s="1">
        <f>[1]LISTADO_OTS!F186</f>
        <v>45890</v>
      </c>
      <c r="K186" s="1">
        <f>[1]LISTADO_OTS!G186</f>
        <v>45890</v>
      </c>
      <c r="L186">
        <f>[1]LISTADO_OTS!M186</f>
        <v>42.884500000000003</v>
      </c>
      <c r="M186">
        <f>[1]LISTADO_OTS!N186</f>
        <v>-3.2839166666666668</v>
      </c>
      <c r="U186" t="b">
        <f>[1]LISTADO_OTS!O186</f>
        <v>1</v>
      </c>
      <c r="V186" t="str">
        <f>[1]LISTADO_OTS!J186</f>
        <v>Lahoz</v>
      </c>
      <c r="W186">
        <f>[1]LISTADO_OTS!R186</f>
        <v>5</v>
      </c>
      <c r="X186">
        <f>[1]LISTADO_OTS!P186</f>
        <v>0</v>
      </c>
      <c r="Y186">
        <v>1</v>
      </c>
      <c r="Z186">
        <f>[1]LISTADO_OTS!S186</f>
        <v>0</v>
      </c>
    </row>
    <row r="187" spans="1:26" x14ac:dyDescent="0.4">
      <c r="A187">
        <v>186</v>
      </c>
      <c r="B187" t="str">
        <f>[1]LISTADO_OTS!E187</f>
        <v>TP/0069</v>
      </c>
      <c r="C187">
        <f>VLOOKUP([1]LISTADO_OTS!B187,[1]Redes!$C$1:$E$5,3,FALSE)</f>
        <v>5</v>
      </c>
      <c r="D187">
        <f>[1]LISTADO_OTS!C187</f>
        <v>2</v>
      </c>
      <c r="E187">
        <f>[1]LISTADO_OTS!D187</f>
        <v>1</v>
      </c>
      <c r="F187">
        <f>[1]LISTADO_OTS!Q187</f>
        <v>1</v>
      </c>
      <c r="G187">
        <f>[1]LISTADO_OTS!R187</f>
        <v>4</v>
      </c>
      <c r="H187" t="str">
        <f>[1]LISTADO_OTS!H187</f>
        <v>Limpieza purgador y revisión de camión de saneamiento en Llodio</v>
      </c>
      <c r="I187" t="str">
        <f>[1]LISTADO_OTS!I187</f>
        <v>Limpieza purgador y revisión de camión de saneamiento</v>
      </c>
      <c r="J187" s="1">
        <f>[1]LISTADO_OTS!F187</f>
        <v>45890</v>
      </c>
      <c r="K187" s="1">
        <f>[1]LISTADO_OTS!G187</f>
        <v>45890</v>
      </c>
      <c r="L187">
        <f>[1]LISTADO_OTS!M187</f>
        <v>43.147194444444445</v>
      </c>
      <c r="M187">
        <f>[1]LISTADO_OTS!N187</f>
        <v>-3.017527777777778</v>
      </c>
      <c r="U187" t="b">
        <f>[1]LISTADO_OTS!O187</f>
        <v>1</v>
      </c>
      <c r="V187" t="str">
        <f>[1]LISTADO_OTS!J187</f>
        <v>Colegio La Milagrosa</v>
      </c>
      <c r="W187">
        <f>[1]LISTADO_OTS!R187</f>
        <v>4</v>
      </c>
      <c r="X187">
        <f>[1]LISTADO_OTS!P187</f>
        <v>0</v>
      </c>
      <c r="Y187">
        <v>1</v>
      </c>
      <c r="Z187">
        <f>[1]LISTADO_OTS!S187</f>
        <v>0</v>
      </c>
    </row>
    <row r="188" spans="1:26" x14ac:dyDescent="0.4">
      <c r="A188">
        <v>187</v>
      </c>
      <c r="B188" t="str">
        <f>[1]LISTADO_OTS!E188</f>
        <v>OT/0209</v>
      </c>
      <c r="C188">
        <f>VLOOKUP([1]LISTADO_OTS!B188,[1]Redes!$C$1:$E$5,3,FALSE)</f>
        <v>5</v>
      </c>
      <c r="D188">
        <f>[1]LISTADO_OTS!C188</f>
        <v>1</v>
      </c>
      <c r="E188">
        <f>[1]LISTADO_OTS!D188</f>
        <v>0</v>
      </c>
      <c r="F188">
        <f>[1]LISTADO_OTS!Q188</f>
        <v>5</v>
      </c>
      <c r="G188">
        <f>[1]LISTADO_OTS!R188</f>
        <v>45</v>
      </c>
      <c r="H188" t="str">
        <f>[1]LISTADO_OTS!H188</f>
        <v>Desatasco de saneamiento en Zambrana</v>
      </c>
      <c r="I188" t="str">
        <f>[1]LISTADO_OTS!I188</f>
        <v>Desatasco de saneamiento en Zambrana</v>
      </c>
      <c r="J188" s="1">
        <f>[1]LISTADO_OTS!F188</f>
        <v>45890</v>
      </c>
      <c r="K188" s="1">
        <f>[1]LISTADO_OTS!G188</f>
        <v>45890</v>
      </c>
      <c r="L188">
        <f>[1]LISTADO_OTS!M188</f>
        <v>42.661166666666666</v>
      </c>
      <c r="M188">
        <f>[1]LISTADO_OTS!N188</f>
        <v>-2.9178055555555558</v>
      </c>
      <c r="U188" t="b">
        <f>[1]LISTADO_OTS!O188</f>
        <v>1</v>
      </c>
      <c r="V188" t="str">
        <f>[1]LISTADO_OTS!J188</f>
        <v>Zambrana</v>
      </c>
      <c r="W188">
        <f>[1]LISTADO_OTS!R188</f>
        <v>45</v>
      </c>
      <c r="X188">
        <f>[1]LISTADO_OTS!P188</f>
        <v>0</v>
      </c>
      <c r="Y188">
        <v>1</v>
      </c>
      <c r="Z188">
        <f>[1]LISTADO_OTS!S188</f>
        <v>2</v>
      </c>
    </row>
    <row r="189" spans="1:26" x14ac:dyDescent="0.4">
      <c r="A189">
        <v>188</v>
      </c>
      <c r="B189" t="str">
        <f>[1]LISTADO_OTS!E189</f>
        <v>TP/0070</v>
      </c>
      <c r="C189">
        <f>VLOOKUP([1]LISTADO_OTS!B189,[1]Redes!$C$1:$E$5,3,FALSE)</f>
        <v>5</v>
      </c>
      <c r="D189">
        <f>[1]LISTADO_OTS!C189</f>
        <v>2</v>
      </c>
      <c r="E189">
        <f>[1]LISTADO_OTS!D189</f>
        <v>13</v>
      </c>
      <c r="F189">
        <f>[1]LISTADO_OTS!Q189</f>
        <v>5</v>
      </c>
      <c r="G189">
        <f>[1]LISTADO_OTS!R189</f>
        <v>41</v>
      </c>
      <c r="H189" t="str">
        <f>[1]LISTADO_OTS!H189</f>
        <v>Asistencia técnica a Urbide</v>
      </c>
      <c r="I189" t="str">
        <f>[1]LISTADO_OTS!I189</f>
        <v>Asistencia técnica a Urbide</v>
      </c>
      <c r="J189" s="1">
        <f>[1]LISTADO_OTS!F189</f>
        <v>45890</v>
      </c>
      <c r="K189" s="1">
        <f>[1]LISTADO_OTS!G189</f>
        <v>45890</v>
      </c>
      <c r="L189">
        <f>[1]LISTADO_OTS!M189</f>
        <v>42.705694444444447</v>
      </c>
      <c r="M189">
        <f>[1]LISTADO_OTS!N189</f>
        <v>-2.9680833333333334</v>
      </c>
      <c r="U189" t="b">
        <f>[1]LISTADO_OTS!O189</f>
        <v>1</v>
      </c>
      <c r="V189" t="str">
        <f>[1]LISTADO_OTS!J189</f>
        <v>Ribabellosa</v>
      </c>
      <c r="W189">
        <f>[1]LISTADO_OTS!R189</f>
        <v>41</v>
      </c>
      <c r="X189">
        <f>[1]LISTADO_OTS!P189</f>
        <v>0</v>
      </c>
      <c r="Y189">
        <v>1</v>
      </c>
      <c r="Z189">
        <f>[1]LISTADO_OTS!S189</f>
        <v>0</v>
      </c>
    </row>
    <row r="190" spans="1:26" x14ac:dyDescent="0.4">
      <c r="A190">
        <v>189</v>
      </c>
      <c r="B190" t="str">
        <f>[1]LISTADO_OTS!E190</f>
        <v>OT/0212</v>
      </c>
      <c r="C190">
        <f>VLOOKUP([1]LISTADO_OTS!B190,[1]Redes!$C$1:$E$5,3,FALSE)</f>
        <v>3</v>
      </c>
      <c r="D190">
        <f>[1]LISTADO_OTS!C190</f>
        <v>1</v>
      </c>
      <c r="E190">
        <f>[1]LISTADO_OTS!D190</f>
        <v>0</v>
      </c>
      <c r="F190">
        <f>[1]LISTADO_OTS!Q190</f>
        <v>5</v>
      </c>
      <c r="G190">
        <f>[1]LISTADO_OTS!R190</f>
        <v>5</v>
      </c>
      <c r="H190" t="str">
        <f>[1]LISTADO_OTS!H190</f>
        <v>Búsqueda de fuga en Salinas de Añana</v>
      </c>
      <c r="I190" t="str">
        <f>[1]LISTADO_OTS!I190</f>
        <v>Búsqueda de fuga en Salinas de Añana</v>
      </c>
      <c r="J190" s="1">
        <f>[1]LISTADO_OTS!F190</f>
        <v>45887</v>
      </c>
      <c r="K190" s="1">
        <f>[1]LISTADO_OTS!G190</f>
        <v>45887</v>
      </c>
      <c r="L190">
        <f>[1]LISTADO_OTS!M190</f>
        <v>0</v>
      </c>
      <c r="M190">
        <f>[1]LISTADO_OTS!N190</f>
        <v>0</v>
      </c>
      <c r="U190" t="b">
        <f>[1]LISTADO_OTS!O190</f>
        <v>1</v>
      </c>
      <c r="V190" t="str">
        <f>[1]LISTADO_OTS!J190</f>
        <v>Salinas de Añana</v>
      </c>
      <c r="W190">
        <f>[1]LISTADO_OTS!R190</f>
        <v>5</v>
      </c>
      <c r="X190">
        <f>[1]LISTADO_OTS!P190</f>
        <v>0</v>
      </c>
      <c r="Y190">
        <v>1</v>
      </c>
      <c r="Z190">
        <f>[1]LISTADO_OTS!S190</f>
        <v>1</v>
      </c>
    </row>
    <row r="191" spans="1:26" x14ac:dyDescent="0.4">
      <c r="A191">
        <v>190</v>
      </c>
      <c r="B191" t="str">
        <f>[1]LISTADO_OTS!E191</f>
        <v>OT/0211</v>
      </c>
      <c r="C191">
        <f>VLOOKUP([1]LISTADO_OTS!B191,[1]Redes!$C$1:$E$5,3,FALSE)</f>
        <v>3</v>
      </c>
      <c r="D191">
        <f>[1]LISTADO_OTS!C191</f>
        <v>1</v>
      </c>
      <c r="E191">
        <f>[1]LISTADO_OTS!D191</f>
        <v>0</v>
      </c>
      <c r="F191">
        <f>[1]LISTADO_OTS!Q191</f>
        <v>4</v>
      </c>
      <c r="G191">
        <f>[1]LISTADO_OTS!R191</f>
        <v>4</v>
      </c>
      <c r="H191" t="str">
        <f>[1]LISTADO_OTS!H191</f>
        <v>Búsqueda de fuga en Landa</v>
      </c>
      <c r="I191" t="str">
        <f>[1]LISTADO_OTS!I191</f>
        <v>Búsqueda de fuga</v>
      </c>
      <c r="J191" s="1">
        <f>[1]LISTADO_OTS!F191</f>
        <v>45887</v>
      </c>
      <c r="K191" s="1">
        <f>[1]LISTADO_OTS!G191</f>
        <v>45887</v>
      </c>
      <c r="L191">
        <f>[1]LISTADO_OTS!M191</f>
        <v>0</v>
      </c>
      <c r="M191">
        <f>[1]LISTADO_OTS!N191</f>
        <v>0</v>
      </c>
      <c r="U191" t="b">
        <f>[1]LISTADO_OTS!O191</f>
        <v>1</v>
      </c>
      <c r="V191" t="str">
        <f>[1]LISTADO_OTS!J191</f>
        <v>Landa</v>
      </c>
      <c r="W191">
        <f>[1]LISTADO_OTS!R191</f>
        <v>4</v>
      </c>
      <c r="X191">
        <f>[1]LISTADO_OTS!P191</f>
        <v>0</v>
      </c>
      <c r="Y191">
        <v>1</v>
      </c>
      <c r="Z191">
        <f>[1]LISTADO_OTS!S191</f>
        <v>1</v>
      </c>
    </row>
    <row r="192" spans="1:26" x14ac:dyDescent="0.4">
      <c r="A192">
        <v>191</v>
      </c>
      <c r="B192" t="str">
        <f>[1]LISTADO_OTS!E192</f>
        <v>OT/0210</v>
      </c>
      <c r="C192">
        <f>VLOOKUP([1]LISTADO_OTS!B192,[1]Redes!$C$1:$E$5,3,FALSE)</f>
        <v>3</v>
      </c>
      <c r="D192">
        <f>[1]LISTADO_OTS!C192</f>
        <v>1</v>
      </c>
      <c r="E192">
        <f>[1]LISTADO_OTS!D192</f>
        <v>0</v>
      </c>
      <c r="F192">
        <f>[1]LISTADO_OTS!Q192</f>
        <v>3</v>
      </c>
      <c r="G192">
        <f>[1]LISTADO_OTS!R192</f>
        <v>3</v>
      </c>
      <c r="H192" t="str">
        <f>[1]LISTADO_OTS!H192</f>
        <v>Búsqueda de fuga en Opakua-Agurain</v>
      </c>
      <c r="I192" t="str">
        <f>[1]LISTADO_OTS!I192</f>
        <v>Búsqueda de fuga en Opakua</v>
      </c>
      <c r="J192" s="1">
        <f>[1]LISTADO_OTS!F192</f>
        <v>45887</v>
      </c>
      <c r="K192" s="1">
        <f>[1]LISTADO_OTS!G192</f>
        <v>45887</v>
      </c>
      <c r="L192">
        <f>[1]LISTADO_OTS!M192</f>
        <v>0</v>
      </c>
      <c r="M192">
        <f>[1]LISTADO_OTS!N192</f>
        <v>0</v>
      </c>
      <c r="U192" t="b">
        <f>[1]LISTADO_OTS!O192</f>
        <v>1</v>
      </c>
      <c r="V192" t="str">
        <f>[1]LISTADO_OTS!J192</f>
        <v>Opacua</v>
      </c>
      <c r="W192">
        <f>[1]LISTADO_OTS!R192</f>
        <v>3</v>
      </c>
      <c r="X192">
        <f>[1]LISTADO_OTS!P192</f>
        <v>0</v>
      </c>
      <c r="Y192">
        <v>1</v>
      </c>
      <c r="Z192">
        <f>[1]LISTADO_OTS!S192</f>
        <v>1</v>
      </c>
    </row>
    <row r="193" spans="1:26" x14ac:dyDescent="0.4">
      <c r="A193">
        <v>192</v>
      </c>
      <c r="B193" t="str">
        <f>[1]LISTADO_OTS!E193</f>
        <v>TP/0071</v>
      </c>
      <c r="C193">
        <f>VLOOKUP([1]LISTADO_OTS!B193,[1]Redes!$C$1:$E$5,3,FALSE)</f>
        <v>2</v>
      </c>
      <c r="D193">
        <f>[1]LISTADO_OTS!C193</f>
        <v>2</v>
      </c>
      <c r="E193">
        <f>[1]LISTADO_OTS!D193</f>
        <v>3</v>
      </c>
      <c r="F193">
        <f>[1]LISTADO_OTS!Q193</f>
        <v>5</v>
      </c>
      <c r="G193">
        <f>[1]LISTADO_OTS!R193</f>
        <v>5</v>
      </c>
      <c r="H193" t="str">
        <f>[1]LISTADO_OTS!H193</f>
        <v>Limpieza fosa de Jokano</v>
      </c>
      <c r="I193" t="str">
        <f>[1]LISTADO_OTS!I193</f>
        <v>Limpieza fosa de Jokano</v>
      </c>
      <c r="J193" s="1">
        <f>[1]LISTADO_OTS!F193</f>
        <v>45891</v>
      </c>
      <c r="K193" s="1">
        <f>[1]LISTADO_OTS!G193</f>
        <v>45891</v>
      </c>
      <c r="L193">
        <f>[1]LISTADO_OTS!M193</f>
        <v>42.871916666666664</v>
      </c>
      <c r="M193">
        <f>[1]LISTADO_OTS!N193</f>
        <v>-2.9691944444444442</v>
      </c>
      <c r="U193" t="b">
        <f>[1]LISTADO_OTS!O193</f>
        <v>1</v>
      </c>
      <c r="V193" t="str">
        <f>[1]LISTADO_OTS!J193</f>
        <v>Jokano-Kuartango</v>
      </c>
      <c r="W193">
        <f>[1]LISTADO_OTS!R193</f>
        <v>5</v>
      </c>
      <c r="X193">
        <f>[1]LISTADO_OTS!P193</f>
        <v>0</v>
      </c>
      <c r="Y193">
        <v>1</v>
      </c>
      <c r="Z193">
        <f>[1]LISTADO_OTS!S193</f>
        <v>0</v>
      </c>
    </row>
    <row r="194" spans="1:26" x14ac:dyDescent="0.4">
      <c r="A194">
        <v>193</v>
      </c>
      <c r="B194" t="str">
        <f>[1]LISTADO_OTS!E194</f>
        <v>OT/0213</v>
      </c>
      <c r="C194">
        <f>VLOOKUP([1]LISTADO_OTS!B194,[1]Redes!$C$1:$E$5,3,FALSE)</f>
        <v>3</v>
      </c>
      <c r="D194">
        <f>[1]LISTADO_OTS!C194</f>
        <v>1</v>
      </c>
      <c r="E194">
        <f>[1]LISTADO_OTS!D194</f>
        <v>0</v>
      </c>
      <c r="F194">
        <f>[1]LISTADO_OTS!Q194</f>
        <v>1</v>
      </c>
      <c r="G194">
        <f>[1]LISTADO_OTS!R194</f>
        <v>1</v>
      </c>
      <c r="H194" t="str">
        <f>[1]LISTADO_OTS!H194</f>
        <v>Reparación de fuga en Olabezar</v>
      </c>
      <c r="I194" t="str">
        <f>[1]LISTADO_OTS!I194</f>
        <v>Reparación de fuga en Olabezar</v>
      </c>
      <c r="J194" s="1">
        <f>[1]LISTADO_OTS!F194</f>
        <v>45892</v>
      </c>
      <c r="K194" s="1">
        <f>[1]LISTADO_OTS!G194</f>
        <v>45892</v>
      </c>
      <c r="L194">
        <f>[1]LISTADO_OTS!M194</f>
        <v>43.068416666666671</v>
      </c>
      <c r="M194">
        <f>[1]LISTADO_OTS!N194</f>
        <v>-3.0528055555555556</v>
      </c>
      <c r="U194" t="b">
        <f>[1]LISTADO_OTS!O194</f>
        <v>1</v>
      </c>
      <c r="V194" t="str">
        <f>[1]LISTADO_OTS!J194</f>
        <v>Olabezar</v>
      </c>
      <c r="W194">
        <f>[1]LISTADO_OTS!R194</f>
        <v>1</v>
      </c>
      <c r="X194">
        <f>[1]LISTADO_OTS!P194</f>
        <v>0</v>
      </c>
      <c r="Y194">
        <v>1</v>
      </c>
      <c r="Z194">
        <f>[1]LISTADO_OTS!S194</f>
        <v>1</v>
      </c>
    </row>
    <row r="195" spans="1:26" x14ac:dyDescent="0.4">
      <c r="A195">
        <v>194</v>
      </c>
      <c r="B195" t="str">
        <f>[1]LISTADO_OTS!E195</f>
        <v>OT/0214</v>
      </c>
      <c r="C195">
        <f>VLOOKUP([1]LISTADO_OTS!B195,[1]Redes!$C$1:$E$5,3,FALSE)</f>
        <v>5</v>
      </c>
      <c r="D195">
        <f>[1]LISTADO_OTS!C195</f>
        <v>1</v>
      </c>
      <c r="E195">
        <f>[1]LISTADO_OTS!D195</f>
        <v>0</v>
      </c>
      <c r="F195">
        <f>[1]LISTADO_OTS!Q195</f>
        <v>1</v>
      </c>
      <c r="G195">
        <f>[1]LISTADO_OTS!R195</f>
        <v>3</v>
      </c>
      <c r="H195" t="str">
        <f>[1]LISTADO_OTS!H195</f>
        <v>Desatasco de red de saneamiento en Murga</v>
      </c>
      <c r="I195" t="str">
        <f>[1]LISTADO_OTS!I195</f>
        <v>Desatasco de red de saneamiento</v>
      </c>
      <c r="J195" s="1">
        <f>[1]LISTADO_OTS!F195</f>
        <v>45893</v>
      </c>
      <c r="K195" s="1">
        <f>[1]LISTADO_OTS!G195</f>
        <v>45893</v>
      </c>
      <c r="L195">
        <f>[1]LISTADO_OTS!M195</f>
        <v>43.076305555555557</v>
      </c>
      <c r="M195">
        <f>[1]LISTADO_OTS!N195</f>
        <v>-3.06975</v>
      </c>
      <c r="U195" t="b">
        <f>[1]LISTADO_OTS!O195</f>
        <v>1</v>
      </c>
      <c r="V195" t="str">
        <f>[1]LISTADO_OTS!J195</f>
        <v>Murga</v>
      </c>
      <c r="W195">
        <f>[1]LISTADO_OTS!R195</f>
        <v>3</v>
      </c>
      <c r="X195">
        <f>[1]LISTADO_OTS!P195</f>
        <v>0</v>
      </c>
      <c r="Y195">
        <v>1</v>
      </c>
      <c r="Z195">
        <f>[1]LISTADO_OTS!S195</f>
        <v>2</v>
      </c>
    </row>
    <row r="196" spans="1:26" x14ac:dyDescent="0.4">
      <c r="A196">
        <v>195</v>
      </c>
      <c r="B196" t="str">
        <f>[1]LISTADO_OTS!E196</f>
        <v>OT/0217</v>
      </c>
      <c r="C196">
        <f>VLOOKUP([1]LISTADO_OTS!B196,[1]Redes!$C$1:$E$5,3,FALSE)</f>
        <v>3</v>
      </c>
      <c r="D196">
        <f>[1]LISTADO_OTS!C196</f>
        <v>1</v>
      </c>
      <c r="E196">
        <f>[1]LISTADO_OTS!D196</f>
        <v>0</v>
      </c>
      <c r="F196">
        <f>[1]LISTADO_OTS!Q196</f>
        <v>3</v>
      </c>
      <c r="G196">
        <f>[1]LISTADO_OTS!R196</f>
        <v>3</v>
      </c>
      <c r="H196" t="str">
        <f>[1]LISTADO_OTS!H196</f>
        <v>Reparación de fuga en Agurain</v>
      </c>
      <c r="I196" t="str">
        <f>[1]LISTADO_OTS!I196</f>
        <v>Reparación de fuga en Agurain</v>
      </c>
      <c r="J196" s="1">
        <f>[1]LISTADO_OTS!F196</f>
        <v>45895</v>
      </c>
      <c r="K196" s="1">
        <f>[1]LISTADO_OTS!G196</f>
        <v>45895</v>
      </c>
      <c r="L196">
        <f>[1]LISTADO_OTS!M196</f>
        <v>42.853444444444449</v>
      </c>
      <c r="M196">
        <f>[1]LISTADO_OTS!N196</f>
        <v>-2.4366944444444445</v>
      </c>
      <c r="U196" t="b">
        <f>[1]LISTADO_OTS!O196</f>
        <v>1</v>
      </c>
      <c r="V196" t="str">
        <f>[1]LISTADO_OTS!J196</f>
        <v>Agurain</v>
      </c>
      <c r="W196">
        <f>[1]LISTADO_OTS!R196</f>
        <v>3</v>
      </c>
      <c r="X196">
        <f>[1]LISTADO_OTS!P196</f>
        <v>0</v>
      </c>
      <c r="Y196">
        <v>1</v>
      </c>
      <c r="Z196">
        <f>[1]LISTADO_OTS!S196</f>
        <v>1</v>
      </c>
    </row>
    <row r="197" spans="1:26" x14ac:dyDescent="0.4">
      <c r="A197">
        <v>196</v>
      </c>
      <c r="B197" t="str">
        <f>[1]LISTADO_OTS!E197</f>
        <v>OT/0216</v>
      </c>
      <c r="C197">
        <f>VLOOKUP([1]LISTADO_OTS!B197,[1]Redes!$C$1:$E$5,3,FALSE)</f>
        <v>5</v>
      </c>
      <c r="D197">
        <f>[1]LISTADO_OTS!C197</f>
        <v>1</v>
      </c>
      <c r="E197">
        <f>[1]LISTADO_OTS!D197</f>
        <v>0</v>
      </c>
      <c r="F197">
        <f>[1]LISTADO_OTS!Q197</f>
        <v>1</v>
      </c>
      <c r="G197">
        <f>[1]LISTADO_OTS!R197</f>
        <v>1</v>
      </c>
      <c r="H197" t="str">
        <f>[1]LISTADO_OTS!H197</f>
        <v>Desatasco en Amurrio</v>
      </c>
      <c r="I197" t="str">
        <f>[1]LISTADO_OTS!I197</f>
        <v>Desatasco en Amurrio Landaburu 37</v>
      </c>
      <c r="J197" s="1">
        <f>[1]LISTADO_OTS!F197</f>
        <v>45896</v>
      </c>
      <c r="K197" s="1">
        <f>[1]LISTADO_OTS!G197</f>
        <v>45896</v>
      </c>
      <c r="L197">
        <f>[1]LISTADO_OTS!M197</f>
        <v>43.10552777777778</v>
      </c>
      <c r="M197">
        <f>[1]LISTADO_OTS!N197</f>
        <v>-3.7036388888888889</v>
      </c>
      <c r="U197" t="b">
        <f>[1]LISTADO_OTS!O197</f>
        <v>1</v>
      </c>
      <c r="V197" t="str">
        <f>[1]LISTADO_OTS!J197</f>
        <v>Amurrio</v>
      </c>
      <c r="W197">
        <f>[1]LISTADO_OTS!R197</f>
        <v>1</v>
      </c>
      <c r="X197">
        <f>[1]LISTADO_OTS!P197</f>
        <v>0</v>
      </c>
      <c r="Y197">
        <v>1</v>
      </c>
      <c r="Z197">
        <f>[1]LISTADO_OTS!S197</f>
        <v>2</v>
      </c>
    </row>
    <row r="198" spans="1:26" x14ac:dyDescent="0.4">
      <c r="A198">
        <v>197</v>
      </c>
      <c r="B198" t="str">
        <f>[1]LISTADO_OTS!E198</f>
        <v>OT/0215</v>
      </c>
      <c r="C198">
        <f>VLOOKUP([1]LISTADO_OTS!B198,[1]Redes!$C$1:$E$5,3,FALSE)</f>
        <v>5</v>
      </c>
      <c r="D198">
        <f>[1]LISTADO_OTS!C198</f>
        <v>1</v>
      </c>
      <c r="E198">
        <f>[1]LISTADO_OTS!D198</f>
        <v>0</v>
      </c>
      <c r="F198">
        <f>[1]LISTADO_OTS!Q198</f>
        <v>3</v>
      </c>
      <c r="G198">
        <f>[1]LISTADO_OTS!R198</f>
        <v>26</v>
      </c>
      <c r="H198" t="str">
        <f>[1]LISTADO_OTS!H198</f>
        <v>Reparación arqueta de saneamiento en Opacua</v>
      </c>
      <c r="I198" t="str">
        <f>[1]LISTADO_OTS!I198</f>
        <v>Reparación arqueta de saneamiento</v>
      </c>
      <c r="J198" s="1">
        <f>[1]LISTADO_OTS!F198</f>
        <v>45895</v>
      </c>
      <c r="K198" s="1">
        <f>[1]LISTADO_OTS!G198</f>
        <v>45895</v>
      </c>
      <c r="L198">
        <f>[1]LISTADO_OTS!M198</f>
        <v>42.827361111111117</v>
      </c>
      <c r="M198">
        <f>[1]LISTADO_OTS!N198</f>
        <v>-2.4039166666666669</v>
      </c>
      <c r="U198" t="b">
        <f>[1]LISTADO_OTS!O198</f>
        <v>1</v>
      </c>
      <c r="V198" t="str">
        <f>[1]LISTADO_OTS!J198</f>
        <v>Opacua</v>
      </c>
      <c r="W198">
        <f>[1]LISTADO_OTS!R198</f>
        <v>26</v>
      </c>
      <c r="X198">
        <f>[1]LISTADO_OTS!P198</f>
        <v>0</v>
      </c>
      <c r="Y198">
        <v>1</v>
      </c>
      <c r="Z198">
        <f>[1]LISTADO_OTS!S198</f>
        <v>3</v>
      </c>
    </row>
    <row r="199" spans="1:26" x14ac:dyDescent="0.4">
      <c r="A199">
        <v>198</v>
      </c>
      <c r="B199" t="str">
        <f>[1]LISTADO_OTS!E199</f>
        <v>TP/0072</v>
      </c>
      <c r="C199">
        <f>VLOOKUP([1]LISTADO_OTS!B199,[1]Redes!$C$1:$E$5,3,FALSE)</f>
        <v>2</v>
      </c>
      <c r="D199">
        <f>[1]LISTADO_OTS!C199</f>
        <v>2</v>
      </c>
      <c r="E199">
        <f>[1]LISTADO_OTS!D199</f>
        <v>3</v>
      </c>
      <c r="F199">
        <f>[1]LISTADO_OTS!Q199</f>
        <v>1</v>
      </c>
      <c r="G199">
        <f>[1]LISTADO_OTS!R199</f>
        <v>1</v>
      </c>
      <c r="H199" t="str">
        <f>[1]LISTADO_OTS!H199</f>
        <v>Revisión y desbroce para limpieza de fosas en Artziniega</v>
      </c>
      <c r="I199" t="str">
        <f>[1]LISTADO_OTS!I199</f>
        <v>Revisión y desbroce para limpieza de fosas en Artziniega</v>
      </c>
      <c r="J199" s="1">
        <f>[1]LISTADO_OTS!F199</f>
        <v>45894</v>
      </c>
      <c r="K199" s="1">
        <f>[1]LISTADO_OTS!G199</f>
        <v>45894</v>
      </c>
      <c r="L199">
        <f>[1]LISTADO_OTS!M199</f>
        <v>43.11911111111111</v>
      </c>
      <c r="M199">
        <f>[1]LISTADO_OTS!N199</f>
        <v>-3.1708611111111114</v>
      </c>
      <c r="U199" t="b">
        <f>[1]LISTADO_OTS!O199</f>
        <v>1</v>
      </c>
      <c r="V199" t="str">
        <f>[1]LISTADO_OTS!J199</f>
        <v>Artziniega</v>
      </c>
      <c r="W199">
        <f>[1]LISTADO_OTS!R199</f>
        <v>1</v>
      </c>
      <c r="X199">
        <f>[1]LISTADO_OTS!P199</f>
        <v>0</v>
      </c>
      <c r="Y199">
        <v>1</v>
      </c>
      <c r="Z199">
        <f>[1]LISTADO_OTS!S199</f>
        <v>0</v>
      </c>
    </row>
    <row r="200" spans="1:26" x14ac:dyDescent="0.4">
      <c r="A200">
        <v>199</v>
      </c>
      <c r="B200" t="str">
        <f>[1]LISTADO_OTS!E200</f>
        <v>TP/0073</v>
      </c>
      <c r="C200">
        <f>VLOOKUP([1]LISTADO_OTS!B200,[1]Redes!$C$1:$E$5,3,FALSE)</f>
        <v>3</v>
      </c>
      <c r="D200">
        <f>[1]LISTADO_OTS!C200</f>
        <v>2</v>
      </c>
      <c r="E200">
        <f>[1]LISTADO_OTS!D200</f>
        <v>8</v>
      </c>
      <c r="F200">
        <f>[1]LISTADO_OTS!Q200</f>
        <v>1</v>
      </c>
      <c r="G200">
        <f>[1]LISTADO_OTS!R200</f>
        <v>1</v>
      </c>
      <c r="H200" t="str">
        <f>[1]LISTADO_OTS!H200</f>
        <v>Instalación de contador en Murga</v>
      </c>
      <c r="I200" t="str">
        <f>[1]LISTADO_OTS!I200</f>
        <v>Instalación de contador</v>
      </c>
      <c r="J200" s="1">
        <f>[1]LISTADO_OTS!F200</f>
        <v>45894</v>
      </c>
      <c r="K200" s="1">
        <f>[1]LISTADO_OTS!G200</f>
        <v>45894</v>
      </c>
      <c r="L200">
        <f>[1]LISTADO_OTS!M200</f>
        <v>43.07566666666667</v>
      </c>
      <c r="M200">
        <f>[1]LISTADO_OTS!N200</f>
        <v>-3.0711388888888886</v>
      </c>
      <c r="U200" t="b">
        <f>[1]LISTADO_OTS!O200</f>
        <v>1</v>
      </c>
      <c r="V200" t="str">
        <f>[1]LISTADO_OTS!J200</f>
        <v>Murga</v>
      </c>
      <c r="W200">
        <f>[1]LISTADO_OTS!R200</f>
        <v>1</v>
      </c>
      <c r="X200">
        <f>[1]LISTADO_OTS!P200</f>
        <v>0</v>
      </c>
      <c r="Y200">
        <v>1</v>
      </c>
      <c r="Z200">
        <f>[1]LISTADO_OTS!S200</f>
        <v>0</v>
      </c>
    </row>
    <row r="201" spans="1:26" x14ac:dyDescent="0.4">
      <c r="A201">
        <v>200</v>
      </c>
      <c r="B201" t="str">
        <f>[1]LISTADO_OTS!E201</f>
        <v>TP/0074</v>
      </c>
      <c r="C201">
        <f>VLOOKUP([1]LISTADO_OTS!B201,[1]Redes!$C$1:$E$5,3,FALSE)</f>
        <v>2</v>
      </c>
      <c r="D201">
        <f>[1]LISTADO_OTS!C201</f>
        <v>2</v>
      </c>
      <c r="E201">
        <f>[1]LISTADO_OTS!D201</f>
        <v>3</v>
      </c>
      <c r="F201">
        <f>[1]LISTADO_OTS!Q201</f>
        <v>3</v>
      </c>
      <c r="G201">
        <f>[1]LISTADO_OTS!R201</f>
        <v>3</v>
      </c>
      <c r="H201" t="str">
        <f>[1]LISTADO_OTS!H201</f>
        <v>Limpieza de fosa Gazeta</v>
      </c>
      <c r="I201" t="str">
        <f>[1]LISTADO_OTS!I201</f>
        <v>Limpieza de fosa Gazeta</v>
      </c>
      <c r="J201" s="1">
        <f>[1]LISTADO_OTS!F201</f>
        <v>45895</v>
      </c>
      <c r="K201" s="1">
        <f>[1]LISTADO_OTS!G201</f>
        <v>45895</v>
      </c>
      <c r="L201">
        <f>[1]LISTADO_OTS!M201</f>
        <v>42.843444444444444</v>
      </c>
      <c r="M201">
        <f>[1]LISTADO_OTS!N201</f>
        <v>-2.5880833333333331</v>
      </c>
      <c r="U201" t="b">
        <f>[1]LISTADO_OTS!O201</f>
        <v>1</v>
      </c>
      <c r="V201" t="str">
        <f>[1]LISTADO_OTS!J201</f>
        <v>Gazeta</v>
      </c>
      <c r="W201">
        <f>[1]LISTADO_OTS!R201</f>
        <v>3</v>
      </c>
      <c r="X201">
        <f>[1]LISTADO_OTS!P201</f>
        <v>0</v>
      </c>
      <c r="Y201">
        <v>1</v>
      </c>
      <c r="Z201">
        <f>[1]LISTADO_OTS!S201</f>
        <v>0</v>
      </c>
    </row>
    <row r="202" spans="1:26" x14ac:dyDescent="0.4">
      <c r="A202">
        <v>201</v>
      </c>
      <c r="B202" t="str">
        <f>[1]LISTADO_OTS!E202</f>
        <v>TP/0075</v>
      </c>
      <c r="C202">
        <f>VLOOKUP([1]LISTADO_OTS!B202,[1]Redes!$C$1:$E$5,3,FALSE)</f>
        <v>2</v>
      </c>
      <c r="D202">
        <f>[1]LISTADO_OTS!C202</f>
        <v>2</v>
      </c>
      <c r="E202">
        <f>[1]LISTADO_OTS!D202</f>
        <v>3</v>
      </c>
      <c r="F202">
        <f>[1]LISTADO_OTS!Q202</f>
        <v>5</v>
      </c>
      <c r="G202">
        <f>[1]LISTADO_OTS!R202</f>
        <v>5</v>
      </c>
      <c r="H202" t="str">
        <f>[1]LISTADO_OTS!H202</f>
        <v>Limpieza de fosa de Portilla</v>
      </c>
      <c r="I202" t="str">
        <f>[1]LISTADO_OTS!I202</f>
        <v>Limpieza de fosa de Portilla</v>
      </c>
      <c r="J202" s="1">
        <f>[1]LISTADO_OTS!F202</f>
        <v>45896</v>
      </c>
      <c r="K202" s="1">
        <f>[1]LISTADO_OTS!G202</f>
        <v>45896</v>
      </c>
      <c r="L202">
        <f>[1]LISTADO_OTS!M202</f>
        <v>42.672249999999998</v>
      </c>
      <c r="M202">
        <f>[1]LISTADO_OTS!N202</f>
        <v>-2.8883611111111112</v>
      </c>
      <c r="U202" t="b">
        <f>[1]LISTADO_OTS!O202</f>
        <v>1</v>
      </c>
      <c r="V202" t="str">
        <f>[1]LISTADO_OTS!J202</f>
        <v>Portilla-Zambrana</v>
      </c>
      <c r="W202">
        <f>[1]LISTADO_OTS!R202</f>
        <v>5</v>
      </c>
      <c r="X202">
        <f>[1]LISTADO_OTS!P202</f>
        <v>0</v>
      </c>
      <c r="Y202">
        <v>1</v>
      </c>
      <c r="Z202">
        <f>[1]LISTADO_OTS!S202</f>
        <v>0</v>
      </c>
    </row>
    <row r="203" spans="1:26" x14ac:dyDescent="0.4">
      <c r="A203">
        <v>202</v>
      </c>
      <c r="B203" t="str">
        <f>[1]LISTADO_OTS!E203</f>
        <v>TP/0076</v>
      </c>
      <c r="C203">
        <f>VLOOKUP([1]LISTADO_OTS!B203,[1]Redes!$C$1:$E$5,3,FALSE)</f>
        <v>3</v>
      </c>
      <c r="D203">
        <f>[1]LISTADO_OTS!C203</f>
        <v>2</v>
      </c>
      <c r="E203">
        <f>[1]LISTADO_OTS!D203</f>
        <v>8</v>
      </c>
      <c r="F203">
        <f>[1]LISTADO_OTS!Q203</f>
        <v>3</v>
      </c>
      <c r="G203">
        <f>[1]LISTADO_OTS!R203</f>
        <v>3</v>
      </c>
      <c r="H203" t="str">
        <f>[1]LISTADO_OTS!H203</f>
        <v>Instalación de contador en Agurain</v>
      </c>
      <c r="I203" t="str">
        <f>[1]LISTADO_OTS!I203</f>
        <v>Instalación de contador, estaba mal puesto</v>
      </c>
      <c r="J203" s="1">
        <f>[1]LISTADO_OTS!F203</f>
        <v>45895</v>
      </c>
      <c r="K203" s="1">
        <f>[1]LISTADO_OTS!G203</f>
        <v>45895</v>
      </c>
      <c r="L203">
        <f>[1]LISTADO_OTS!M203</f>
        <v>42.849944444444446</v>
      </c>
      <c r="M203">
        <f>[1]LISTADO_OTS!N203</f>
        <v>-2.4386388888888888</v>
      </c>
      <c r="U203" t="b">
        <f>[1]LISTADO_OTS!O203</f>
        <v>1</v>
      </c>
      <c r="V203" t="str">
        <f>[1]LISTADO_OTS!J203</f>
        <v>Agurain</v>
      </c>
      <c r="W203">
        <f>[1]LISTADO_OTS!R203</f>
        <v>3</v>
      </c>
      <c r="X203">
        <f>[1]LISTADO_OTS!P203</f>
        <v>0</v>
      </c>
      <c r="Y203">
        <v>1</v>
      </c>
      <c r="Z203">
        <f>[1]LISTADO_OTS!S203</f>
        <v>0</v>
      </c>
    </row>
    <row r="204" spans="1:26" x14ac:dyDescent="0.4">
      <c r="A204">
        <v>203</v>
      </c>
      <c r="B204" t="str">
        <f>[1]LISTADO_OTS!E204</f>
        <v>OT/0218</v>
      </c>
      <c r="C204">
        <f>VLOOKUP([1]LISTADO_OTS!B204,[1]Redes!$C$1:$E$5,3,FALSE)</f>
        <v>3</v>
      </c>
      <c r="D204">
        <f>[1]LISTADO_OTS!C204</f>
        <v>1</v>
      </c>
      <c r="E204">
        <f>[1]LISTADO_OTS!D204</f>
        <v>0</v>
      </c>
      <c r="F204">
        <f>[1]LISTADO_OTS!Q204</f>
        <v>1</v>
      </c>
      <c r="G204">
        <f>[1]LISTADO_OTS!R204</f>
        <v>1</v>
      </c>
      <c r="H204" t="str">
        <f>[1]LISTADO_OTS!H204</f>
        <v>Fuga de agua en Olabezar</v>
      </c>
      <c r="I204" t="str">
        <f>[1]LISTADO_OTS!I204</f>
        <v>Fuga de agua en Olabezar</v>
      </c>
      <c r="J204" s="1">
        <f>[1]LISTADO_OTS!F204</f>
        <v>45894</v>
      </c>
      <c r="K204" s="1">
        <f>[1]LISTADO_OTS!G204</f>
        <v>45894</v>
      </c>
      <c r="L204">
        <f>[1]LISTADO_OTS!M204</f>
        <v>43.068361111111116</v>
      </c>
      <c r="M204">
        <f>[1]LISTADO_OTS!N204</f>
        <v>-3.0555833333333333</v>
      </c>
      <c r="U204" t="b">
        <f>[1]LISTADO_OTS!O204</f>
        <v>1</v>
      </c>
      <c r="V204" t="str">
        <f>[1]LISTADO_OTS!J204</f>
        <v>Olabezar</v>
      </c>
      <c r="W204">
        <f>[1]LISTADO_OTS!R204</f>
        <v>1</v>
      </c>
      <c r="X204">
        <f>[1]LISTADO_OTS!P204</f>
        <v>0</v>
      </c>
      <c r="Y204">
        <v>1</v>
      </c>
      <c r="Z204">
        <f>[1]LISTADO_OTS!S204</f>
        <v>1</v>
      </c>
    </row>
    <row r="205" spans="1:26" x14ac:dyDescent="0.4">
      <c r="A205">
        <v>204</v>
      </c>
      <c r="B205" t="str">
        <f>[1]LISTADO_OTS!E205</f>
        <v>TP/0077</v>
      </c>
      <c r="C205">
        <f>VLOOKUP([1]LISTADO_OTS!B205,[1]Redes!$C$1:$E$5,3,FALSE)</f>
        <v>2</v>
      </c>
      <c r="D205">
        <f>[1]LISTADO_OTS!C205</f>
        <v>2</v>
      </c>
      <c r="E205">
        <f>[1]LISTADO_OTS!D205</f>
        <v>3</v>
      </c>
      <c r="F205">
        <f>[1]LISTADO_OTS!Q205</f>
        <v>1</v>
      </c>
      <c r="G205">
        <f>[1]LISTADO_OTS!R205</f>
        <v>1</v>
      </c>
      <c r="H205" t="str">
        <f>[1]LISTADO_OTS!H205</f>
        <v>Mantenimiento fosas sépticas de Artziniega y Llanteno</v>
      </c>
      <c r="I205" t="str">
        <f>[1]LISTADO_OTS!I205</f>
        <v>Mantenimiento fosas sépticas de Artziniega y Llanteno</v>
      </c>
      <c r="J205" s="1">
        <f>[1]LISTADO_OTS!F205</f>
        <v>45895</v>
      </c>
      <c r="K205" s="1">
        <f>[1]LISTADO_OTS!G205</f>
        <v>45895</v>
      </c>
      <c r="L205">
        <f>[1]LISTADO_OTS!M205</f>
        <v>43.121055555555557</v>
      </c>
      <c r="M205">
        <f>[1]LISTADO_OTS!N205</f>
        <v>-3.1725277777777778</v>
      </c>
      <c r="U205" t="b">
        <f>[1]LISTADO_OTS!O205</f>
        <v>1</v>
      </c>
      <c r="V205" t="str">
        <f>[1]LISTADO_OTS!J205</f>
        <v>Artziniega y Llanteno</v>
      </c>
      <c r="W205">
        <f>[1]LISTADO_OTS!R205</f>
        <v>1</v>
      </c>
      <c r="X205">
        <f>[1]LISTADO_OTS!P205</f>
        <v>0</v>
      </c>
      <c r="Y205">
        <v>1</v>
      </c>
      <c r="Z205">
        <f>[1]LISTADO_OTS!S205</f>
        <v>0</v>
      </c>
    </row>
    <row r="206" spans="1:26" x14ac:dyDescent="0.4">
      <c r="A206">
        <v>205</v>
      </c>
      <c r="B206" t="str">
        <f>[1]LISTADO_OTS!E206</f>
        <v>OT/0219</v>
      </c>
      <c r="C206">
        <f>VLOOKUP([1]LISTADO_OTS!B206,[1]Redes!$C$1:$E$5,3,FALSE)</f>
        <v>5</v>
      </c>
      <c r="D206">
        <f>[1]LISTADO_OTS!C206</f>
        <v>1</v>
      </c>
      <c r="E206">
        <f>[1]LISTADO_OTS!D206</f>
        <v>0</v>
      </c>
      <c r="F206">
        <f>[1]LISTADO_OTS!Q206</f>
        <v>1</v>
      </c>
      <c r="G206">
        <f>[1]LISTADO_OTS!R206</f>
        <v>3</v>
      </c>
      <c r="H206" t="str">
        <f>[1]LISTADO_OTS!H206</f>
        <v>Atasco en Llanteno Ureta</v>
      </c>
      <c r="I206" t="str">
        <f>[1]LISTADO_OTS!I206</f>
        <v>Atasco en Llanteno Ureta</v>
      </c>
      <c r="J206" s="1">
        <f>[1]LISTADO_OTS!F206</f>
        <v>45895</v>
      </c>
      <c r="K206" s="1">
        <f>[1]LISTADO_OTS!G206</f>
        <v>45895</v>
      </c>
      <c r="L206">
        <f>[1]LISTADO_OTS!M206</f>
        <v>43.109194444444448</v>
      </c>
      <c r="M206">
        <f>[1]LISTADO_OTS!N206</f>
        <v>-3.1394722222222224</v>
      </c>
      <c r="U206" t="b">
        <f>[1]LISTADO_OTS!O206</f>
        <v>1</v>
      </c>
      <c r="V206" t="str">
        <f>[1]LISTADO_OTS!J206</f>
        <v>Llanteno</v>
      </c>
      <c r="W206">
        <f>[1]LISTADO_OTS!R206</f>
        <v>3</v>
      </c>
      <c r="X206">
        <f>[1]LISTADO_OTS!P206</f>
        <v>0</v>
      </c>
      <c r="Y206">
        <v>1</v>
      </c>
      <c r="Z206">
        <f>[1]LISTADO_OTS!S206</f>
        <v>2</v>
      </c>
    </row>
    <row r="207" spans="1:26" x14ac:dyDescent="0.4">
      <c r="A207">
        <v>206</v>
      </c>
      <c r="B207" t="str">
        <f>[1]LISTADO_OTS!E207</f>
        <v>OT/0220</v>
      </c>
      <c r="C207">
        <f>VLOOKUP([1]LISTADO_OTS!B207,[1]Redes!$C$1:$E$5,3,FALSE)</f>
        <v>3</v>
      </c>
      <c r="D207">
        <f>[1]LISTADO_OTS!C207</f>
        <v>1</v>
      </c>
      <c r="E207">
        <f>[1]LISTADO_OTS!D207</f>
        <v>0</v>
      </c>
      <c r="F207">
        <f>[1]LISTADO_OTS!Q207</f>
        <v>1</v>
      </c>
      <c r="G207">
        <f>[1]LISTADO_OTS!R207</f>
        <v>1</v>
      </c>
      <c r="H207" t="str">
        <f>[1]LISTADO_OTS!H207</f>
        <v>Fuga de agua en Barretaguren, Artziniega</v>
      </c>
      <c r="I207" t="str">
        <f>[1]LISTADO_OTS!I207</f>
        <v>Reparación de la fuga de agua en Barretaguren, Artziniega</v>
      </c>
      <c r="J207" s="1">
        <f>[1]LISTADO_OTS!F207</f>
        <v>45895</v>
      </c>
      <c r="K207" s="1">
        <f>[1]LISTADO_OTS!G207</f>
        <v>45895</v>
      </c>
      <c r="L207">
        <f>[1]LISTADO_OTS!M207</f>
        <v>43.126361111111109</v>
      </c>
      <c r="M207">
        <f>[1]LISTADO_OTS!N207</f>
        <v>-3.1730833333333335</v>
      </c>
      <c r="U207" t="b">
        <f>[1]LISTADO_OTS!O207</f>
        <v>1</v>
      </c>
      <c r="V207" t="str">
        <f>[1]LISTADO_OTS!J207</f>
        <v>Artziniega</v>
      </c>
      <c r="W207">
        <f>[1]LISTADO_OTS!R207</f>
        <v>1</v>
      </c>
      <c r="X207">
        <f>[1]LISTADO_OTS!P207</f>
        <v>0</v>
      </c>
      <c r="Y207">
        <v>1</v>
      </c>
      <c r="Z207">
        <f>[1]LISTADO_OTS!S207</f>
        <v>1</v>
      </c>
    </row>
    <row r="208" spans="1:26" x14ac:dyDescent="0.4">
      <c r="A208">
        <v>207</v>
      </c>
      <c r="B208" t="str">
        <f>[1]LISTADO_OTS!E208</f>
        <v>TP/0078</v>
      </c>
      <c r="C208">
        <f>VLOOKUP([1]LISTADO_OTS!B208,[1]Redes!$C$1:$E$5,3,FALSE)</f>
        <v>2</v>
      </c>
      <c r="D208">
        <f>[1]LISTADO_OTS!C208</f>
        <v>2</v>
      </c>
      <c r="E208">
        <f>[1]LISTADO_OTS!D208</f>
        <v>3</v>
      </c>
      <c r="F208">
        <f>[1]LISTADO_OTS!Q208</f>
        <v>1</v>
      </c>
      <c r="G208">
        <f>[1]LISTADO_OTS!R208</f>
        <v>1</v>
      </c>
      <c r="H208" t="str">
        <f>[1]LISTADO_OTS!H208</f>
        <v>Limpieza de fosa séptica Larrinbe</v>
      </c>
      <c r="I208" t="str">
        <f>[1]LISTADO_OTS!I208</f>
        <v>Limpieza de fosa séptica Larrinbe</v>
      </c>
      <c r="J208" s="1">
        <f>[1]LISTADO_OTS!F208</f>
        <v>45896</v>
      </c>
      <c r="K208" s="1">
        <f>[1]LISTADO_OTS!G208</f>
        <v>45896</v>
      </c>
      <c r="L208">
        <f>[1]LISTADO_OTS!M208</f>
        <v>43.038083333333333</v>
      </c>
      <c r="M208">
        <f>[1]LISTADO_OTS!N208</f>
        <v>-3.0233611111111114</v>
      </c>
      <c r="U208" t="b">
        <f>[1]LISTADO_OTS!O208</f>
        <v>1</v>
      </c>
      <c r="V208" t="str">
        <f>[1]LISTADO_OTS!J208</f>
        <v>Larrinbe</v>
      </c>
      <c r="W208">
        <f>[1]LISTADO_OTS!R208</f>
        <v>1</v>
      </c>
      <c r="X208">
        <f>[1]LISTADO_OTS!P208</f>
        <v>0</v>
      </c>
      <c r="Y208">
        <v>1</v>
      </c>
      <c r="Z208">
        <f>[1]LISTADO_OTS!S208</f>
        <v>0</v>
      </c>
    </row>
    <row r="209" spans="1:26" x14ac:dyDescent="0.4">
      <c r="A209">
        <v>208</v>
      </c>
      <c r="B209" t="str">
        <f>[1]LISTADO_OTS!E209</f>
        <v>OT/0221</v>
      </c>
      <c r="C209">
        <f>VLOOKUP([1]LISTADO_OTS!B209,[1]Redes!$C$1:$E$5,3,FALSE)</f>
        <v>1</v>
      </c>
      <c r="D209">
        <f>[1]LISTADO_OTS!C209</f>
        <v>1</v>
      </c>
      <c r="E209">
        <f>[1]LISTADO_OTS!D209</f>
        <v>0</v>
      </c>
      <c r="F209">
        <f>[1]LISTADO_OTS!Q209</f>
        <v>1</v>
      </c>
      <c r="G209">
        <f>[1]LISTADO_OTS!R209</f>
        <v>1</v>
      </c>
      <c r="H209" t="str">
        <f>[1]LISTADO_OTS!H209</f>
        <v>Fuga de agua en Erbi</v>
      </c>
      <c r="I209" t="str">
        <f>[1]LISTADO_OTS!I209</f>
        <v>Reparación fuga de agua en Erbi</v>
      </c>
      <c r="J209" s="1">
        <f>[1]LISTADO_OTS!F209</f>
        <v>45896</v>
      </c>
      <c r="K209" s="1">
        <f>[1]LISTADO_OTS!G209</f>
        <v>45896</v>
      </c>
      <c r="L209">
        <f>[1]LISTADO_OTS!M209</f>
        <v>43.075055555555558</v>
      </c>
      <c r="M209">
        <f>[1]LISTADO_OTS!N209</f>
        <v>-3.1569722222222225</v>
      </c>
      <c r="U209" t="b">
        <f>[1]LISTADO_OTS!O209</f>
        <v>1</v>
      </c>
      <c r="V209" t="str">
        <f>[1]LISTADO_OTS!J209</f>
        <v>Erbi</v>
      </c>
      <c r="W209">
        <f>[1]LISTADO_OTS!R209</f>
        <v>1</v>
      </c>
      <c r="X209">
        <f>[1]LISTADO_OTS!P209</f>
        <v>0</v>
      </c>
      <c r="Y209">
        <v>1</v>
      </c>
      <c r="Z209">
        <f>[1]LISTADO_OTS!S209</f>
        <v>1</v>
      </c>
    </row>
    <row r="210" spans="1:26" x14ac:dyDescent="0.4">
      <c r="A210">
        <v>209</v>
      </c>
      <c r="B210" t="str">
        <f>[1]LISTADO_OTS!E210</f>
        <v>OT/0222</v>
      </c>
      <c r="C210">
        <f>VLOOKUP([1]LISTADO_OTS!B210,[1]Redes!$C$1:$E$5,3,FALSE)</f>
        <v>1</v>
      </c>
      <c r="D210">
        <f>[1]LISTADO_OTS!C210</f>
        <v>1</v>
      </c>
      <c r="E210">
        <f>[1]LISTADO_OTS!D210</f>
        <v>0</v>
      </c>
      <c r="F210">
        <f>[1]LISTADO_OTS!Q210</f>
        <v>1</v>
      </c>
      <c r="G210">
        <f>[1]LISTADO_OTS!R210</f>
        <v>1</v>
      </c>
      <c r="H210" t="str">
        <f>[1]LISTADO_OTS!H210</f>
        <v>Fuga de agua en Berganza</v>
      </c>
      <c r="I210" t="str">
        <f>[1]LISTADO_OTS!I210</f>
        <v>Fuga de agua en Berganza</v>
      </c>
      <c r="J210" s="1">
        <f>[1]LISTADO_OTS!F210</f>
        <v>45896</v>
      </c>
      <c r="K210" s="1">
        <f>[1]LISTADO_OTS!G210</f>
        <v>45896</v>
      </c>
      <c r="L210">
        <f>[1]LISTADO_OTS!M210</f>
        <v>0</v>
      </c>
      <c r="M210">
        <f>[1]LISTADO_OTS!N210</f>
        <v>0</v>
      </c>
      <c r="U210" t="b">
        <f>[1]LISTADO_OTS!O210</f>
        <v>1</v>
      </c>
      <c r="V210" t="str">
        <f>[1]LISTADO_OTS!J210</f>
        <v>Berganza-Baranbio</v>
      </c>
      <c r="W210">
        <f>[1]LISTADO_OTS!R210</f>
        <v>1</v>
      </c>
      <c r="X210">
        <f>[1]LISTADO_OTS!P210</f>
        <v>0</v>
      </c>
      <c r="Y210">
        <v>1</v>
      </c>
      <c r="Z210">
        <f>[1]LISTADO_OTS!S210</f>
        <v>1</v>
      </c>
    </row>
    <row r="211" spans="1:26" x14ac:dyDescent="0.4">
      <c r="A211">
        <v>210</v>
      </c>
      <c r="B211" t="str">
        <f>[1]LISTADO_OTS!E211</f>
        <v>TP/0079</v>
      </c>
      <c r="C211">
        <f>VLOOKUP([1]LISTADO_OTS!B211,[1]Redes!$C$1:$E$5,3,FALSE)</f>
        <v>2</v>
      </c>
      <c r="D211">
        <f>[1]LISTADO_OTS!C211</f>
        <v>2</v>
      </c>
      <c r="E211">
        <f>[1]LISTADO_OTS!D211</f>
        <v>3</v>
      </c>
      <c r="F211">
        <f>[1]LISTADO_OTS!Q211</f>
        <v>1</v>
      </c>
      <c r="G211">
        <f>[1]LISTADO_OTS!R211</f>
        <v>1</v>
      </c>
      <c r="H211" t="str">
        <f>[1]LISTADO_OTS!H211</f>
        <v>Mantenimiento de la fosa séptica Larrimbe</v>
      </c>
      <c r="I211" t="str">
        <f>[1]LISTADO_OTS!I211</f>
        <v>Limpieza de mantenimiento de la fosa séptica Larrinbe</v>
      </c>
      <c r="J211" s="1">
        <f>[1]LISTADO_OTS!F211</f>
        <v>45897</v>
      </c>
      <c r="K211" s="1">
        <f>[1]LISTADO_OTS!G211</f>
        <v>45897</v>
      </c>
      <c r="L211">
        <f>[1]LISTADO_OTS!M211</f>
        <v>43.03736111111111</v>
      </c>
      <c r="M211">
        <f>[1]LISTADO_OTS!N211</f>
        <v>-3.0241944444444444</v>
      </c>
      <c r="U211" t="b">
        <f>[1]LISTADO_OTS!O211</f>
        <v>1</v>
      </c>
      <c r="V211" t="str">
        <f>[1]LISTADO_OTS!J211</f>
        <v>Larrinbe</v>
      </c>
      <c r="W211">
        <f>[1]LISTADO_OTS!R211</f>
        <v>1</v>
      </c>
      <c r="X211">
        <f>[1]LISTADO_OTS!P211</f>
        <v>0</v>
      </c>
      <c r="Y211">
        <v>1</v>
      </c>
      <c r="Z211">
        <f>[1]LISTADO_OTS!S211</f>
        <v>0</v>
      </c>
    </row>
    <row r="212" spans="1:26" x14ac:dyDescent="0.4">
      <c r="A212">
        <v>211</v>
      </c>
      <c r="B212" t="str">
        <f>[1]LISTADO_OTS!E212</f>
        <v>OT/0223</v>
      </c>
      <c r="C212">
        <f>VLOOKUP([1]LISTADO_OTS!B212,[1]Redes!$C$1:$E$5,3,FALSE)</f>
        <v>5</v>
      </c>
      <c r="D212">
        <f>[1]LISTADO_OTS!C212</f>
        <v>1</v>
      </c>
      <c r="E212">
        <f>[1]LISTADO_OTS!D212</f>
        <v>0</v>
      </c>
      <c r="F212">
        <f>[1]LISTADO_OTS!Q212</f>
        <v>1</v>
      </c>
      <c r="G212">
        <f>[1]LISTADO_OTS!R212</f>
        <v>1</v>
      </c>
      <c r="H212" t="str">
        <f>[1]LISTADO_OTS!H212</f>
        <v>Desatasco en Amurrio</v>
      </c>
      <c r="I212" t="str">
        <f>[1]LISTADO_OTS!I212</f>
        <v>Desatasco en Amurrio Landaburu 30</v>
      </c>
      <c r="J212" s="1">
        <f>[1]LISTADO_OTS!F212</f>
        <v>45897</v>
      </c>
      <c r="K212" s="1">
        <f>[1]LISTADO_OTS!G212</f>
        <v>45897</v>
      </c>
      <c r="L212">
        <f>[1]LISTADO_OTS!M212</f>
        <v>43.061194444444439</v>
      </c>
      <c r="M212">
        <f>[1]LISTADO_OTS!N212</f>
        <v>-3.0411388888888888</v>
      </c>
      <c r="U212" t="b">
        <f>[1]LISTADO_OTS!O212</f>
        <v>1</v>
      </c>
      <c r="V212" t="str">
        <f>[1]LISTADO_OTS!J212</f>
        <v>Amurrio</v>
      </c>
      <c r="W212">
        <f>[1]LISTADO_OTS!R212</f>
        <v>1</v>
      </c>
      <c r="X212">
        <f>[1]LISTADO_OTS!P212</f>
        <v>0</v>
      </c>
      <c r="Y212">
        <v>1</v>
      </c>
      <c r="Z212">
        <f>[1]LISTADO_OTS!S212</f>
        <v>2</v>
      </c>
    </row>
    <row r="213" spans="1:26" x14ac:dyDescent="0.4">
      <c r="A213">
        <v>212</v>
      </c>
      <c r="B213" t="str">
        <f>[1]LISTADO_OTS!E213</f>
        <v>TP/0080</v>
      </c>
      <c r="C213">
        <f>VLOOKUP([1]LISTADO_OTS!B213,[1]Redes!$C$1:$E$5,3,FALSE)</f>
        <v>3</v>
      </c>
      <c r="D213">
        <f>[1]LISTADO_OTS!C213</f>
        <v>2</v>
      </c>
      <c r="E213">
        <f>[1]LISTADO_OTS!D213</f>
        <v>11</v>
      </c>
      <c r="F213">
        <f>[1]LISTADO_OTS!Q213</f>
        <v>1</v>
      </c>
      <c r="G213">
        <f>[1]LISTADO_OTS!R213</f>
        <v>1</v>
      </c>
      <c r="H213" t="str">
        <f>[1]LISTADO_OTS!H213</f>
        <v>Lectura de contadores en Aiala, Llodio y Agurain</v>
      </c>
      <c r="I213" t="str">
        <f>[1]LISTADO_OTS!I213</f>
        <v>Lectura de contadores en Aiala, Llodio y Agurain</v>
      </c>
      <c r="J213" s="1">
        <f>[1]LISTADO_OTS!F213</f>
        <v>45897</v>
      </c>
      <c r="K213" s="1">
        <f>[1]LISTADO_OTS!G213</f>
        <v>45897</v>
      </c>
      <c r="L213">
        <f>[1]LISTADO_OTS!M213</f>
        <v>43.14</v>
      </c>
      <c r="M213">
        <f>[1]LISTADO_OTS!N213</f>
        <v>-3.0080833333333334</v>
      </c>
      <c r="U213" t="b">
        <f>[1]LISTADO_OTS!O213</f>
        <v>1</v>
      </c>
      <c r="V213" t="str">
        <f>[1]LISTADO_OTS!J213</f>
        <v>Aiala,Llodio y Agurain</v>
      </c>
      <c r="W213">
        <f>[1]LISTADO_OTS!R213</f>
        <v>1</v>
      </c>
      <c r="X213">
        <f>[1]LISTADO_OTS!P213</f>
        <v>0</v>
      </c>
      <c r="Y213">
        <v>1</v>
      </c>
      <c r="Z213">
        <f>[1]LISTADO_OTS!S213</f>
        <v>0</v>
      </c>
    </row>
    <row r="214" spans="1:26" x14ac:dyDescent="0.4">
      <c r="A214">
        <v>213</v>
      </c>
      <c r="B214" t="str">
        <f>[1]LISTADO_OTS!E214</f>
        <v>TP/0081</v>
      </c>
      <c r="C214">
        <f>VLOOKUP([1]LISTADO_OTS!B214,[1]Redes!$C$1:$E$5,3,FALSE)</f>
        <v>5</v>
      </c>
      <c r="D214">
        <f>[1]LISTADO_OTS!C214</f>
        <v>2</v>
      </c>
      <c r="E214">
        <f>[1]LISTADO_OTS!D214</f>
        <v>1</v>
      </c>
      <c r="F214">
        <f>[1]LISTADO_OTS!Q214</f>
        <v>1</v>
      </c>
      <c r="G214">
        <f>[1]LISTADO_OTS!R214</f>
        <v>1</v>
      </c>
      <c r="H214" t="str">
        <f>[1]LISTADO_OTS!H214</f>
        <v>Mantenimiento preventivo saneamiento en San Jose en Amurrio</v>
      </c>
      <c r="I214" t="str">
        <f>[1]LISTADO_OTS!I214</f>
        <v>Limpieza del conector de mantenimiento preventivo de saneamiento de conector de San José kalea</v>
      </c>
      <c r="J214" s="1">
        <f>[1]LISTADO_OTS!F214</f>
        <v>45897</v>
      </c>
      <c r="K214" s="1">
        <f>[1]LISTADO_OTS!G214</f>
        <v>45897</v>
      </c>
      <c r="L214">
        <f>[1]LISTADO_OTS!M214</f>
        <v>43.060333333333332</v>
      </c>
      <c r="M214">
        <f>[1]LISTADO_OTS!N214</f>
        <v>-3.0416944444444445</v>
      </c>
      <c r="U214" t="b">
        <f>[1]LISTADO_OTS!O214</f>
        <v>1</v>
      </c>
      <c r="V214" t="str">
        <f>[1]LISTADO_OTS!J214</f>
        <v>San José Kalea</v>
      </c>
      <c r="W214">
        <f>[1]LISTADO_OTS!R214</f>
        <v>1</v>
      </c>
      <c r="X214">
        <f>[1]LISTADO_OTS!P214</f>
        <v>0</v>
      </c>
      <c r="Y214">
        <v>1</v>
      </c>
      <c r="Z214">
        <f>[1]LISTADO_OTS!S214</f>
        <v>0</v>
      </c>
    </row>
    <row r="215" spans="1:26" x14ac:dyDescent="0.4">
      <c r="A215">
        <v>214</v>
      </c>
      <c r="B215" t="str">
        <f>[1]LISTADO_OTS!E215</f>
        <v>OT/0224</v>
      </c>
      <c r="C215">
        <f>VLOOKUP([1]LISTADO_OTS!B215,[1]Redes!$C$1:$E$5,3,FALSE)</f>
        <v>3</v>
      </c>
      <c r="D215">
        <f>[1]LISTADO_OTS!C215</f>
        <v>1</v>
      </c>
      <c r="E215">
        <f>[1]LISTADO_OTS!D215</f>
        <v>0</v>
      </c>
      <c r="F215">
        <f>[1]LISTADO_OTS!Q215</f>
        <v>4</v>
      </c>
      <c r="G215">
        <f>[1]LISTADO_OTS!R215</f>
        <v>4</v>
      </c>
      <c r="H215" t="str">
        <f>[1]LISTADO_OTS!H215</f>
        <v>Fuga de agua en Luko</v>
      </c>
      <c r="I215" t="str">
        <f>[1]LISTADO_OTS!I215</f>
        <v>Reparación de fuga de agua en Luko</v>
      </c>
      <c r="J215" s="1">
        <f>[1]LISTADO_OTS!F215</f>
        <v>45897</v>
      </c>
      <c r="K215" s="1">
        <f>[1]LISTADO_OTS!G215</f>
        <v>45897</v>
      </c>
      <c r="L215">
        <f>[1]LISTADO_OTS!M215</f>
        <v>42.934555555555555</v>
      </c>
      <c r="M215">
        <f>[1]LISTADO_OTS!N215</f>
        <v>-2.6919722222222222</v>
      </c>
      <c r="U215" t="b">
        <f>[1]LISTADO_OTS!O215</f>
        <v>1</v>
      </c>
      <c r="V215" t="str">
        <f>[1]LISTADO_OTS!J215</f>
        <v>Luko</v>
      </c>
      <c r="W215">
        <f>[1]LISTADO_OTS!R215</f>
        <v>4</v>
      </c>
      <c r="X215">
        <f>[1]LISTADO_OTS!P215</f>
        <v>0</v>
      </c>
      <c r="Y215">
        <v>1</v>
      </c>
      <c r="Z215">
        <f>[1]LISTADO_OTS!S215</f>
        <v>1</v>
      </c>
    </row>
    <row r="216" spans="1:26" x14ac:dyDescent="0.4">
      <c r="A216">
        <v>215</v>
      </c>
      <c r="B216" t="str">
        <f>[1]LISTADO_OTS!E216</f>
        <v>TP/0082</v>
      </c>
      <c r="C216">
        <f>VLOOKUP([1]LISTADO_OTS!B216,[1]Redes!$C$1:$E$5,3,FALSE)</f>
        <v>1</v>
      </c>
      <c r="D216">
        <f>[1]LISTADO_OTS!C216</f>
        <v>2</v>
      </c>
      <c r="E216">
        <f>[1]LISTADO_OTS!D216</f>
        <v>2</v>
      </c>
      <c r="F216">
        <f>[1]LISTADO_OTS!Q216</f>
        <v>1</v>
      </c>
      <c r="G216">
        <f>[1]LISTADO_OTS!R216</f>
        <v>1</v>
      </c>
      <c r="H216" t="str">
        <f>[1]LISTADO_OTS!H216</f>
        <v>Limpieza de captaciones en  Artomaña, Delika, Katzabazo, Intxutaspe, Lejarzo y Añes</v>
      </c>
      <c r="I216" t="str">
        <f>[1]LISTADO_OTS!I216</f>
        <v>Limpieza de las captaciones Artomaña, Delika, Katzabazo, Intxutaspe, Lejarzo y Añes</v>
      </c>
      <c r="J216" s="1">
        <f>[1]LISTADO_OTS!F216</f>
        <v>45898</v>
      </c>
      <c r="K216" s="1">
        <f>[1]LISTADO_OTS!G216</f>
        <v>45898</v>
      </c>
      <c r="L216">
        <f>[1]LISTADO_OTS!M216</f>
        <v>42.984027777777776</v>
      </c>
      <c r="M216">
        <f>[1]LISTADO_OTS!N216</f>
        <v>-3.0255833333333335</v>
      </c>
      <c r="U216" t="b">
        <f>[1]LISTADO_OTS!O216</f>
        <v>1</v>
      </c>
      <c r="V216" t="str">
        <f>[1]LISTADO_OTS!J216</f>
        <v>AIARALDEA</v>
      </c>
      <c r="W216">
        <f>[1]LISTADO_OTS!R216</f>
        <v>1</v>
      </c>
      <c r="X216">
        <f>[1]LISTADO_OTS!P216</f>
        <v>0</v>
      </c>
      <c r="Y216">
        <v>1</v>
      </c>
      <c r="Z216">
        <f>[1]LISTADO_OTS!S216</f>
        <v>0</v>
      </c>
    </row>
    <row r="217" spans="1:26" x14ac:dyDescent="0.4">
      <c r="A217">
        <v>216</v>
      </c>
      <c r="B217" t="str">
        <f>[1]LISTADO_OTS!E217</f>
        <v>TP/0083</v>
      </c>
      <c r="C217">
        <f>VLOOKUP([1]LISTADO_OTS!B217,[1]Redes!$C$1:$E$5,3,FALSE)</f>
        <v>5</v>
      </c>
      <c r="D217">
        <f>[1]LISTADO_OTS!C217</f>
        <v>2</v>
      </c>
      <c r="E217">
        <f>[1]LISTADO_OTS!D217</f>
        <v>1</v>
      </c>
      <c r="F217">
        <f>[1]LISTADO_OTS!Q217</f>
        <v>1</v>
      </c>
      <c r="G217">
        <f>[1]LISTADO_OTS!R217</f>
        <v>1</v>
      </c>
      <c r="H217" t="str">
        <f>[1]LISTADO_OTS!H217</f>
        <v>Mantenimiento preventivo saneamiento en Artomaña</v>
      </c>
      <c r="I217" t="str">
        <f>[1]LISTADO_OTS!I217</f>
        <v>Mantenimiento preventivo saneamiento en Artomaña</v>
      </c>
      <c r="J217" s="1">
        <f>[1]LISTADO_OTS!F217</f>
        <v>45898</v>
      </c>
      <c r="K217" s="1">
        <f>[1]LISTADO_OTS!G217</f>
        <v>45898</v>
      </c>
      <c r="L217">
        <f>[1]LISTADO_OTS!M217</f>
        <v>42.983027777777778</v>
      </c>
      <c r="M217">
        <f>[1]LISTADO_OTS!N217</f>
        <v>-3.0258611111111113</v>
      </c>
      <c r="U217" t="b">
        <f>[1]LISTADO_OTS!O217</f>
        <v>1</v>
      </c>
      <c r="V217" t="str">
        <f>[1]LISTADO_OTS!J217</f>
        <v>Artomaña</v>
      </c>
      <c r="W217">
        <f>[1]LISTADO_OTS!R217</f>
        <v>1</v>
      </c>
      <c r="X217">
        <f>[1]LISTADO_OTS!P217</f>
        <v>0</v>
      </c>
      <c r="Y217">
        <v>1</v>
      </c>
      <c r="Z217">
        <f>[1]LISTADO_OTS!S217</f>
        <v>0</v>
      </c>
    </row>
    <row r="218" spans="1:26" x14ac:dyDescent="0.4">
      <c r="A218">
        <v>217</v>
      </c>
      <c r="B218" t="str">
        <f>[1]LISTADO_OTS!E218</f>
        <v>TP/0084</v>
      </c>
      <c r="C218">
        <f>VLOOKUP([1]LISTADO_OTS!B218,[1]Redes!$C$1:$E$5,3,FALSE)</f>
        <v>2</v>
      </c>
      <c r="D218">
        <f>[1]LISTADO_OTS!C218</f>
        <v>2</v>
      </c>
      <c r="E218">
        <f>[1]LISTADO_OTS!D218</f>
        <v>3</v>
      </c>
      <c r="F218">
        <f>[1]LISTADO_OTS!Q218</f>
        <v>1</v>
      </c>
      <c r="G218">
        <f>[1]LISTADO_OTS!R218</f>
        <v>1</v>
      </c>
      <c r="H218" t="str">
        <f>[1]LISTADO_OTS!H218</f>
        <v>Desbroce de fosas para limpieza en Zuaza, Respaldiza e Izoria</v>
      </c>
      <c r="I218" t="str">
        <f>[1]LISTADO_OTS!I218</f>
        <v>Desbroce de fosas para limpieza</v>
      </c>
      <c r="J218" s="1">
        <f>[1]LISTADO_OTS!F218</f>
        <v>45898</v>
      </c>
      <c r="K218" s="1">
        <f>[1]LISTADO_OTS!G218</f>
        <v>45898</v>
      </c>
      <c r="L218">
        <f>[1]LISTADO_OTS!M218</f>
        <v>43.099611111111116</v>
      </c>
      <c r="M218">
        <f>[1]LISTADO_OTS!N218</f>
        <v>-3.0928055555555556</v>
      </c>
      <c r="U218" t="b">
        <f>[1]LISTADO_OTS!O218</f>
        <v>1</v>
      </c>
      <c r="V218" t="str">
        <f>[1]LISTADO_OTS!J218</f>
        <v>Zuaza, Respaldiza e Izoria</v>
      </c>
      <c r="W218">
        <f>[1]LISTADO_OTS!R218</f>
        <v>1</v>
      </c>
      <c r="X218">
        <f>[1]LISTADO_OTS!P218</f>
        <v>0</v>
      </c>
      <c r="Y218">
        <v>1</v>
      </c>
      <c r="Z218">
        <f>[1]LISTADO_OTS!S218</f>
        <v>0</v>
      </c>
    </row>
    <row r="219" spans="1:26" x14ac:dyDescent="0.4">
      <c r="A219">
        <v>218</v>
      </c>
      <c r="B219" t="str">
        <f>[1]LISTADO_OTS!E219</f>
        <v>OT/0225</v>
      </c>
      <c r="C219">
        <f>VLOOKUP([1]LISTADO_OTS!B219,[1]Redes!$C$1:$E$5,3,FALSE)</f>
        <v>3</v>
      </c>
      <c r="D219">
        <f>[1]LISTADO_OTS!C219</f>
        <v>1</v>
      </c>
      <c r="E219">
        <f>[1]LISTADO_OTS!D219</f>
        <v>0</v>
      </c>
      <c r="F219">
        <f>[1]LISTADO_OTS!Q219</f>
        <v>5</v>
      </c>
      <c r="G219">
        <f>[1]LISTADO_OTS!R219</f>
        <v>5</v>
      </c>
      <c r="H219" t="str">
        <f>[1]LISTADO_OTS!H219</f>
        <v>Reparación de fuga de agua en Sobrón</v>
      </c>
      <c r="I219" t="str">
        <f>[1]LISTADO_OTS!I219</f>
        <v>Fuga de agua en Sobrón</v>
      </c>
      <c r="J219" s="1">
        <f>[1]LISTADO_OTS!F219</f>
        <v>45898</v>
      </c>
      <c r="K219" s="1">
        <f>[1]LISTADO_OTS!G219</f>
        <v>45898</v>
      </c>
      <c r="L219">
        <f>[1]LISTADO_OTS!M219</f>
        <v>42.762444444444448</v>
      </c>
      <c r="M219">
        <f>[1]LISTADO_OTS!N219</f>
        <v>-3.1264166666666671</v>
      </c>
      <c r="U219" t="b">
        <f>[1]LISTADO_OTS!O219</f>
        <v>1</v>
      </c>
      <c r="V219" t="str">
        <f>[1]LISTADO_OTS!J219</f>
        <v>Sobron-Lantaron</v>
      </c>
      <c r="W219">
        <f>[1]LISTADO_OTS!R219</f>
        <v>5</v>
      </c>
      <c r="X219">
        <f>[1]LISTADO_OTS!P219</f>
        <v>0</v>
      </c>
      <c r="Y219">
        <v>1</v>
      </c>
      <c r="Z219">
        <f>[1]LISTADO_OTS!S219</f>
        <v>1</v>
      </c>
    </row>
    <row r="220" spans="1:26" x14ac:dyDescent="0.4">
      <c r="A220">
        <v>219</v>
      </c>
      <c r="B220" t="str">
        <f>[1]LISTADO_OTS!E220</f>
        <v>GF/0001</v>
      </c>
      <c r="C220">
        <f>VLOOKUP([1]LISTADO_OTS!B220,[1]Redes!$C$1:$E$5,3,FALSE)</f>
        <v>4</v>
      </c>
      <c r="D220">
        <f>[1]LISTADO_OTS!C220</f>
        <v>3</v>
      </c>
      <c r="E220">
        <f>[1]LISTADO_OTS!D220</f>
        <v>0</v>
      </c>
      <c r="F220">
        <f>[1]LISTADO_OTS!Q220</f>
        <v>10</v>
      </c>
      <c r="G220">
        <f>[1]LISTADO_OTS!R220</f>
        <v>10</v>
      </c>
      <c r="H220" t="str">
        <f>[1]LISTADO_OTS!H220</f>
        <v>Gastos fijos de explotación totales</v>
      </c>
      <c r="I220" t="str">
        <f>[1]LISTADO_OTS!I220</f>
        <v>Gastos fijos de explotación totales</v>
      </c>
      <c r="J220" s="1">
        <f>[1]LISTADO_OTS!F220</f>
        <v>45900</v>
      </c>
      <c r="K220" s="1">
        <f>[1]LISTADO_OTS!G220</f>
        <v>45900</v>
      </c>
      <c r="L220">
        <f>[1]LISTADO_OTS!M220</f>
        <v>0</v>
      </c>
      <c r="M220">
        <f>[1]LISTADO_OTS!N220</f>
        <v>0</v>
      </c>
      <c r="U220" t="b">
        <f>[1]LISTADO_OTS!O220</f>
        <v>1</v>
      </c>
      <c r="V220">
        <f>[1]LISTADO_OTS!J220</f>
        <v>0</v>
      </c>
      <c r="W220">
        <f>[1]LISTADO_OTS!R220</f>
        <v>10</v>
      </c>
      <c r="X220">
        <f>[1]LISTADO_OTS!P220</f>
        <v>0</v>
      </c>
      <c r="Y220">
        <v>1</v>
      </c>
      <c r="Z220">
        <f>[1]LISTADO_OTS!S220</f>
        <v>0</v>
      </c>
    </row>
    <row r="221" spans="1:26" x14ac:dyDescent="0.4">
      <c r="A221">
        <v>220</v>
      </c>
      <c r="B221" t="str">
        <f>[1]LISTADO_OTS!E221</f>
        <v>TP/0085</v>
      </c>
      <c r="C221">
        <f>VLOOKUP([1]LISTADO_OTS!B221,[1]Redes!$C$1:$E$5,3,FALSE)</f>
        <v>3</v>
      </c>
      <c r="D221">
        <f>[1]LISTADO_OTS!C221</f>
        <v>2</v>
      </c>
      <c r="E221">
        <f>[1]LISTADO_OTS!D221</f>
        <v>14</v>
      </c>
      <c r="F221">
        <f>[1]LISTADO_OTS!Q221</f>
        <v>1</v>
      </c>
      <c r="G221">
        <f>[1]LISTADO_OTS!R221</f>
        <v>1</v>
      </c>
      <c r="H221" t="str">
        <f>[1]LISTADO_OTS!H221</f>
        <v>Revisión de válvulas acometidas para corte de agua en Larraño 11 (Llodio)</v>
      </c>
      <c r="I221" t="str">
        <f>[1]LISTADO_OTS!I221</f>
        <v>Revisión de válvulas acometidas para corte de agua en Larraño 11 (Llodio)</v>
      </c>
      <c r="J221" s="1">
        <f>[1]LISTADO_OTS!F221</f>
        <v>45891</v>
      </c>
      <c r="K221" s="1">
        <f>[1]LISTADO_OTS!G221</f>
        <v>45891</v>
      </c>
      <c r="L221">
        <f>[1]LISTADO_OTS!M221</f>
        <v>43.142700481161597</v>
      </c>
      <c r="M221">
        <f>[1]LISTADO_OTS!N221</f>
        <v>-2.9648323173108202</v>
      </c>
      <c r="U221" t="b">
        <f>[1]LISTADO_OTS!O221</f>
        <v>1</v>
      </c>
      <c r="V221" t="str">
        <f>[1]LISTADO_OTS!J221</f>
        <v>Llodio</v>
      </c>
      <c r="W221">
        <f>[1]LISTADO_OTS!R221</f>
        <v>1</v>
      </c>
      <c r="X221">
        <f>[1]LISTADO_OTS!P221</f>
        <v>0</v>
      </c>
      <c r="Y221">
        <v>1</v>
      </c>
      <c r="Z221">
        <f>[1]LISTADO_OTS!S221</f>
        <v>0</v>
      </c>
    </row>
    <row r="222" spans="1:26" x14ac:dyDescent="0.4">
      <c r="A222">
        <v>221</v>
      </c>
      <c r="B222" t="str">
        <f>[1]LISTADO_OTS!E222</f>
        <v>OT/0226</v>
      </c>
      <c r="C222">
        <f>VLOOKUP([1]LISTADO_OTS!B222,[1]Redes!$C$1:$E$5,3,FALSE)</f>
        <v>5</v>
      </c>
      <c r="D222">
        <f>[1]LISTADO_OTS!C222</f>
        <v>1</v>
      </c>
      <c r="E222">
        <f>[1]LISTADO_OTS!D222</f>
        <v>0</v>
      </c>
      <c r="F222">
        <f>[1]LISTADO_OTS!Q222</f>
        <v>1</v>
      </c>
      <c r="G222">
        <f>[1]LISTADO_OTS!R222</f>
        <v>4</v>
      </c>
      <c r="H222" t="str">
        <f>[1]LISTADO_OTS!H222</f>
        <v>Aviso por falta de tapa de arquetas saneamiento en colector Landaluze (Llodio)</v>
      </c>
      <c r="I222" t="str">
        <f>[1]LISTADO_OTS!I222</f>
        <v>Aviso de oficina por falta de tapas de saneamiento</v>
      </c>
      <c r="J222" s="1">
        <f>[1]LISTADO_OTS!F222</f>
        <v>45891</v>
      </c>
      <c r="K222" s="1">
        <f>[1]LISTADO_OTS!G222</f>
        <v>45891</v>
      </c>
      <c r="L222">
        <f>[1]LISTADO_OTS!M222</f>
        <v>43.141402999999997</v>
      </c>
      <c r="M222">
        <f>[1]LISTADO_OTS!N222</f>
        <v>-2.9718719999999998</v>
      </c>
      <c r="U222" t="b">
        <f>[1]LISTADO_OTS!O222</f>
        <v>1</v>
      </c>
      <c r="V222" t="str">
        <f>[1]LISTADO_OTS!J222</f>
        <v>Llodio</v>
      </c>
      <c r="W222">
        <f>[1]LISTADO_OTS!R222</f>
        <v>4</v>
      </c>
      <c r="X222">
        <f>[1]LISTADO_OTS!P222</f>
        <v>0</v>
      </c>
      <c r="Y222">
        <v>1</v>
      </c>
      <c r="Z222">
        <f>[1]LISTADO_OTS!S222</f>
        <v>3</v>
      </c>
    </row>
    <row r="223" spans="1:26" x14ac:dyDescent="0.4">
      <c r="A223">
        <v>222</v>
      </c>
      <c r="B223" t="str">
        <f>[1]LISTADO_OTS!E223</f>
        <v>TP/0086</v>
      </c>
      <c r="C223">
        <f>VLOOKUP([1]LISTADO_OTS!B223,[1]Redes!$C$1:$E$5,3,FALSE)</f>
        <v>3</v>
      </c>
      <c r="D223">
        <f>[1]LISTADO_OTS!C223</f>
        <v>2</v>
      </c>
      <c r="E223">
        <f>[1]LISTADO_OTS!D223</f>
        <v>8</v>
      </c>
      <c r="F223">
        <f>[1]LISTADO_OTS!Q223</f>
        <v>1</v>
      </c>
      <c r="G223">
        <f>[1]LISTADO_OTS!R223</f>
        <v>1</v>
      </c>
      <c r="H223" t="str">
        <f>[1]LISTADO_OTS!H223</f>
        <v>Instalación contador barracas - autos de choque (Llodio)</v>
      </c>
      <c r="I223" t="str">
        <f>[1]LISTADO_OTS!I223</f>
        <v>Instalación contador barracas - autos de choque (Llodio)</v>
      </c>
      <c r="J223" s="1">
        <f>[1]LISTADO_OTS!F223</f>
        <v>45891</v>
      </c>
      <c r="K223" s="1">
        <f>[1]LISTADO_OTS!G223</f>
        <v>45891</v>
      </c>
      <c r="L223">
        <f>[1]LISTADO_OTS!M223</f>
        <v>0</v>
      </c>
      <c r="M223">
        <f>[1]LISTADO_OTS!N223</f>
        <v>0</v>
      </c>
      <c r="U223" t="b">
        <f>[1]LISTADO_OTS!O223</f>
        <v>1</v>
      </c>
      <c r="V223" t="str">
        <f>[1]LISTADO_OTS!J223</f>
        <v>Llodio</v>
      </c>
      <c r="W223">
        <f>[1]LISTADO_OTS!R223</f>
        <v>1</v>
      </c>
      <c r="X223">
        <f>[1]LISTADO_OTS!P223</f>
        <v>0</v>
      </c>
      <c r="Y223">
        <v>1</v>
      </c>
      <c r="Z223">
        <f>[1]LISTADO_OTS!S223</f>
        <v>0</v>
      </c>
    </row>
    <row r="224" spans="1:26" x14ac:dyDescent="0.4">
      <c r="A224">
        <v>223</v>
      </c>
      <c r="B224" t="str">
        <f>[1]LISTADO_OTS!E224</f>
        <v>TP/0087</v>
      </c>
      <c r="C224">
        <f>VLOOKUP([1]LISTADO_OTS!B224,[1]Redes!$C$1:$E$5,3,FALSE)</f>
        <v>3</v>
      </c>
      <c r="D224">
        <f>[1]LISTADO_OTS!C224</f>
        <v>2</v>
      </c>
      <c r="E224">
        <f>[1]LISTADO_OTS!D224</f>
        <v>8</v>
      </c>
      <c r="F224">
        <f>[1]LISTADO_OTS!Q224</f>
        <v>1</v>
      </c>
      <c r="G224">
        <f>[1]LISTADO_OTS!R224</f>
        <v>1</v>
      </c>
      <c r="H224" t="str">
        <f>[1]LISTADO_OTS!H224</f>
        <v>Instalación contador churrería (Llodio)</v>
      </c>
      <c r="I224" t="str">
        <f>[1]LISTADO_OTS!I224</f>
        <v>Instalación contador churrería (Llodio)</v>
      </c>
      <c r="J224" s="1">
        <f>[1]LISTADO_OTS!F224</f>
        <v>45891</v>
      </c>
      <c r="K224" s="1">
        <f>[1]LISTADO_OTS!G224</f>
        <v>45891</v>
      </c>
      <c r="L224">
        <f>[1]LISTADO_OTS!M224</f>
        <v>0</v>
      </c>
      <c r="M224">
        <f>[1]LISTADO_OTS!N224</f>
        <v>0</v>
      </c>
      <c r="U224" t="b">
        <f>[1]LISTADO_OTS!O224</f>
        <v>1</v>
      </c>
      <c r="V224" t="str">
        <f>[1]LISTADO_OTS!J224</f>
        <v>Llodio</v>
      </c>
      <c r="W224">
        <f>[1]LISTADO_OTS!R224</f>
        <v>1</v>
      </c>
      <c r="X224">
        <f>[1]LISTADO_OTS!P224</f>
        <v>0</v>
      </c>
      <c r="Y224">
        <v>1</v>
      </c>
      <c r="Z224">
        <f>[1]LISTADO_OTS!S224</f>
        <v>0</v>
      </c>
    </row>
    <row r="225" spans="1:26" x14ac:dyDescent="0.4">
      <c r="A225">
        <v>224</v>
      </c>
      <c r="B225" t="str">
        <f>[1]LISTADO_OTS!E225</f>
        <v>TP/0088</v>
      </c>
      <c r="C225">
        <f>VLOOKUP([1]LISTADO_OTS!B225,[1]Redes!$C$1:$E$5,3,FALSE)</f>
        <v>3</v>
      </c>
      <c r="D225">
        <f>[1]LISTADO_OTS!C225</f>
        <v>2</v>
      </c>
      <c r="E225">
        <f>[1]LISTADO_OTS!D225</f>
        <v>10</v>
      </c>
      <c r="F225">
        <f>[1]LISTADO_OTS!Q225</f>
        <v>5</v>
      </c>
      <c r="G225">
        <f>[1]LISTADO_OTS!R225</f>
        <v>5</v>
      </c>
      <c r="H225" t="str">
        <f>[1]LISTADO_OTS!H225</f>
        <v>Sustitución de contador en Rivabellosa</v>
      </c>
      <c r="I225" t="str">
        <f>[1]LISTADO_OTS!I225</f>
        <v>Sustitución de contador en Ribabellosa</v>
      </c>
      <c r="J225" s="1">
        <f>[1]LISTADO_OTS!F225</f>
        <v>45898</v>
      </c>
      <c r="K225" s="1">
        <f>[1]LISTADO_OTS!G225</f>
        <v>45898</v>
      </c>
      <c r="L225">
        <f>[1]LISTADO_OTS!M225</f>
        <v>0</v>
      </c>
      <c r="M225">
        <f>[1]LISTADO_OTS!N225</f>
        <v>0</v>
      </c>
      <c r="U225" t="b">
        <f>[1]LISTADO_OTS!O225</f>
        <v>1</v>
      </c>
      <c r="V225" t="str">
        <f>[1]LISTADO_OTS!J225</f>
        <v>Ribabellosa</v>
      </c>
      <c r="W225">
        <f>[1]LISTADO_OTS!R225</f>
        <v>5</v>
      </c>
      <c r="X225">
        <f>[1]LISTADO_OTS!P225</f>
        <v>0</v>
      </c>
      <c r="Y225">
        <v>1</v>
      </c>
      <c r="Z225">
        <f>[1]LISTADO_OTS!S225</f>
        <v>0</v>
      </c>
    </row>
    <row r="226" spans="1:26" x14ac:dyDescent="0.4">
      <c r="A226">
        <v>225</v>
      </c>
      <c r="B226" t="str">
        <f>[1]LISTADO_OTS!E226</f>
        <v>TP/0089</v>
      </c>
      <c r="C226">
        <f>VLOOKUP([1]LISTADO_OTS!B226,[1]Redes!$C$1:$E$5,3,FALSE)</f>
        <v>3</v>
      </c>
      <c r="D226">
        <f>[1]LISTADO_OTS!C226</f>
        <v>2</v>
      </c>
      <c r="E226">
        <f>[1]LISTADO_OTS!D226</f>
        <v>10</v>
      </c>
      <c r="F226">
        <f>[1]LISTADO_OTS!Q226</f>
        <v>6</v>
      </c>
      <c r="G226">
        <f>[1]LISTADO_OTS!R226</f>
        <v>6</v>
      </c>
      <c r="H226" t="str">
        <f>[1]LISTADO_OTS!H226</f>
        <v>Sustitución de contador en Sabando</v>
      </c>
      <c r="I226" t="str">
        <f>[1]LISTADO_OTS!I226</f>
        <v>Sustitución de contador en Sabando</v>
      </c>
      <c r="J226" s="1">
        <f>[1]LISTADO_OTS!F226</f>
        <v>45898</v>
      </c>
      <c r="K226" s="1">
        <f>[1]LISTADO_OTS!G226</f>
        <v>45898</v>
      </c>
      <c r="L226">
        <f>[1]LISTADO_OTS!M226</f>
        <v>0</v>
      </c>
      <c r="M226">
        <f>[1]LISTADO_OTS!N226</f>
        <v>0</v>
      </c>
      <c r="U226" t="b">
        <f>[1]LISTADO_OTS!O226</f>
        <v>1</v>
      </c>
      <c r="V226" t="str">
        <f>[1]LISTADO_OTS!J226</f>
        <v>Sabando</v>
      </c>
      <c r="W226">
        <f>[1]LISTADO_OTS!R226</f>
        <v>6</v>
      </c>
      <c r="X226">
        <f>[1]LISTADO_OTS!P226</f>
        <v>0</v>
      </c>
      <c r="Y226">
        <v>1</v>
      </c>
      <c r="Z226">
        <f>[1]LISTADO_OTS!S226</f>
        <v>0</v>
      </c>
    </row>
    <row r="227" spans="1:26" x14ac:dyDescent="0.4">
      <c r="A227">
        <v>226</v>
      </c>
      <c r="B227" t="str">
        <f>[1]LISTADO_OTS!E227</f>
        <v>TP/0090</v>
      </c>
      <c r="C227">
        <f>VLOOKUP([1]LISTADO_OTS!B227,[1]Redes!$C$1:$E$5,3,FALSE)</f>
        <v>3</v>
      </c>
      <c r="D227">
        <f>[1]LISTADO_OTS!C227</f>
        <v>2</v>
      </c>
      <c r="E227">
        <f>[1]LISTADO_OTS!D227</f>
        <v>8</v>
      </c>
      <c r="F227">
        <f>[1]LISTADO_OTS!Q227</f>
        <v>3</v>
      </c>
      <c r="G227">
        <f>[1]LISTADO_OTS!R227</f>
        <v>3</v>
      </c>
      <c r="H227" t="str">
        <f>[1]LISTADO_OTS!H227</f>
        <v>Instalación de contador en Agurain</v>
      </c>
      <c r="I227" t="str">
        <f>[1]LISTADO_OTS!I227</f>
        <v>Instalación de contador en Agurain</v>
      </c>
      <c r="J227" s="1">
        <f>[1]LISTADO_OTS!F227</f>
        <v>45898</v>
      </c>
      <c r="K227" s="1">
        <f>[1]LISTADO_OTS!G227</f>
        <v>45898</v>
      </c>
      <c r="L227">
        <f>[1]LISTADO_OTS!M227</f>
        <v>0</v>
      </c>
      <c r="M227">
        <f>[1]LISTADO_OTS!N227</f>
        <v>0</v>
      </c>
      <c r="U227" t="b">
        <f>[1]LISTADO_OTS!O227</f>
        <v>1</v>
      </c>
      <c r="V227" t="str">
        <f>[1]LISTADO_OTS!J227</f>
        <v>Agurain</v>
      </c>
      <c r="W227">
        <f>[1]LISTADO_OTS!R227</f>
        <v>3</v>
      </c>
      <c r="X227">
        <f>[1]LISTADO_OTS!P227</f>
        <v>0</v>
      </c>
      <c r="Y227">
        <v>1</v>
      </c>
      <c r="Z227">
        <f>[1]LISTADO_OTS!S227</f>
        <v>0</v>
      </c>
    </row>
    <row r="228" spans="1:26" x14ac:dyDescent="0.4">
      <c r="A228">
        <v>227</v>
      </c>
      <c r="B228" t="str">
        <f>[1]LISTADO_OTS!E228</f>
        <v>OT/0227</v>
      </c>
      <c r="C228">
        <f>VLOOKUP([1]LISTADO_OTS!B228,[1]Redes!$C$1:$E$5,3,FALSE)</f>
        <v>3</v>
      </c>
      <c r="D228">
        <f>[1]LISTADO_OTS!C228</f>
        <v>1</v>
      </c>
      <c r="E228">
        <f>[1]LISTADO_OTS!D228</f>
        <v>0</v>
      </c>
      <c r="F228">
        <f>[1]LISTADO_OTS!Q228</f>
        <v>1</v>
      </c>
      <c r="G228">
        <f>[1]LISTADO_OTS!R228</f>
        <v>1</v>
      </c>
      <c r="H228" t="str">
        <f>[1]LISTADO_OTS!H228</f>
        <v>Reparación de fuga en Luja (Llodio)</v>
      </c>
      <c r="I228" t="str">
        <f>[1]LISTADO_OTS!I228</f>
        <v>Reparación de fuga en Luja</v>
      </c>
      <c r="J228" s="1">
        <f>[1]LISTADO_OTS!F228</f>
        <v>45899</v>
      </c>
      <c r="K228" s="1">
        <f>[1]LISTADO_OTS!G228</f>
        <v>45899</v>
      </c>
      <c r="L228">
        <f>[1]LISTADO_OTS!M228</f>
        <v>0</v>
      </c>
      <c r="M228">
        <f>[1]LISTADO_OTS!N228</f>
        <v>0</v>
      </c>
      <c r="U228" t="b">
        <f>[1]LISTADO_OTS!O228</f>
        <v>1</v>
      </c>
      <c r="V228" t="str">
        <f>[1]LISTADO_OTS!J228</f>
        <v>Llodio</v>
      </c>
      <c r="W228">
        <f>[1]LISTADO_OTS!R228</f>
        <v>1</v>
      </c>
      <c r="X228">
        <f>[1]LISTADO_OTS!P228</f>
        <v>0</v>
      </c>
      <c r="Y228">
        <v>1</v>
      </c>
      <c r="Z228">
        <f>[1]LISTADO_OTS!S228</f>
        <v>1</v>
      </c>
    </row>
    <row r="229" spans="1:26" x14ac:dyDescent="0.4">
      <c r="A229">
        <v>228</v>
      </c>
      <c r="B229" t="str">
        <f>[1]LISTADO_OTS!E229</f>
        <v>OT/0228</v>
      </c>
      <c r="C229">
        <f>VLOOKUP([1]LISTADO_OTS!B229,[1]Redes!$C$1:$E$5,3,FALSE)</f>
        <v>5</v>
      </c>
      <c r="D229">
        <f>[1]LISTADO_OTS!C229</f>
        <v>1</v>
      </c>
      <c r="E229">
        <f>[1]LISTADO_OTS!D229</f>
        <v>0</v>
      </c>
      <c r="F229">
        <f>[1]LISTADO_OTS!Q229</f>
        <v>3</v>
      </c>
      <c r="G229">
        <f>[1]LISTADO_OTS!R229</f>
        <v>26</v>
      </c>
      <c r="H229" t="str">
        <f>[1]LISTADO_OTS!H229</f>
        <v>Atasco de saneamiento en Calle Carnicerías (Agurain)</v>
      </c>
      <c r="I229" t="str">
        <f>[1]LISTADO_OTS!I229</f>
        <v>Atasco de saneamiento</v>
      </c>
      <c r="J229" s="1">
        <f>[1]LISTADO_OTS!F229</f>
        <v>45899</v>
      </c>
      <c r="K229" s="1">
        <f>[1]LISTADO_OTS!G229</f>
        <v>45899</v>
      </c>
      <c r="L229">
        <f>[1]LISTADO_OTS!M229</f>
        <v>0</v>
      </c>
      <c r="M229">
        <f>[1]LISTADO_OTS!N229</f>
        <v>0</v>
      </c>
      <c r="U229" t="b">
        <f>[1]LISTADO_OTS!O229</f>
        <v>1</v>
      </c>
      <c r="V229" t="str">
        <f>[1]LISTADO_OTS!J229</f>
        <v>Agurain</v>
      </c>
      <c r="W229">
        <f>[1]LISTADO_OTS!R229</f>
        <v>26</v>
      </c>
      <c r="X229">
        <f>[1]LISTADO_OTS!P229</f>
        <v>0</v>
      </c>
      <c r="Y229">
        <v>1</v>
      </c>
      <c r="Z229">
        <f>[1]LISTADO_OTS!S229</f>
        <v>2</v>
      </c>
    </row>
    <row r="230" spans="1:26" x14ac:dyDescent="0.4">
      <c r="A230">
        <v>229</v>
      </c>
      <c r="B230" t="str">
        <f>[1]LISTADO_OTS!E230</f>
        <v>OT/0229</v>
      </c>
      <c r="C230">
        <f>VLOOKUP([1]LISTADO_OTS!B230,[1]Redes!$C$1:$E$5,3,FALSE)</f>
        <v>3</v>
      </c>
      <c r="D230">
        <f>[1]LISTADO_OTS!C230</f>
        <v>1</v>
      </c>
      <c r="E230">
        <f>[1]LISTADO_OTS!D230</f>
        <v>0</v>
      </c>
      <c r="F230">
        <f>[1]LISTADO_OTS!Q230</f>
        <v>5</v>
      </c>
      <c r="G230">
        <f>[1]LISTADO_OTS!R230</f>
        <v>5</v>
      </c>
      <c r="H230" t="str">
        <f>[1]LISTADO_OTS!H230</f>
        <v>Reparación de fuga en Calle Los Olmos (Rivabellosa)</v>
      </c>
      <c r="I230" t="str">
        <f>[1]LISTADO_OTS!I230</f>
        <v>Reparación de fuga</v>
      </c>
      <c r="J230" s="1">
        <f>[1]LISTADO_OTS!F230</f>
        <v>45899</v>
      </c>
      <c r="K230" s="1">
        <f>[1]LISTADO_OTS!G230</f>
        <v>45899</v>
      </c>
      <c r="L230">
        <f>[1]LISTADO_OTS!M230</f>
        <v>0</v>
      </c>
      <c r="M230">
        <f>[1]LISTADO_OTS!N230</f>
        <v>0</v>
      </c>
      <c r="U230" t="b">
        <f>[1]LISTADO_OTS!O230</f>
        <v>1</v>
      </c>
      <c r="V230" t="str">
        <f>[1]LISTADO_OTS!J230</f>
        <v>Ribabellosa-Rivera Alta</v>
      </c>
      <c r="W230">
        <f>[1]LISTADO_OTS!R230</f>
        <v>5</v>
      </c>
      <c r="X230">
        <f>[1]LISTADO_OTS!P230</f>
        <v>0</v>
      </c>
      <c r="Y230">
        <v>1</v>
      </c>
      <c r="Z230">
        <f>[1]LISTADO_OTS!S230</f>
        <v>1</v>
      </c>
    </row>
    <row r="231" spans="1:26" x14ac:dyDescent="0.4">
      <c r="A231">
        <v>230</v>
      </c>
      <c r="B231" t="str">
        <f>[1]LISTADO_OTS!E231</f>
        <v>OT/0230</v>
      </c>
      <c r="C231">
        <f>VLOOKUP([1]LISTADO_OTS!B231,[1]Redes!$C$1:$E$5,3,FALSE)</f>
        <v>3</v>
      </c>
      <c r="D231">
        <f>[1]LISTADO_OTS!C231</f>
        <v>1</v>
      </c>
      <c r="E231">
        <f>[1]LISTADO_OTS!D231</f>
        <v>0</v>
      </c>
      <c r="F231">
        <f>[1]LISTADO_OTS!Q231</f>
        <v>1</v>
      </c>
      <c r="G231">
        <f>[1]LISTADO_OTS!R231</f>
        <v>1</v>
      </c>
      <c r="H231" t="str">
        <f>[1]LISTADO_OTS!H231</f>
        <v>Aviso de fuga en Pozoportillo (Ozeka)</v>
      </c>
      <c r="I231" t="str">
        <f>[1]LISTADO_OTS!I231</f>
        <v>Acudir al aviso a ver</v>
      </c>
      <c r="J231" s="1">
        <f>[1]LISTADO_OTS!F231</f>
        <v>45900</v>
      </c>
      <c r="K231" s="1">
        <f>[1]LISTADO_OTS!G231</f>
        <v>45900</v>
      </c>
      <c r="L231">
        <f>[1]LISTADO_OTS!M231</f>
        <v>0</v>
      </c>
      <c r="M231">
        <f>[1]LISTADO_OTS!N231</f>
        <v>0</v>
      </c>
      <c r="U231" t="b">
        <f>[1]LISTADO_OTS!O231</f>
        <v>1</v>
      </c>
      <c r="V231" t="str">
        <f>[1]LISTADO_OTS!J231</f>
        <v>Ozeka</v>
      </c>
      <c r="W231">
        <f>[1]LISTADO_OTS!R231</f>
        <v>1</v>
      </c>
      <c r="X231">
        <f>[1]LISTADO_OTS!P231</f>
        <v>0</v>
      </c>
      <c r="Y231">
        <v>1</v>
      </c>
      <c r="Z231">
        <f>[1]LISTADO_OTS!S231</f>
        <v>1</v>
      </c>
    </row>
    <row r="232" spans="1:26" x14ac:dyDescent="0.4">
      <c r="A232">
        <v>231</v>
      </c>
      <c r="B232" t="str">
        <f>[1]LISTADO_OTS!E232</f>
        <v>OT/0231</v>
      </c>
      <c r="C232">
        <f>VLOOKUP([1]LISTADO_OTS!B232,[1]Redes!$C$1:$E$5,3,FALSE)</f>
        <v>5</v>
      </c>
      <c r="D232">
        <f>[1]LISTADO_OTS!C232</f>
        <v>1</v>
      </c>
      <c r="E232">
        <f>[1]LISTADO_OTS!D232</f>
        <v>0</v>
      </c>
      <c r="F232">
        <f>[1]LISTADO_OTS!Q232</f>
        <v>1</v>
      </c>
      <c r="G232">
        <f>[1]LISTADO_OTS!R232</f>
        <v>1</v>
      </c>
      <c r="H232" t="str">
        <f>[1]LISTADO_OTS!H232</f>
        <v>Atasco de saneamiento en La Estación (Amurrio)</v>
      </c>
      <c r="I232" t="str">
        <f>[1]LISTADO_OTS!I232</f>
        <v>Atasci de Saneamiento</v>
      </c>
      <c r="J232" s="1">
        <f>[1]LISTADO_OTS!F232</f>
        <v>45900</v>
      </c>
      <c r="K232" s="1">
        <f>[1]LISTADO_OTS!G232</f>
        <v>45900</v>
      </c>
      <c r="L232">
        <f>[1]LISTADO_OTS!M232</f>
        <v>0</v>
      </c>
      <c r="M232">
        <f>[1]LISTADO_OTS!N232</f>
        <v>0</v>
      </c>
      <c r="U232" t="b">
        <f>[1]LISTADO_OTS!O232</f>
        <v>1</v>
      </c>
      <c r="V232" t="str">
        <f>[1]LISTADO_OTS!J232</f>
        <v>Amurrio</v>
      </c>
      <c r="W232">
        <f>[1]LISTADO_OTS!R232</f>
        <v>1</v>
      </c>
      <c r="X232">
        <f>[1]LISTADO_OTS!P232</f>
        <v>0</v>
      </c>
      <c r="Y232">
        <v>1</v>
      </c>
      <c r="Z232">
        <f>[1]LISTADO_OTS!S232</f>
        <v>2</v>
      </c>
    </row>
    <row r="233" spans="1:26" x14ac:dyDescent="0.4">
      <c r="A233">
        <v>232</v>
      </c>
      <c r="B233" t="str">
        <f>[1]LISTADO_OTS!E233</f>
        <v>GF/0002</v>
      </c>
      <c r="C233">
        <f>VLOOKUP([1]LISTADO_OTS!B233,[1]Redes!$C$1:$E$5,3,FALSE)</f>
        <v>4</v>
      </c>
      <c r="D233">
        <f>[1]LISTADO_OTS!C233</f>
        <v>3</v>
      </c>
      <c r="E233">
        <f>[1]LISTADO_OTS!D233</f>
        <v>0</v>
      </c>
      <c r="F233">
        <f>[1]LISTADO_OTS!Q233</f>
        <v>10</v>
      </c>
      <c r="G233">
        <f>[1]LISTADO_OTS!R233</f>
        <v>10</v>
      </c>
      <c r="H233" t="str">
        <f>[1]LISTADO_OTS!H233</f>
        <v>Gestión documental del contrato</v>
      </c>
      <c r="I233" t="str">
        <f>[1]LISTADO_OTS!I233</f>
        <v>Gestión documental del contrato</v>
      </c>
      <c r="J233" s="1">
        <f>[1]LISTADO_OTS!F233</f>
        <v>45900</v>
      </c>
      <c r="K233" s="1">
        <f>[1]LISTADO_OTS!G233</f>
        <v>45900</v>
      </c>
      <c r="L233">
        <f>[1]LISTADO_OTS!M233</f>
        <v>0</v>
      </c>
      <c r="M233">
        <f>[1]LISTADO_OTS!N233</f>
        <v>0</v>
      </c>
      <c r="U233" t="b">
        <f>[1]LISTADO_OTS!O233</f>
        <v>1</v>
      </c>
      <c r="V233">
        <f>[1]LISTADO_OTS!J233</f>
        <v>0</v>
      </c>
      <c r="W233">
        <f>[1]LISTADO_OTS!R233</f>
        <v>10</v>
      </c>
      <c r="X233" t="str">
        <f>[1]LISTADO_OTS!P233</f>
        <v>ELENA</v>
      </c>
      <c r="Y233">
        <v>1</v>
      </c>
      <c r="Z233">
        <f>[1]LISTADO_OTS!S233</f>
        <v>0</v>
      </c>
    </row>
    <row r="234" spans="1:26" x14ac:dyDescent="0.4">
      <c r="A234">
        <v>233</v>
      </c>
      <c r="B234" t="str">
        <f>[1]LISTADO_OTS!E234</f>
        <v>TP/0091</v>
      </c>
      <c r="C234">
        <f>VLOOKUP([1]LISTADO_OTS!B234,[1]Redes!$C$1:$E$5,3,FALSE)</f>
        <v>5</v>
      </c>
      <c r="D234">
        <f>[1]LISTADO_OTS!C234</f>
        <v>2</v>
      </c>
      <c r="E234">
        <f>[1]LISTADO_OTS!D234</f>
        <v>5</v>
      </c>
      <c r="F234">
        <f>[1]LISTADO_OTS!Q234</f>
        <v>6</v>
      </c>
      <c r="G234">
        <f>[1]LISTADO_OTS!R234</f>
        <v>46</v>
      </c>
      <c r="H234" t="str">
        <f>[1]LISTADO_OTS!H234</f>
        <v>Inventario y digitalización redes saneamiento en Maeztu y Artziniega</v>
      </c>
      <c r="I234" t="str">
        <f>[1]LISTADO_OTS!I234</f>
        <v>Maeztu y Artziniega</v>
      </c>
      <c r="J234" s="1">
        <f>[1]LISTADO_OTS!F234</f>
        <v>45900</v>
      </c>
      <c r="K234" s="1">
        <f>[1]LISTADO_OTS!G234</f>
        <v>45900</v>
      </c>
      <c r="L234">
        <f>[1]LISTADO_OTS!M234</f>
        <v>0</v>
      </c>
      <c r="M234">
        <f>[1]LISTADO_OTS!N234</f>
        <v>0</v>
      </c>
      <c r="U234" t="b">
        <f>[1]LISTADO_OTS!O234</f>
        <v>1</v>
      </c>
      <c r="V234" t="str">
        <f>[1]LISTADO_OTS!J234</f>
        <v>Maeztu-Arraia/Maeztu</v>
      </c>
      <c r="W234">
        <f>[1]LISTADO_OTS!R234</f>
        <v>46</v>
      </c>
      <c r="X234">
        <f>[1]LISTADO_OTS!P234</f>
        <v>0</v>
      </c>
      <c r="Y234">
        <v>1</v>
      </c>
      <c r="Z234">
        <f>[1]LISTADO_OTS!S234</f>
        <v>0</v>
      </c>
    </row>
    <row r="235" spans="1:26" x14ac:dyDescent="0.4">
      <c r="A235">
        <v>234</v>
      </c>
      <c r="B235" t="str">
        <f>[1]LISTADO_OTS!E235</f>
        <v>OT/0232</v>
      </c>
      <c r="C235">
        <f>VLOOKUP([1]LISTADO_OTS!B235,[1]Redes!$C$1:$E$5,3,FALSE)</f>
        <v>3</v>
      </c>
      <c r="D235">
        <f>[1]LISTADO_OTS!C235</f>
        <v>1</v>
      </c>
      <c r="E235">
        <f>[1]LISTADO_OTS!D235</f>
        <v>0</v>
      </c>
      <c r="F235">
        <f>[1]LISTADO_OTS!Q235</f>
        <v>1</v>
      </c>
      <c r="G235">
        <f>[1]LISTADO_OTS!R235</f>
        <v>1</v>
      </c>
      <c r="H235" t="str">
        <f>[1]LISTADO_OTS!H235</f>
        <v>Aviso de fuga en Larraño y parque lamuza (Llodio)</v>
      </c>
      <c r="I235" t="str">
        <f>[1]LISTADO_OTS!I235</f>
        <v>Aviso de por fuga en bajada de Luja y aviso de fuente fugando en parque Lamuza. Se cierra acometida de la fuente.</v>
      </c>
      <c r="J235" s="1">
        <f>[1]LISTADO_OTS!F235</f>
        <v>45899</v>
      </c>
      <c r="K235" s="1">
        <f>[1]LISTADO_OTS!G235</f>
        <v>45899</v>
      </c>
      <c r="L235">
        <f>[1]LISTADO_OTS!M235</f>
        <v>0</v>
      </c>
      <c r="M235">
        <f>[1]LISTADO_OTS!N235</f>
        <v>0</v>
      </c>
      <c r="U235" t="b">
        <f>[1]LISTADO_OTS!O235</f>
        <v>1</v>
      </c>
      <c r="V235" t="str">
        <f>[1]LISTADO_OTS!J235</f>
        <v>Llodio</v>
      </c>
      <c r="W235">
        <f>[1]LISTADO_OTS!R235</f>
        <v>1</v>
      </c>
      <c r="X235">
        <f>[1]LISTADO_OTS!P235</f>
        <v>0</v>
      </c>
      <c r="Y235">
        <v>1</v>
      </c>
      <c r="Z235">
        <f>[1]LISTADO_OTS!S235</f>
        <v>1</v>
      </c>
    </row>
    <row r="236" spans="1:26" x14ac:dyDescent="0.4">
      <c r="A236">
        <v>235</v>
      </c>
      <c r="B236" t="str">
        <f>[1]LISTADO_OTS!E236</f>
        <v>OT/0233</v>
      </c>
      <c r="C236">
        <f>VLOOKUP([1]LISTADO_OTS!B236,[1]Redes!$C$1:$E$5,3,FALSE)</f>
        <v>3</v>
      </c>
      <c r="D236">
        <f>[1]LISTADO_OTS!C236</f>
        <v>1</v>
      </c>
      <c r="E236">
        <f>[1]LISTADO_OTS!D236</f>
        <v>0</v>
      </c>
      <c r="F236">
        <f>[1]LISTADO_OTS!Q236</f>
        <v>1</v>
      </c>
      <c r="G236">
        <f>[1]LISTADO_OTS!R236</f>
        <v>1</v>
      </c>
      <c r="H236" t="str">
        <f>[1]LISTADO_OTS!H236</f>
        <v>Reparación de fuga en Luja (Llodio)</v>
      </c>
      <c r="I236" t="str">
        <f>[1]LISTADO_OTS!I236</f>
        <v>Reparación de fuga</v>
      </c>
      <c r="J236" s="1">
        <f>[1]LISTADO_OTS!F236</f>
        <v>45901</v>
      </c>
      <c r="K236" s="1">
        <f>[1]LISTADO_OTS!G236</f>
        <v>45902</v>
      </c>
      <c r="L236">
        <f>[1]LISTADO_OTS!M236</f>
        <v>43.145085999999999</v>
      </c>
      <c r="M236">
        <f>[1]LISTADO_OTS!N236</f>
        <v>-2.972267</v>
      </c>
      <c r="U236" t="b">
        <f>[1]LISTADO_OTS!O236</f>
        <v>1</v>
      </c>
      <c r="V236" t="str">
        <f>[1]LISTADO_OTS!J236</f>
        <v>Llodio</v>
      </c>
      <c r="W236">
        <f>[1]LISTADO_OTS!R236</f>
        <v>1</v>
      </c>
      <c r="X236">
        <f>[1]LISTADO_OTS!P236</f>
        <v>0</v>
      </c>
      <c r="Y236">
        <v>1</v>
      </c>
      <c r="Z236">
        <f>[1]LISTADO_OTS!S236</f>
        <v>1</v>
      </c>
    </row>
    <row r="237" spans="1:26" x14ac:dyDescent="0.4">
      <c r="A237">
        <v>236</v>
      </c>
      <c r="B237" t="str">
        <f>[1]LISTADO_OTS!E237</f>
        <v>OT/0234</v>
      </c>
      <c r="C237">
        <f>VLOOKUP([1]LISTADO_OTS!B237,[1]Redes!$C$1:$E$5,3,FALSE)</f>
        <v>3</v>
      </c>
      <c r="D237">
        <f>[1]LISTADO_OTS!C237</f>
        <v>1</v>
      </c>
      <c r="E237">
        <f>[1]LISTADO_OTS!D237</f>
        <v>0</v>
      </c>
      <c r="F237">
        <f>[1]LISTADO_OTS!Q237</f>
        <v>1</v>
      </c>
      <c r="G237">
        <f>[1]LISTADO_OTS!R237</f>
        <v>1</v>
      </c>
      <c r="H237" t="str">
        <f>[1]LISTADO_OTS!H237</f>
        <v>Sustituir válvulas acometidas en Artziniega</v>
      </c>
      <c r="I237" t="str">
        <f>[1]LISTADO_OTS!I237</f>
        <v>Sustituir válvulas acometidas en Artziniega</v>
      </c>
      <c r="J237" s="1">
        <f>[1]LISTADO_OTS!F237</f>
        <v>45901</v>
      </c>
      <c r="K237" s="1">
        <f>[1]LISTADO_OTS!G237</f>
        <v>45902</v>
      </c>
      <c r="L237">
        <f>[1]LISTADO_OTS!M237</f>
        <v>43.121350999999997</v>
      </c>
      <c r="M237">
        <f>[1]LISTADO_OTS!N237</f>
        <v>-3.1290680000000002</v>
      </c>
      <c r="U237" t="b">
        <f>[1]LISTADO_OTS!O237</f>
        <v>1</v>
      </c>
      <c r="V237" t="str">
        <f>[1]LISTADO_OTS!J237</f>
        <v>Artziniega</v>
      </c>
      <c r="W237">
        <f>[1]LISTADO_OTS!R237</f>
        <v>1</v>
      </c>
      <c r="X237">
        <f>[1]LISTADO_OTS!P237</f>
        <v>0</v>
      </c>
      <c r="Y237">
        <v>1</v>
      </c>
      <c r="Z237">
        <f>[1]LISTADO_OTS!S237</f>
        <v>3</v>
      </c>
    </row>
    <row r="238" spans="1:26" x14ac:dyDescent="0.4">
      <c r="A238">
        <v>237</v>
      </c>
      <c r="B238" t="str">
        <f>[1]LISTADO_OTS!E238</f>
        <v>TP/0092</v>
      </c>
      <c r="C238">
        <f>VLOOKUP([1]LISTADO_OTS!B238,[1]Redes!$C$1:$E$5,3,FALSE)</f>
        <v>3</v>
      </c>
      <c r="D238">
        <f>[1]LISTADO_OTS!C238</f>
        <v>2</v>
      </c>
      <c r="E238">
        <f>[1]LISTADO_OTS!D238</f>
        <v>7</v>
      </c>
      <c r="F238">
        <f>[1]LISTADO_OTS!Q238</f>
        <v>3</v>
      </c>
      <c r="G238">
        <f>[1]LISTADO_OTS!R238</f>
        <v>3</v>
      </c>
      <c r="H238" t="str">
        <f>[1]LISTADO_OTS!H238</f>
        <v>Localización de fugas en Opakua</v>
      </c>
      <c r="I238" t="str">
        <f>[1]LISTADO_OTS!I238</f>
        <v>Localización de fugas en Opakua</v>
      </c>
      <c r="J238" s="1">
        <f>[1]LISTADO_OTS!F238</f>
        <v>45887</v>
      </c>
      <c r="K238" s="1">
        <f>[1]LISTADO_OTS!G238</f>
        <v>45887</v>
      </c>
      <c r="L238">
        <f>[1]LISTADO_OTS!M238</f>
        <v>0</v>
      </c>
      <c r="M238">
        <f>[1]LISTADO_OTS!N238</f>
        <v>0</v>
      </c>
      <c r="U238" t="b">
        <f>[1]LISTADO_OTS!O238</f>
        <v>1</v>
      </c>
      <c r="V238" t="str">
        <f>[1]LISTADO_OTS!J238</f>
        <v>Opacua</v>
      </c>
      <c r="W238">
        <f>[1]LISTADO_OTS!R238</f>
        <v>3</v>
      </c>
      <c r="X238">
        <f>[1]LISTADO_OTS!P238</f>
        <v>0</v>
      </c>
      <c r="Y238">
        <v>1</v>
      </c>
      <c r="Z238">
        <f>[1]LISTADO_OTS!S238</f>
        <v>1</v>
      </c>
    </row>
    <row r="239" spans="1:26" x14ac:dyDescent="0.4">
      <c r="A239">
        <v>238</v>
      </c>
      <c r="B239" t="str">
        <f>[1]LISTADO_OTS!E239</f>
        <v>TP/0093</v>
      </c>
      <c r="C239">
        <f>VLOOKUP([1]LISTADO_OTS!B239,[1]Redes!$C$1:$E$5,3,FALSE)</f>
        <v>3</v>
      </c>
      <c r="D239">
        <f>[1]LISTADO_OTS!C239</f>
        <v>2</v>
      </c>
      <c r="E239">
        <f>[1]LISTADO_OTS!D239</f>
        <v>7</v>
      </c>
      <c r="F239">
        <f>[1]LISTADO_OTS!Q239</f>
        <v>4</v>
      </c>
      <c r="G239">
        <f>[1]LISTADO_OTS!R239</f>
        <v>4</v>
      </c>
      <c r="H239" t="str">
        <f>[1]LISTADO_OTS!H239</f>
        <v>Localizar acometidas con fuga y buscar solución en Landa</v>
      </c>
      <c r="I239" t="str">
        <f>[1]LISTADO_OTS!I239</f>
        <v>Localizar acometidas con fuga y buscar solución en Landa</v>
      </c>
      <c r="J239" s="1">
        <f>[1]LISTADO_OTS!F239</f>
        <v>45887</v>
      </c>
      <c r="K239" s="1">
        <f>[1]LISTADO_OTS!G239</f>
        <v>45887</v>
      </c>
      <c r="L239">
        <f>[1]LISTADO_OTS!M239</f>
        <v>0</v>
      </c>
      <c r="M239">
        <f>[1]LISTADO_OTS!N239</f>
        <v>0</v>
      </c>
      <c r="U239" t="b">
        <f>[1]LISTADO_OTS!O239</f>
        <v>1</v>
      </c>
      <c r="V239" t="str">
        <f>[1]LISTADO_OTS!J239</f>
        <v>Landa</v>
      </c>
      <c r="W239">
        <f>[1]LISTADO_OTS!R239</f>
        <v>4</v>
      </c>
      <c r="X239">
        <f>[1]LISTADO_OTS!P239</f>
        <v>0</v>
      </c>
      <c r="Y239">
        <v>1</v>
      </c>
      <c r="Z239">
        <f>[1]LISTADO_OTS!S239</f>
        <v>1</v>
      </c>
    </row>
    <row r="240" spans="1:26" x14ac:dyDescent="0.4">
      <c r="A240">
        <v>239</v>
      </c>
      <c r="B240" t="str">
        <f>[1]LISTADO_OTS!E240</f>
        <v>TP/0094</v>
      </c>
      <c r="C240">
        <f>VLOOKUP([1]LISTADO_OTS!B240,[1]Redes!$C$1:$E$5,3,FALSE)</f>
        <v>2</v>
      </c>
      <c r="D240">
        <f>[1]LISTADO_OTS!C240</f>
        <v>2</v>
      </c>
      <c r="E240">
        <f>[1]LISTADO_OTS!D240</f>
        <v>3</v>
      </c>
      <c r="F240">
        <f>[1]LISTADO_OTS!Q240</f>
        <v>10</v>
      </c>
      <c r="G240">
        <f>[1]LISTADO_OTS!R240</f>
        <v>10</v>
      </c>
      <c r="H240" t="str">
        <f>[1]LISTADO_OTS!H240</f>
        <v>Revisión de fosas sépticas-ALAVA</v>
      </c>
      <c r="I240" t="str">
        <f>[1]LISTADO_OTS!I240</f>
        <v>Revisión de fosas sépticas</v>
      </c>
      <c r="J240" s="1">
        <f>[1]LISTADO_OTS!F240</f>
        <v>45887</v>
      </c>
      <c r="K240" s="1">
        <f>[1]LISTADO_OTS!G240</f>
        <v>45887</v>
      </c>
      <c r="L240">
        <f>[1]LISTADO_OTS!M240</f>
        <v>0</v>
      </c>
      <c r="M240">
        <f>[1]LISTADO_OTS!N240</f>
        <v>0</v>
      </c>
      <c r="U240" t="b">
        <f>[1]LISTADO_OTS!O240</f>
        <v>1</v>
      </c>
      <c r="V240" t="str">
        <f>[1]LISTADO_OTS!J240</f>
        <v>Todos los municipios</v>
      </c>
      <c r="W240">
        <f>[1]LISTADO_OTS!R240</f>
        <v>10</v>
      </c>
      <c r="X240">
        <f>[1]LISTADO_OTS!P240</f>
        <v>0</v>
      </c>
      <c r="Y240">
        <v>1</v>
      </c>
      <c r="Z240">
        <f>[1]LISTADO_OTS!S240</f>
        <v>0</v>
      </c>
    </row>
    <row r="241" spans="1:26" x14ac:dyDescent="0.4">
      <c r="A241">
        <v>240</v>
      </c>
      <c r="B241" t="str">
        <f>[1]LISTADO_OTS!E241</f>
        <v>TP/0095</v>
      </c>
      <c r="C241">
        <f>VLOOKUP([1]LISTADO_OTS!B241,[1]Redes!$C$1:$E$5,3,FALSE)</f>
        <v>3</v>
      </c>
      <c r="D241">
        <f>[1]LISTADO_OTS!C241</f>
        <v>2</v>
      </c>
      <c r="E241">
        <f>[1]LISTADO_OTS!D241</f>
        <v>7</v>
      </c>
      <c r="F241">
        <f>[1]LISTADO_OTS!Q241</f>
        <v>5</v>
      </c>
      <c r="G241">
        <f>[1]LISTADO_OTS!R241</f>
        <v>5</v>
      </c>
      <c r="H241" t="str">
        <f>[1]LISTADO_OTS!H241</f>
        <v>Localización de fuga por aviso de filtraciones en Salinas de Añana</v>
      </c>
      <c r="I241" t="str">
        <f>[1]LISTADO_OTS!I241</f>
        <v>Localización de fuga por aviso de filtraciones</v>
      </c>
      <c r="J241" s="1">
        <f>[1]LISTADO_OTS!F241</f>
        <v>45887</v>
      </c>
      <c r="K241" s="1">
        <f>[1]LISTADO_OTS!G241</f>
        <v>45887</v>
      </c>
      <c r="L241">
        <f>[1]LISTADO_OTS!M241</f>
        <v>0</v>
      </c>
      <c r="M241">
        <f>[1]LISTADO_OTS!N241</f>
        <v>0</v>
      </c>
      <c r="U241" t="b">
        <f>[1]LISTADO_OTS!O241</f>
        <v>1</v>
      </c>
      <c r="V241" t="str">
        <f>[1]LISTADO_OTS!J241</f>
        <v>Salinas de Añana</v>
      </c>
      <c r="W241">
        <f>[1]LISTADO_OTS!R241</f>
        <v>5</v>
      </c>
      <c r="X241">
        <f>[1]LISTADO_OTS!P241</f>
        <v>0</v>
      </c>
      <c r="Y241">
        <v>1</v>
      </c>
      <c r="Z241">
        <f>[1]LISTADO_OTS!S241</f>
        <v>1</v>
      </c>
    </row>
    <row r="242" spans="1:26" x14ac:dyDescent="0.4">
      <c r="A242">
        <v>241</v>
      </c>
      <c r="B242" t="str">
        <f>[1]LISTADO_OTS!E242</f>
        <v>TP/0096</v>
      </c>
      <c r="C242">
        <f>VLOOKUP([1]LISTADO_OTS!B242,[1]Redes!$C$1:$E$5,3,FALSE)</f>
        <v>3</v>
      </c>
      <c r="D242">
        <f>[1]LISTADO_OTS!C242</f>
        <v>2</v>
      </c>
      <c r="E242">
        <f>[1]LISTADO_OTS!D242</f>
        <v>7</v>
      </c>
      <c r="F242">
        <f>[1]LISTADO_OTS!Q242</f>
        <v>1</v>
      </c>
      <c r="G242">
        <f>[1]LISTADO_OTS!R242</f>
        <v>1</v>
      </c>
      <c r="H242" t="str">
        <f>[1]LISTADO_OTS!H242</f>
        <v>Localización de fuga en Plaza Boriñaur (Amurrio)</v>
      </c>
      <c r="I242" t="str">
        <f>[1]LISTADO_OTS!I242</f>
        <v>Localización de fuga en Plaza Boriñaur (Amurrio)</v>
      </c>
      <c r="J242" s="1">
        <f>[1]LISTADO_OTS!F242</f>
        <v>45888</v>
      </c>
      <c r="K242" s="1">
        <f>[1]LISTADO_OTS!G242</f>
        <v>45888</v>
      </c>
      <c r="L242">
        <f>[1]LISTADO_OTS!M242</f>
        <v>0</v>
      </c>
      <c r="M242">
        <f>[1]LISTADO_OTS!N242</f>
        <v>0</v>
      </c>
      <c r="U242" t="b">
        <f>[1]LISTADO_OTS!O242</f>
        <v>1</v>
      </c>
      <c r="V242" t="str">
        <f>[1]LISTADO_OTS!J242</f>
        <v>Amurrio</v>
      </c>
      <c r="W242">
        <f>[1]LISTADO_OTS!R242</f>
        <v>1</v>
      </c>
      <c r="X242">
        <f>[1]LISTADO_OTS!P242</f>
        <v>0</v>
      </c>
      <c r="Y242">
        <v>1</v>
      </c>
      <c r="Z242">
        <f>[1]LISTADO_OTS!S242</f>
        <v>1</v>
      </c>
    </row>
    <row r="243" spans="1:26" x14ac:dyDescent="0.4">
      <c r="A243">
        <v>242</v>
      </c>
      <c r="B243" t="str">
        <f>[1]LISTADO_OTS!E243</f>
        <v>TP/0097</v>
      </c>
      <c r="C243">
        <f>VLOOKUP([1]LISTADO_OTS!B243,[1]Redes!$C$1:$E$5,3,FALSE)</f>
        <v>3</v>
      </c>
      <c r="D243">
        <f>[1]LISTADO_OTS!C243</f>
        <v>2</v>
      </c>
      <c r="E243">
        <f>[1]LISTADO_OTS!D243</f>
        <v>7</v>
      </c>
      <c r="F243">
        <f>[1]LISTADO_OTS!Q243</f>
        <v>1</v>
      </c>
      <c r="G243">
        <f>[1]LISTADO_OTS!R243</f>
        <v>1</v>
      </c>
      <c r="H243" t="str">
        <f>[1]LISTADO_OTS!H243</f>
        <v>Localizaciçon de fuga en La Estación (Amurrio)</v>
      </c>
      <c r="I243" t="str">
        <f>[1]LISTADO_OTS!I243</f>
        <v>Localizaciçon de fuga en La Estación (Amurrio)</v>
      </c>
      <c r="J243" s="1">
        <f>[1]LISTADO_OTS!F243</f>
        <v>45890</v>
      </c>
      <c r="K243" s="1">
        <f>[1]LISTADO_OTS!G243</f>
        <v>45890</v>
      </c>
      <c r="L243">
        <f>[1]LISTADO_OTS!M243</f>
        <v>0</v>
      </c>
      <c r="M243">
        <f>[1]LISTADO_OTS!N243</f>
        <v>0</v>
      </c>
      <c r="U243" t="b">
        <f>[1]LISTADO_OTS!O243</f>
        <v>1</v>
      </c>
      <c r="V243" t="str">
        <f>[1]LISTADO_OTS!J243</f>
        <v>Amurrio</v>
      </c>
      <c r="W243">
        <f>[1]LISTADO_OTS!R243</f>
        <v>1</v>
      </c>
      <c r="X243">
        <f>[1]LISTADO_OTS!P243</f>
        <v>0</v>
      </c>
      <c r="Y243">
        <v>1</v>
      </c>
      <c r="Z243">
        <f>[1]LISTADO_OTS!S243</f>
        <v>1</v>
      </c>
    </row>
    <row r="244" spans="1:26" x14ac:dyDescent="0.4">
      <c r="A244">
        <v>243</v>
      </c>
      <c r="B244" t="str">
        <f>[1]LISTADO_OTS!E244</f>
        <v>TP/0098</v>
      </c>
      <c r="C244">
        <f>VLOOKUP([1]LISTADO_OTS!B244,[1]Redes!$C$1:$E$5,3,FALSE)</f>
        <v>3</v>
      </c>
      <c r="D244">
        <f>[1]LISTADO_OTS!C244</f>
        <v>2</v>
      </c>
      <c r="E244">
        <f>[1]LISTADO_OTS!D244</f>
        <v>7</v>
      </c>
      <c r="F244">
        <f>[1]LISTADO_OTS!Q244</f>
        <v>5</v>
      </c>
      <c r="G244">
        <f>[1]LISTADO_OTS!R244</f>
        <v>5</v>
      </c>
      <c r="H244" t="str">
        <f>[1]LISTADO_OTS!H244</f>
        <v>Localización de fuga en Txistularis</v>
      </c>
      <c r="I244" t="str">
        <f>[1]LISTADO_OTS!I244</f>
        <v>Localización de fuga en Txistularis</v>
      </c>
      <c r="J244" s="1">
        <f>[1]LISTADO_OTS!F244</f>
        <v>45890</v>
      </c>
      <c r="K244" s="1">
        <f>[1]LISTADO_OTS!G244</f>
        <v>45890</v>
      </c>
      <c r="L244">
        <f>[1]LISTADO_OTS!M244</f>
        <v>0</v>
      </c>
      <c r="M244">
        <f>[1]LISTADO_OTS!N244</f>
        <v>0</v>
      </c>
      <c r="U244" t="b">
        <f>[1]LISTADO_OTS!O244</f>
        <v>1</v>
      </c>
      <c r="V244" t="str">
        <f>[1]LISTADO_OTS!J244</f>
        <v>Ribabellosa</v>
      </c>
      <c r="W244">
        <f>[1]LISTADO_OTS!R244</f>
        <v>5</v>
      </c>
      <c r="X244">
        <f>[1]LISTADO_OTS!P244</f>
        <v>0</v>
      </c>
      <c r="Y244">
        <v>1</v>
      </c>
      <c r="Z244">
        <f>[1]LISTADO_OTS!S244</f>
        <v>1</v>
      </c>
    </row>
    <row r="245" spans="1:26" x14ac:dyDescent="0.4">
      <c r="A245">
        <v>244</v>
      </c>
      <c r="B245" t="str">
        <f>[1]LISTADO_OTS!E245</f>
        <v>TP/0099</v>
      </c>
      <c r="C245">
        <f>VLOOKUP([1]LISTADO_OTS!B245,[1]Redes!$C$1:$E$5,3,FALSE)</f>
        <v>3</v>
      </c>
      <c r="D245">
        <f>[1]LISTADO_OTS!C245</f>
        <v>2</v>
      </c>
      <c r="E245">
        <f>[1]LISTADO_OTS!D245</f>
        <v>7</v>
      </c>
      <c r="F245">
        <f>[1]LISTADO_OTS!Q245</f>
        <v>4</v>
      </c>
      <c r="G245">
        <f>[1]LISTADO_OTS!R245</f>
        <v>4</v>
      </c>
      <c r="H245" t="str">
        <f>[1]LISTADO_OTS!H245</f>
        <v>Localización de fuga en Luko</v>
      </c>
      <c r="I245" t="str">
        <f>[1]LISTADO_OTS!I245</f>
        <v>Localización de fuga en Luko</v>
      </c>
      <c r="J245" s="1">
        <f>[1]LISTADO_OTS!F245</f>
        <v>45894</v>
      </c>
      <c r="K245" s="1">
        <f>[1]LISTADO_OTS!G245</f>
        <v>45894</v>
      </c>
      <c r="L245">
        <f>[1]LISTADO_OTS!M245</f>
        <v>0</v>
      </c>
      <c r="M245">
        <f>[1]LISTADO_OTS!N245</f>
        <v>0</v>
      </c>
      <c r="U245" t="b">
        <f>[1]LISTADO_OTS!O245</f>
        <v>1</v>
      </c>
      <c r="V245" t="str">
        <f>[1]LISTADO_OTS!J245</f>
        <v>Luko</v>
      </c>
      <c r="W245">
        <f>[1]LISTADO_OTS!R245</f>
        <v>4</v>
      </c>
      <c r="X245">
        <f>[1]LISTADO_OTS!P245</f>
        <v>0</v>
      </c>
      <c r="Y245">
        <v>1</v>
      </c>
      <c r="Z245">
        <f>[1]LISTADO_OTS!S245</f>
        <v>1</v>
      </c>
    </row>
    <row r="246" spans="1:26" x14ac:dyDescent="0.4">
      <c r="A246">
        <v>245</v>
      </c>
      <c r="B246" t="str">
        <f>[1]LISTADO_OTS!E246</f>
        <v>TP/0114</v>
      </c>
      <c r="C246">
        <f>VLOOKUP([1]LISTADO_OTS!B246,[1]Redes!$C$1:$E$5,3,FALSE)</f>
        <v>3</v>
      </c>
      <c r="D246">
        <f>[1]LISTADO_OTS!C246</f>
        <v>2</v>
      </c>
      <c r="E246">
        <f>[1]LISTADO_OTS!D246</f>
        <v>7</v>
      </c>
      <c r="F246">
        <f>[1]LISTADO_OTS!Q246</f>
        <v>1</v>
      </c>
      <c r="G246">
        <f>[1]LISTADO_OTS!R246</f>
        <v>1</v>
      </c>
      <c r="H246" t="str">
        <f>[1]LISTADO_OTS!H246</f>
        <v>Localización de fuga en  Ugarte</v>
      </c>
      <c r="I246" t="str">
        <f>[1]LISTADO_OTS!I246</f>
        <v>Calle Iturriaga</v>
      </c>
      <c r="J246" s="1">
        <f>[1]LISTADO_OTS!F246</f>
        <v>45895</v>
      </c>
      <c r="K246" s="1">
        <f>[1]LISTADO_OTS!G246</f>
        <v>45895</v>
      </c>
      <c r="L246">
        <f>[1]LISTADO_OTS!M246</f>
        <v>0</v>
      </c>
      <c r="M246">
        <f>[1]LISTADO_OTS!N246</f>
        <v>0</v>
      </c>
      <c r="U246" t="b">
        <f>[1]LISTADO_OTS!O246</f>
        <v>1</v>
      </c>
      <c r="V246" t="str">
        <f>[1]LISTADO_OTS!J246</f>
        <v>Ugarte</v>
      </c>
      <c r="W246">
        <f>[1]LISTADO_OTS!R246</f>
        <v>1</v>
      </c>
      <c r="X246">
        <f>[1]LISTADO_OTS!P246</f>
        <v>0</v>
      </c>
      <c r="Y246">
        <v>1</v>
      </c>
      <c r="Z246">
        <f>[1]LISTADO_OTS!S246</f>
        <v>1</v>
      </c>
    </row>
    <row r="247" spans="1:26" x14ac:dyDescent="0.4">
      <c r="A247">
        <v>246</v>
      </c>
      <c r="B247" t="str">
        <f>[1]LISTADO_OTS!E247</f>
        <v>TP/0100</v>
      </c>
      <c r="C247">
        <f>VLOOKUP([1]LISTADO_OTS!B247,[1]Redes!$C$1:$E$5,3,FALSE)</f>
        <v>3</v>
      </c>
      <c r="D247">
        <f>[1]LISTADO_OTS!C247</f>
        <v>2</v>
      </c>
      <c r="E247">
        <f>[1]LISTADO_OTS!D247</f>
        <v>7</v>
      </c>
      <c r="F247">
        <f>[1]LISTADO_OTS!Q247</f>
        <v>1</v>
      </c>
      <c r="G247">
        <f>[1]LISTADO_OTS!R247</f>
        <v>1</v>
      </c>
      <c r="H247" t="str">
        <f>[1]LISTADO_OTS!H247</f>
        <v>Localización de fuga en Ugarte</v>
      </c>
      <c r="I247" t="str">
        <f>[1]LISTADO_OTS!I247</f>
        <v>Localización de fuga en Ugarte</v>
      </c>
      <c r="J247" s="1">
        <f>[1]LISTADO_OTS!F247</f>
        <v>45894</v>
      </c>
      <c r="K247" s="1">
        <f>[1]LISTADO_OTS!G247</f>
        <v>45894</v>
      </c>
      <c r="L247">
        <f>[1]LISTADO_OTS!M247</f>
        <v>0</v>
      </c>
      <c r="M247">
        <f>[1]LISTADO_OTS!N247</f>
        <v>0</v>
      </c>
      <c r="U247" t="b">
        <f>[1]LISTADO_OTS!O247</f>
        <v>1</v>
      </c>
      <c r="V247" t="str">
        <f>[1]LISTADO_OTS!J247</f>
        <v>Llodio</v>
      </c>
      <c r="W247">
        <f>[1]LISTADO_OTS!R247</f>
        <v>1</v>
      </c>
      <c r="X247">
        <f>[1]LISTADO_OTS!P247</f>
        <v>0</v>
      </c>
      <c r="Y247">
        <v>1</v>
      </c>
      <c r="Z247">
        <f>[1]LISTADO_OTS!S247</f>
        <v>1</v>
      </c>
    </row>
    <row r="248" spans="1:26" x14ac:dyDescent="0.4">
      <c r="A248">
        <v>247</v>
      </c>
      <c r="B248" t="str">
        <f>[1]LISTADO_OTS!E248</f>
        <v>TP/0101</v>
      </c>
      <c r="C248">
        <f>VLOOKUP([1]LISTADO_OTS!B248,[1]Redes!$C$1:$E$5,3,FALSE)</f>
        <v>3</v>
      </c>
      <c r="D248">
        <f>[1]LISTADO_OTS!C248</f>
        <v>2</v>
      </c>
      <c r="E248">
        <f>[1]LISTADO_OTS!D248</f>
        <v>19</v>
      </c>
      <c r="F248">
        <f>[1]LISTADO_OTS!Q248</f>
        <v>1</v>
      </c>
      <c r="G248">
        <f>[1]LISTADO_OTS!R248</f>
        <v>1</v>
      </c>
      <c r="H248" t="str">
        <f>[1]LISTADO_OTS!H248</f>
        <v>Revisión de sectores Amurrio y Laudio</v>
      </c>
      <c r="I248" t="str">
        <f>[1]LISTADO_OTS!I248</f>
        <v>Revisión de sectores Amurrio y Laudio</v>
      </c>
      <c r="J248" s="1">
        <f>[1]LISTADO_OTS!F248</f>
        <v>45895</v>
      </c>
      <c r="K248" s="1">
        <f>[1]LISTADO_OTS!G248</f>
        <v>45895</v>
      </c>
      <c r="L248">
        <f>[1]LISTADO_OTS!M248</f>
        <v>0</v>
      </c>
      <c r="M248">
        <f>[1]LISTADO_OTS!N248</f>
        <v>0</v>
      </c>
      <c r="U248" t="b">
        <f>[1]LISTADO_OTS!O248</f>
        <v>1</v>
      </c>
      <c r="V248" t="str">
        <f>[1]LISTADO_OTS!J248</f>
        <v>Laudio y Amurrio</v>
      </c>
      <c r="W248">
        <f>[1]LISTADO_OTS!R248</f>
        <v>1</v>
      </c>
      <c r="X248">
        <f>[1]LISTADO_OTS!P248</f>
        <v>0</v>
      </c>
      <c r="Y248">
        <v>1</v>
      </c>
      <c r="Z248">
        <f>[1]LISTADO_OTS!S248</f>
        <v>0</v>
      </c>
    </row>
    <row r="249" spans="1:26" x14ac:dyDescent="0.4">
      <c r="A249">
        <v>248</v>
      </c>
      <c r="B249" t="str">
        <f>[1]LISTADO_OTS!E249</f>
        <v>TP/0102</v>
      </c>
      <c r="C249">
        <f>VLOOKUP([1]LISTADO_OTS!B249,[1]Redes!$C$1:$E$5,3,FALSE)</f>
        <v>5</v>
      </c>
      <c r="D249">
        <f>[1]LISTADO_OTS!C249</f>
        <v>2</v>
      </c>
      <c r="E249">
        <f>[1]LISTADO_OTS!D249</f>
        <v>1</v>
      </c>
      <c r="F249">
        <f>[1]LISTADO_OTS!Q249</f>
        <v>1</v>
      </c>
      <c r="G249">
        <f>[1]LISTADO_OTS!R249</f>
        <v>1</v>
      </c>
      <c r="H249" t="str">
        <f>[1]LISTADO_OTS!H249</f>
        <v>Mantenimiento preventivo saneamiento Amurrio</v>
      </c>
      <c r="I249" t="str">
        <f>[1]LISTADO_OTS!I249</f>
        <v>Atasco Amurrio</v>
      </c>
      <c r="J249" s="1">
        <f>[1]LISTADO_OTS!F249</f>
        <v>45895</v>
      </c>
      <c r="K249" s="1">
        <f>[1]LISTADO_OTS!G249</f>
        <v>45895</v>
      </c>
      <c r="L249">
        <f>[1]LISTADO_OTS!M249</f>
        <v>0</v>
      </c>
      <c r="M249">
        <f>[1]LISTADO_OTS!N249</f>
        <v>0</v>
      </c>
      <c r="U249" t="b">
        <f>[1]LISTADO_OTS!O249</f>
        <v>1</v>
      </c>
      <c r="V249" t="str">
        <f>[1]LISTADO_OTS!J249</f>
        <v>Amurrio-AIARA</v>
      </c>
      <c r="W249">
        <f>[1]LISTADO_OTS!R249</f>
        <v>1</v>
      </c>
      <c r="X249">
        <f>[1]LISTADO_OTS!P249</f>
        <v>0</v>
      </c>
      <c r="Y249">
        <v>1</v>
      </c>
      <c r="Z249">
        <f>[1]LISTADO_OTS!S249</f>
        <v>2</v>
      </c>
    </row>
    <row r="250" spans="1:26" x14ac:dyDescent="0.4">
      <c r="A250">
        <v>249</v>
      </c>
      <c r="B250" t="str">
        <f>[1]LISTADO_OTS!E250</f>
        <v>TP/0103</v>
      </c>
      <c r="C250">
        <f>VLOOKUP([1]LISTADO_OTS!B250,[1]Redes!$C$1:$E$5,3,FALSE)</f>
        <v>3</v>
      </c>
      <c r="D250">
        <f>[1]LISTADO_OTS!C250</f>
        <v>2</v>
      </c>
      <c r="E250">
        <f>[1]LISTADO_OTS!D250</f>
        <v>4</v>
      </c>
      <c r="F250">
        <f>[1]LISTADO_OTS!Q250</f>
        <v>1</v>
      </c>
      <c r="G250">
        <f>[1]LISTADO_OTS!R250</f>
        <v>1</v>
      </c>
      <c r="H250" t="str">
        <f>[1]LISTADO_OTS!H250</f>
        <v>Digitalización Perte en Amurrio</v>
      </c>
      <c r="I250" t="str">
        <f>[1]LISTADO_OTS!I250</f>
        <v>Digitalización Perte</v>
      </c>
      <c r="J250" s="1">
        <f>[1]LISTADO_OTS!F250</f>
        <v>45896</v>
      </c>
      <c r="K250" s="1">
        <f>[1]LISTADO_OTS!G250</f>
        <v>45896</v>
      </c>
      <c r="L250">
        <f>[1]LISTADO_OTS!M250</f>
        <v>0</v>
      </c>
      <c r="M250">
        <f>[1]LISTADO_OTS!N250</f>
        <v>0</v>
      </c>
      <c r="U250" t="b">
        <f>[1]LISTADO_OTS!O250</f>
        <v>1</v>
      </c>
      <c r="V250" t="str">
        <f>[1]LISTADO_OTS!J250</f>
        <v>Amurrio-AIARA</v>
      </c>
      <c r="W250">
        <f>[1]LISTADO_OTS!R250</f>
        <v>1</v>
      </c>
      <c r="X250">
        <f>[1]LISTADO_OTS!P250</f>
        <v>0</v>
      </c>
      <c r="Y250">
        <v>1</v>
      </c>
      <c r="Z250">
        <f>[1]LISTADO_OTS!S250</f>
        <v>0</v>
      </c>
    </row>
    <row r="251" spans="1:26" x14ac:dyDescent="0.4">
      <c r="A251">
        <v>250</v>
      </c>
      <c r="B251" t="str">
        <f>[1]LISTADO_OTS!E251</f>
        <v>TP/0104</v>
      </c>
      <c r="C251">
        <f>VLOOKUP([1]LISTADO_OTS!B251,[1]Redes!$C$1:$E$5,3,FALSE)</f>
        <v>5</v>
      </c>
      <c r="D251">
        <f>[1]LISTADO_OTS!C251</f>
        <v>2</v>
      </c>
      <c r="E251">
        <f>[1]LISTADO_OTS!D251</f>
        <v>5</v>
      </c>
      <c r="F251">
        <f>[1]LISTADO_OTS!Q251</f>
        <v>1</v>
      </c>
      <c r="G251">
        <f>[1]LISTADO_OTS!R251</f>
        <v>1</v>
      </c>
      <c r="H251" t="str">
        <f>[1]LISTADO_OTS!H251</f>
        <v>Base de datos de fosas sépticas en Amurrio</v>
      </c>
      <c r="I251" t="str">
        <f>[1]LISTADO_OTS!I251</f>
        <v>Base de datos de fosas sépticas</v>
      </c>
      <c r="J251" s="1">
        <f>[1]LISTADO_OTS!F251</f>
        <v>45897</v>
      </c>
      <c r="K251" s="1">
        <f>[1]LISTADO_OTS!G251</f>
        <v>45897</v>
      </c>
      <c r="L251">
        <f>[1]LISTADO_OTS!M251</f>
        <v>0</v>
      </c>
      <c r="M251">
        <f>[1]LISTADO_OTS!N251</f>
        <v>0</v>
      </c>
      <c r="U251" t="b">
        <f>[1]LISTADO_OTS!O251</f>
        <v>1</v>
      </c>
      <c r="V251" t="str">
        <f>[1]LISTADO_OTS!J251</f>
        <v>Amurrio-AIARA</v>
      </c>
      <c r="W251">
        <f>[1]LISTADO_OTS!R251</f>
        <v>1</v>
      </c>
      <c r="X251">
        <f>[1]LISTADO_OTS!P251</f>
        <v>0</v>
      </c>
      <c r="Y251">
        <v>1</v>
      </c>
      <c r="Z251">
        <f>[1]LISTADO_OTS!S251</f>
        <v>0</v>
      </c>
    </row>
    <row r="252" spans="1:26" x14ac:dyDescent="0.4">
      <c r="A252">
        <v>251</v>
      </c>
      <c r="B252" t="str">
        <f>[1]LISTADO_OTS!E252</f>
        <v>TP/0105</v>
      </c>
      <c r="C252">
        <f>VLOOKUP([1]LISTADO_OTS!B252,[1]Redes!$C$1:$E$5,3,FALSE)</f>
        <v>3</v>
      </c>
      <c r="D252">
        <f>[1]LISTADO_OTS!C252</f>
        <v>2</v>
      </c>
      <c r="E252">
        <f>[1]LISTADO_OTS!D252</f>
        <v>19</v>
      </c>
      <c r="F252">
        <f>[1]LISTADO_OTS!Q252</f>
        <v>1</v>
      </c>
      <c r="G252">
        <f>[1]LISTADO_OTS!R252</f>
        <v>1</v>
      </c>
      <c r="H252" t="str">
        <f>[1]LISTADO_OTS!H252</f>
        <v>Revisión de consumos Mendiko</v>
      </c>
      <c r="I252" t="str">
        <f>[1]LISTADO_OTS!I252</f>
        <v>Revisión de consumos Mendiko</v>
      </c>
      <c r="J252" s="1">
        <f>[1]LISTADO_OTS!F252</f>
        <v>45897</v>
      </c>
      <c r="K252" s="1">
        <f>[1]LISTADO_OTS!G252</f>
        <v>45897</v>
      </c>
      <c r="L252">
        <f>[1]LISTADO_OTS!M252</f>
        <v>0</v>
      </c>
      <c r="M252">
        <f>[1]LISTADO_OTS!N252</f>
        <v>0</v>
      </c>
      <c r="U252" t="b">
        <f>[1]LISTADO_OTS!O252</f>
        <v>1</v>
      </c>
      <c r="V252" t="str">
        <f>[1]LISTADO_OTS!J252</f>
        <v>Amurrio-AIARA</v>
      </c>
      <c r="W252">
        <f>[1]LISTADO_OTS!R252</f>
        <v>1</v>
      </c>
      <c r="X252">
        <f>[1]LISTADO_OTS!P252</f>
        <v>0</v>
      </c>
      <c r="Y252">
        <v>1</v>
      </c>
      <c r="Z252">
        <f>[1]LISTADO_OTS!S252</f>
        <v>0</v>
      </c>
    </row>
    <row r="253" spans="1:26" x14ac:dyDescent="0.4">
      <c r="A253">
        <v>252</v>
      </c>
      <c r="B253" t="str">
        <f>[1]LISTADO_OTS!E253</f>
        <v>TP/0106</v>
      </c>
      <c r="C253">
        <f>VLOOKUP([1]LISTADO_OTS!B253,[1]Redes!$C$1:$E$5,3,FALSE)</f>
        <v>3</v>
      </c>
      <c r="D253">
        <f>[1]LISTADO_OTS!C253</f>
        <v>2</v>
      </c>
      <c r="E253">
        <f>[1]LISTADO_OTS!D253</f>
        <v>11</v>
      </c>
      <c r="F253">
        <f>[1]LISTADO_OTS!Q253</f>
        <v>10</v>
      </c>
      <c r="G253">
        <f>[1]LISTADO_OTS!R253</f>
        <v>10</v>
      </c>
      <c r="H253" t="str">
        <f>[1]LISTADO_OTS!H253</f>
        <v>Lectura de Contadores Sectoriales-ALAVA</v>
      </c>
      <c r="I253" t="str">
        <f>[1]LISTADO_OTS!I253</f>
        <v>Lectura de Contadores Sectoriales</v>
      </c>
      <c r="J253" s="1">
        <f>[1]LISTADO_OTS!F253</f>
        <v>45898</v>
      </c>
      <c r="K253" s="1">
        <f>[1]LISTADO_OTS!G253</f>
        <v>45898</v>
      </c>
      <c r="L253">
        <f>[1]LISTADO_OTS!M253</f>
        <v>0</v>
      </c>
      <c r="M253">
        <f>[1]LISTADO_OTS!N253</f>
        <v>0</v>
      </c>
      <c r="U253" t="b">
        <f>[1]LISTADO_OTS!O253</f>
        <v>1</v>
      </c>
      <c r="V253" t="str">
        <f>[1]LISTADO_OTS!J253</f>
        <v>Todos los municipios-ALAVA</v>
      </c>
      <c r="W253">
        <f>[1]LISTADO_OTS!R253</f>
        <v>10</v>
      </c>
      <c r="X253">
        <f>[1]LISTADO_OTS!P253</f>
        <v>0</v>
      </c>
      <c r="Y253">
        <v>1</v>
      </c>
      <c r="Z253">
        <f>[1]LISTADO_OTS!S253</f>
        <v>0</v>
      </c>
    </row>
    <row r="254" spans="1:26" x14ac:dyDescent="0.4">
      <c r="A254">
        <v>253</v>
      </c>
      <c r="B254" t="str">
        <f>[1]LISTADO_OTS!E254</f>
        <v>TP/0107</v>
      </c>
      <c r="C254">
        <f>VLOOKUP([1]LISTADO_OTS!B254,[1]Redes!$C$1:$E$5,3,FALSE)</f>
        <v>3</v>
      </c>
      <c r="D254">
        <f>[1]LISTADO_OTS!C254</f>
        <v>2</v>
      </c>
      <c r="E254">
        <f>[1]LISTADO_OTS!D254</f>
        <v>14</v>
      </c>
      <c r="F254">
        <f>[1]LISTADO_OTS!Q254</f>
        <v>1</v>
      </c>
      <c r="G254">
        <f>[1]LISTADO_OTS!R254</f>
        <v>1</v>
      </c>
      <c r="H254" t="str">
        <f>[1]LISTADO_OTS!H254</f>
        <v>Comprobación de válvulas de acometida en Luiaondo</v>
      </c>
      <c r="I254" t="str">
        <f>[1]LISTADO_OTS!I254</f>
        <v>Comprobación de válvulas de acometida</v>
      </c>
      <c r="J254" s="1">
        <f>[1]LISTADO_OTS!F254</f>
        <v>45894</v>
      </c>
      <c r="K254" s="1">
        <f>[1]LISTADO_OTS!G254</f>
        <v>45894</v>
      </c>
      <c r="L254">
        <f>[1]LISTADO_OTS!M254</f>
        <v>0</v>
      </c>
      <c r="M254">
        <f>[1]LISTADO_OTS!N254</f>
        <v>0</v>
      </c>
      <c r="U254" t="b">
        <f>[1]LISTADO_OTS!O254</f>
        <v>1</v>
      </c>
      <c r="V254" t="str">
        <f>[1]LISTADO_OTS!J254</f>
        <v>Luiando</v>
      </c>
      <c r="W254">
        <f>[1]LISTADO_OTS!R254</f>
        <v>1</v>
      </c>
      <c r="X254">
        <f>[1]LISTADO_OTS!P254</f>
        <v>0</v>
      </c>
      <c r="Y254">
        <v>1</v>
      </c>
      <c r="Z254">
        <f>[1]LISTADO_OTS!S254</f>
        <v>0</v>
      </c>
    </row>
    <row r="255" spans="1:26" x14ac:dyDescent="0.4">
      <c r="A255">
        <v>254</v>
      </c>
      <c r="B255" t="str">
        <f>[1]LISTADO_OTS!E255</f>
        <v>OT/0237</v>
      </c>
      <c r="C255">
        <f>VLOOKUP([1]LISTADO_OTS!B255,[1]Redes!$C$1:$E$5,3,FALSE)</f>
        <v>3</v>
      </c>
      <c r="D255">
        <f>[1]LISTADO_OTS!C255</f>
        <v>1</v>
      </c>
      <c r="E255">
        <f>[1]LISTADO_OTS!D255</f>
        <v>0</v>
      </c>
      <c r="F255">
        <f>[1]LISTADO_OTS!Q255</f>
        <v>1</v>
      </c>
      <c r="G255">
        <f>[1]LISTADO_OTS!R255</f>
        <v>1</v>
      </c>
      <c r="H255" t="str">
        <f>[1]LISTADO_OTS!H255</f>
        <v>Fuga en hidrante en Ostegieta</v>
      </c>
      <c r="I255" t="str">
        <f>[1]LISTADO_OTS!I255</f>
        <v>Cerrar hidrante</v>
      </c>
      <c r="J255" s="1">
        <f>[1]LISTADO_OTS!F255</f>
        <v>45894</v>
      </c>
      <c r="K255" s="1">
        <f>[1]LISTADO_OTS!G255</f>
        <v>45894</v>
      </c>
      <c r="L255">
        <f>[1]LISTADO_OTS!M255</f>
        <v>0</v>
      </c>
      <c r="M255">
        <f>[1]LISTADO_OTS!N255</f>
        <v>0</v>
      </c>
      <c r="U255" t="b">
        <f>[1]LISTADO_OTS!O255</f>
        <v>1</v>
      </c>
      <c r="V255" t="str">
        <f>[1]LISTADO_OTS!J255</f>
        <v>Llodio</v>
      </c>
      <c r="W255">
        <f>[1]LISTADO_OTS!R255</f>
        <v>1</v>
      </c>
      <c r="X255">
        <f>[1]LISTADO_OTS!P255</f>
        <v>0</v>
      </c>
      <c r="Y255">
        <v>1</v>
      </c>
      <c r="Z255">
        <f>[1]LISTADO_OTS!S255</f>
        <v>1</v>
      </c>
    </row>
    <row r="256" spans="1:26" x14ac:dyDescent="0.4">
      <c r="A256">
        <v>255</v>
      </c>
      <c r="B256" t="str">
        <f>[1]LISTADO_OTS!E256</f>
        <v>OT/0235</v>
      </c>
      <c r="C256">
        <f>VLOOKUP([1]LISTADO_OTS!B256,[1]Redes!$C$1:$E$5,3,FALSE)</f>
        <v>3</v>
      </c>
      <c r="D256">
        <f>[1]LISTADO_OTS!C256</f>
        <v>1</v>
      </c>
      <c r="E256">
        <f>[1]LISTADO_OTS!D256</f>
        <v>0</v>
      </c>
      <c r="F256">
        <f>[1]LISTADO_OTS!Q256</f>
        <v>1</v>
      </c>
      <c r="G256">
        <f>[1]LISTADO_OTS!R256</f>
        <v>1</v>
      </c>
      <c r="H256" t="str">
        <f>[1]LISTADO_OTS!H256</f>
        <v>Reparación fuga Larraño</v>
      </c>
      <c r="I256" t="str">
        <f>[1]LISTADO_OTS!I256</f>
        <v>Reparación fuga Larraño</v>
      </c>
      <c r="J256" s="1">
        <f>[1]LISTADO_OTS!F256</f>
        <v>45896</v>
      </c>
      <c r="K256" s="1">
        <f>[1]LISTADO_OTS!G256</f>
        <v>45896</v>
      </c>
      <c r="L256">
        <f>[1]LISTADO_OTS!M256</f>
        <v>0</v>
      </c>
      <c r="M256">
        <f>[1]LISTADO_OTS!N256</f>
        <v>0</v>
      </c>
      <c r="U256" t="b">
        <f>[1]LISTADO_OTS!O256</f>
        <v>1</v>
      </c>
      <c r="V256" t="str">
        <f>[1]LISTADO_OTS!J256</f>
        <v>Larraño</v>
      </c>
      <c r="W256">
        <f>[1]LISTADO_OTS!R256</f>
        <v>1</v>
      </c>
      <c r="X256">
        <f>[1]LISTADO_OTS!P256</f>
        <v>0</v>
      </c>
      <c r="Y256">
        <v>1</v>
      </c>
      <c r="Z256">
        <f>[1]LISTADO_OTS!S256</f>
        <v>1</v>
      </c>
    </row>
    <row r="257" spans="1:26" x14ac:dyDescent="0.4">
      <c r="A257">
        <v>256</v>
      </c>
      <c r="B257" t="str">
        <f>[1]LISTADO_OTS!E257</f>
        <v>TP/0109</v>
      </c>
      <c r="C257">
        <f>VLOOKUP([1]LISTADO_OTS!B257,[1]Redes!$C$1:$E$5,3,FALSE)</f>
        <v>5</v>
      </c>
      <c r="D257">
        <f>[1]LISTADO_OTS!C257</f>
        <v>2</v>
      </c>
      <c r="E257">
        <f>[1]LISTADO_OTS!D257</f>
        <v>1</v>
      </c>
      <c r="F257">
        <f>[1]LISTADO_OTS!Q257</f>
        <v>1</v>
      </c>
      <c r="G257">
        <f>[1]LISTADO_OTS!R257</f>
        <v>4</v>
      </c>
      <c r="H257" t="str">
        <f>[1]LISTADO_OTS!H257</f>
        <v>Revisión colectores en Laudio</v>
      </c>
      <c r="I257" t="str">
        <f>[1]LISTADO_OTS!I257</f>
        <v>Revisión colectores</v>
      </c>
      <c r="J257" s="1">
        <f>[1]LISTADO_OTS!F257</f>
        <v>45896</v>
      </c>
      <c r="K257" s="1">
        <f>[1]LISTADO_OTS!G257</f>
        <v>45896</v>
      </c>
      <c r="L257">
        <f>[1]LISTADO_OTS!M257</f>
        <v>0</v>
      </c>
      <c r="M257">
        <f>[1]LISTADO_OTS!N257</f>
        <v>0</v>
      </c>
      <c r="U257" t="b">
        <f>[1]LISTADO_OTS!O257</f>
        <v>1</v>
      </c>
      <c r="V257" t="str">
        <f>[1]LISTADO_OTS!J257</f>
        <v>Llodio</v>
      </c>
      <c r="W257">
        <f>[1]LISTADO_OTS!R257</f>
        <v>4</v>
      </c>
      <c r="X257">
        <f>[1]LISTADO_OTS!P257</f>
        <v>0</v>
      </c>
      <c r="Y257">
        <v>1</v>
      </c>
      <c r="Z257">
        <f>[1]LISTADO_OTS!S257</f>
        <v>0</v>
      </c>
    </row>
    <row r="258" spans="1:26" x14ac:dyDescent="0.4">
      <c r="A258">
        <v>257</v>
      </c>
      <c r="B258" t="str">
        <f>[1]LISTADO_OTS!E258</f>
        <v>OT/0236</v>
      </c>
      <c r="C258">
        <f>VLOOKUP([1]LISTADO_OTS!B258,[1]Redes!$C$1:$E$5,3,FALSE)</f>
        <v>3</v>
      </c>
      <c r="D258">
        <f>[1]LISTADO_OTS!C258</f>
        <v>1</v>
      </c>
      <c r="E258">
        <f>[1]LISTADO_OTS!D258</f>
        <v>0</v>
      </c>
      <c r="F258">
        <f>[1]LISTADO_OTS!Q258</f>
        <v>1</v>
      </c>
      <c r="G258">
        <f>[1]LISTADO_OTS!R258</f>
        <v>1</v>
      </c>
      <c r="H258" t="str">
        <f>[1]LISTADO_OTS!H258</f>
        <v>Reparación fuga Iturriaga 2</v>
      </c>
      <c r="I258" t="str">
        <f>[1]LISTADO_OTS!I258</f>
        <v>Reparación fuga Iturriaga 2</v>
      </c>
      <c r="J258" s="1">
        <f>[1]LISTADO_OTS!F258</f>
        <v>45897</v>
      </c>
      <c r="K258" s="1">
        <f>[1]LISTADO_OTS!G258</f>
        <v>45897</v>
      </c>
      <c r="L258">
        <f>[1]LISTADO_OTS!M258</f>
        <v>0</v>
      </c>
      <c r="M258">
        <f>[1]LISTADO_OTS!N258</f>
        <v>0</v>
      </c>
      <c r="U258" t="b">
        <f>[1]LISTADO_OTS!O258</f>
        <v>1</v>
      </c>
      <c r="V258" t="str">
        <f>[1]LISTADO_OTS!J258</f>
        <v>Llodio</v>
      </c>
      <c r="W258">
        <f>[1]LISTADO_OTS!R258</f>
        <v>1</v>
      </c>
      <c r="X258">
        <f>[1]LISTADO_OTS!P258</f>
        <v>0</v>
      </c>
      <c r="Y258">
        <v>1</v>
      </c>
      <c r="Z258">
        <f>[1]LISTADO_OTS!S258</f>
        <v>1</v>
      </c>
    </row>
    <row r="259" spans="1:26" x14ac:dyDescent="0.4">
      <c r="A259">
        <v>258</v>
      </c>
      <c r="B259" t="str">
        <f>[1]LISTADO_OTS!E259</f>
        <v>TP/0110</v>
      </c>
      <c r="C259">
        <f>VLOOKUP([1]LISTADO_OTS!B259,[1]Redes!$C$1:$E$5,3,FALSE)</f>
        <v>3</v>
      </c>
      <c r="D259">
        <f>[1]LISTADO_OTS!C259</f>
        <v>2</v>
      </c>
      <c r="E259">
        <f>[1]LISTADO_OTS!D259</f>
        <v>12</v>
      </c>
      <c r="F259">
        <f>[1]LISTADO_OTS!Q259</f>
        <v>1</v>
      </c>
      <c r="G259">
        <f>[1]LISTADO_OTS!R259</f>
        <v>1</v>
      </c>
      <c r="H259" t="str">
        <f>[1]LISTADO_OTS!H259</f>
        <v>Corte de agua Arbol Malato 2-4 en Laudio</v>
      </c>
      <c r="I259" t="str">
        <f>[1]LISTADO_OTS!I259</f>
        <v>Corte de agua Arbol Malato 2-4</v>
      </c>
      <c r="J259" s="1">
        <f>[1]LISTADO_OTS!F259</f>
        <v>45897</v>
      </c>
      <c r="K259" s="1">
        <f>[1]LISTADO_OTS!G259</f>
        <v>45897</v>
      </c>
      <c r="L259">
        <f>[1]LISTADO_OTS!M259</f>
        <v>0</v>
      </c>
      <c r="M259">
        <f>[1]LISTADO_OTS!N259</f>
        <v>0</v>
      </c>
      <c r="U259" t="b">
        <f>[1]LISTADO_OTS!O259</f>
        <v>1</v>
      </c>
      <c r="V259" t="str">
        <f>[1]LISTADO_OTS!J259</f>
        <v>Llodio</v>
      </c>
      <c r="W259">
        <f>[1]LISTADO_OTS!R259</f>
        <v>1</v>
      </c>
      <c r="X259">
        <f>[1]LISTADO_OTS!P259</f>
        <v>0</v>
      </c>
      <c r="Y259">
        <v>1</v>
      </c>
      <c r="Z259">
        <f>[1]LISTADO_OTS!S259</f>
        <v>0</v>
      </c>
    </row>
    <row r="260" spans="1:26" x14ac:dyDescent="0.4">
      <c r="A260">
        <v>259</v>
      </c>
      <c r="B260" t="str">
        <f>[1]LISTADO_OTS!E260</f>
        <v>TP/0111</v>
      </c>
      <c r="C260">
        <f>VLOOKUP([1]LISTADO_OTS!B260,[1]Redes!$C$1:$E$5,3,FALSE)</f>
        <v>3</v>
      </c>
      <c r="D260">
        <f>[1]LISTADO_OTS!C260</f>
        <v>2</v>
      </c>
      <c r="E260">
        <f>[1]LISTADO_OTS!D260</f>
        <v>8</v>
      </c>
      <c r="F260">
        <f>[1]LISTADO_OTS!Q260</f>
        <v>1</v>
      </c>
      <c r="G260">
        <f>[1]LISTADO_OTS!R260</f>
        <v>1</v>
      </c>
      <c r="H260" t="str">
        <f>[1]LISTADO_OTS!H260</f>
        <v>Instalación Contador Arbol Malato 2 en Laudio</v>
      </c>
      <c r="I260" t="str">
        <f>[1]LISTADO_OTS!I260</f>
        <v>Instalación Contador Arbol Malato 2</v>
      </c>
      <c r="J260" s="1">
        <f>[1]LISTADO_OTS!F260</f>
        <v>45897</v>
      </c>
      <c r="K260" s="1">
        <f>[1]LISTADO_OTS!G260</f>
        <v>45897</v>
      </c>
      <c r="L260">
        <f>[1]LISTADO_OTS!M260</f>
        <v>0</v>
      </c>
      <c r="M260">
        <f>[1]LISTADO_OTS!N260</f>
        <v>0</v>
      </c>
      <c r="U260" t="b">
        <f>[1]LISTADO_OTS!O260</f>
        <v>1</v>
      </c>
      <c r="V260" t="str">
        <f>[1]LISTADO_OTS!J260</f>
        <v>Llodio</v>
      </c>
      <c r="W260">
        <f>[1]LISTADO_OTS!R260</f>
        <v>1</v>
      </c>
      <c r="X260">
        <f>[1]LISTADO_OTS!P260</f>
        <v>0</v>
      </c>
      <c r="Y260">
        <v>1</v>
      </c>
      <c r="Z260">
        <f>[1]LISTADO_OTS!S260</f>
        <v>0</v>
      </c>
    </row>
    <row r="261" spans="1:26" x14ac:dyDescent="0.4">
      <c r="A261">
        <v>260</v>
      </c>
      <c r="B261" t="str">
        <f>[1]LISTADO_OTS!E261</f>
        <v>TP/0112</v>
      </c>
      <c r="C261">
        <f>VLOOKUP([1]LISTADO_OTS!B261,[1]Redes!$C$1:$E$5,3,FALSE)</f>
        <v>3</v>
      </c>
      <c r="D261">
        <f>[1]LISTADO_OTS!C261</f>
        <v>2</v>
      </c>
      <c r="E261">
        <f>[1]LISTADO_OTS!D261</f>
        <v>10</v>
      </c>
      <c r="F261">
        <f>[1]LISTADO_OTS!Q261</f>
        <v>1</v>
      </c>
      <c r="G261">
        <f>[1]LISTADO_OTS!R261</f>
        <v>1</v>
      </c>
      <c r="H261" t="str">
        <f>[1]LISTADO_OTS!H261</f>
        <v>Sustitución contador Goienuri 11 3ºD en Laudio</v>
      </c>
      <c r="I261" t="str">
        <f>[1]LISTADO_OTS!I261</f>
        <v>Sustitución contador Goienuri 11 3ºD</v>
      </c>
      <c r="J261" s="1">
        <f>[1]LISTADO_OTS!F261</f>
        <v>45898</v>
      </c>
      <c r="K261" s="1">
        <f>[1]LISTADO_OTS!G261</f>
        <v>45898</v>
      </c>
      <c r="L261">
        <f>[1]LISTADO_OTS!M261</f>
        <v>0</v>
      </c>
      <c r="M261">
        <f>[1]LISTADO_OTS!N261</f>
        <v>0</v>
      </c>
      <c r="U261" t="b">
        <f>[1]LISTADO_OTS!O261</f>
        <v>1</v>
      </c>
      <c r="V261" t="str">
        <f>[1]LISTADO_OTS!J261</f>
        <v>Llodio</v>
      </c>
      <c r="W261">
        <f>[1]LISTADO_OTS!R261</f>
        <v>1</v>
      </c>
      <c r="X261">
        <f>[1]LISTADO_OTS!P261</f>
        <v>0</v>
      </c>
      <c r="Y261">
        <v>1</v>
      </c>
      <c r="Z261">
        <f>[1]LISTADO_OTS!S261</f>
        <v>0</v>
      </c>
    </row>
    <row r="262" spans="1:26" x14ac:dyDescent="0.4">
      <c r="A262">
        <v>261</v>
      </c>
      <c r="B262" t="str">
        <f>[1]LISTADO_OTS!E262</f>
        <v>TP/0113</v>
      </c>
      <c r="C262">
        <f>VLOOKUP([1]LISTADO_OTS!B262,[1]Redes!$C$1:$E$5,3,FALSE)</f>
        <v>3</v>
      </c>
      <c r="D262">
        <f>[1]LISTADO_OTS!C262</f>
        <v>2</v>
      </c>
      <c r="E262">
        <f>[1]LISTADO_OTS!D262</f>
        <v>9</v>
      </c>
      <c r="F262">
        <f>[1]LISTADO_OTS!Q262</f>
        <v>1</v>
      </c>
      <c r="G262">
        <f>[1]LISTADO_OTS!R262</f>
        <v>1</v>
      </c>
      <c r="H262" t="str">
        <f>[1]LISTADO_OTS!H262</f>
        <v>Retirada de contador Ruperto Urquijo 12 2º A en Laudio</v>
      </c>
      <c r="I262" t="str">
        <f>[1]LISTADO_OTS!I262</f>
        <v>Retirada de contador Ruperto Urquijo 12 2ºA</v>
      </c>
      <c r="J262" s="1">
        <f>[1]LISTADO_OTS!F262</f>
        <v>45898</v>
      </c>
      <c r="K262" s="1">
        <f>[1]LISTADO_OTS!G262</f>
        <v>45898</v>
      </c>
      <c r="L262">
        <f>[1]LISTADO_OTS!M262</f>
        <v>0</v>
      </c>
      <c r="M262">
        <f>[1]LISTADO_OTS!N262</f>
        <v>0</v>
      </c>
      <c r="U262" t="b">
        <f>[1]LISTADO_OTS!O262</f>
        <v>1</v>
      </c>
      <c r="V262" t="str">
        <f>[1]LISTADO_OTS!J262</f>
        <v>Llodio</v>
      </c>
      <c r="W262">
        <f>[1]LISTADO_OTS!R262</f>
        <v>1</v>
      </c>
      <c r="X262">
        <f>[1]LISTADO_OTS!P262</f>
        <v>0</v>
      </c>
      <c r="Y262">
        <v>1</v>
      </c>
      <c r="Z262">
        <f>[1]LISTADO_OTS!S262</f>
        <v>0</v>
      </c>
    </row>
    <row r="263" spans="1:26" x14ac:dyDescent="0.4">
      <c r="A263">
        <v>262</v>
      </c>
      <c r="B263" t="str">
        <f>[1]LISTADO_OTS!E263</f>
        <v>TP/0115</v>
      </c>
      <c r="C263">
        <f>VLOOKUP([1]LISTADO_OTS!B263,[1]Redes!$C$1:$E$5,3,FALSE)</f>
        <v>3</v>
      </c>
      <c r="D263">
        <f>[1]LISTADO_OTS!C263</f>
        <v>2</v>
      </c>
      <c r="E263">
        <f>[1]LISTADO_OTS!D263</f>
        <v>10</v>
      </c>
      <c r="F263">
        <f>[1]LISTADO_OTS!Q263</f>
        <v>1</v>
      </c>
      <c r="G263">
        <f>[1]LISTADO_OTS!R263</f>
        <v>1</v>
      </c>
      <c r="H263" t="str">
        <f>[1]LISTADO_OTS!H263</f>
        <v>Sustitución de contador en instituto Zaraobe</v>
      </c>
      <c r="I263" t="str">
        <f>[1]LISTADO_OTS!I263</f>
        <v>Sustitución contador Octave</v>
      </c>
      <c r="J263" s="1">
        <f>[1]LISTADO_OTS!F263</f>
        <v>45901</v>
      </c>
      <c r="K263" s="1">
        <f>[1]LISTADO_OTS!G263</f>
        <v>45901</v>
      </c>
      <c r="L263">
        <f>[1]LISTADO_OTS!M263</f>
        <v>0</v>
      </c>
      <c r="M263">
        <f>[1]LISTADO_OTS!N263</f>
        <v>0</v>
      </c>
      <c r="U263" t="b">
        <f>[1]LISTADO_OTS!O263</f>
        <v>1</v>
      </c>
      <c r="V263" t="str">
        <f>[1]LISTADO_OTS!J263</f>
        <v>Amurrio</v>
      </c>
      <c r="W263">
        <f>[1]LISTADO_OTS!R263</f>
        <v>1</v>
      </c>
      <c r="X263">
        <f>[1]LISTADO_OTS!P263</f>
        <v>0</v>
      </c>
      <c r="Y263">
        <v>1</v>
      </c>
      <c r="Z263">
        <f>[1]LISTADO_OTS!S263</f>
        <v>0</v>
      </c>
    </row>
    <row r="264" spans="1:26" x14ac:dyDescent="0.4">
      <c r="A264">
        <v>263</v>
      </c>
      <c r="B264" t="str">
        <f>[1]LISTADO_OTS!E264</f>
        <v>TP/0116</v>
      </c>
      <c r="C264">
        <f>VLOOKUP([1]LISTADO_OTS!B264,[1]Redes!$C$1:$E$5,3,FALSE)</f>
        <v>5</v>
      </c>
      <c r="D264">
        <f>[1]LISTADO_OTS!C264</f>
        <v>2</v>
      </c>
      <c r="E264">
        <f>[1]LISTADO_OTS!D264</f>
        <v>3</v>
      </c>
      <c r="F264">
        <f>[1]LISTADO_OTS!Q264</f>
        <v>1</v>
      </c>
      <c r="G264">
        <f>[1]LISTADO_OTS!R264</f>
        <v>3</v>
      </c>
      <c r="H264" t="str">
        <f>[1]LISTADO_OTS!H264</f>
        <v>Limpieza Sojo Red saneamiento en Sojo</v>
      </c>
      <c r="I264" t="str">
        <f>[1]LISTADO_OTS!I264</f>
        <v>Limpieza Sojo Red saneamiento</v>
      </c>
      <c r="J264" s="1">
        <f>[1]LISTADO_OTS!F264</f>
        <v>45901</v>
      </c>
      <c r="K264" s="1">
        <f>[1]LISTADO_OTS!G264</f>
        <v>45901</v>
      </c>
      <c r="L264">
        <f>[1]LISTADO_OTS!M264</f>
        <v>0</v>
      </c>
      <c r="M264">
        <f>[1]LISTADO_OTS!N264</f>
        <v>0</v>
      </c>
      <c r="U264" t="b">
        <f>[1]LISTADO_OTS!O264</f>
        <v>1</v>
      </c>
      <c r="V264" t="str">
        <f>[1]LISTADO_OTS!J264</f>
        <v>Sojo</v>
      </c>
      <c r="W264">
        <f>[1]LISTADO_OTS!R264</f>
        <v>3</v>
      </c>
      <c r="X264">
        <f>[1]LISTADO_OTS!P264</f>
        <v>0</v>
      </c>
      <c r="Y264">
        <v>1</v>
      </c>
      <c r="Z264">
        <f>[1]LISTADO_OTS!S264</f>
        <v>0</v>
      </c>
    </row>
    <row r="265" spans="1:26" x14ac:dyDescent="0.4">
      <c r="A265">
        <v>264</v>
      </c>
      <c r="B265" t="str">
        <f>[1]LISTADO_OTS!E265</f>
        <v>OT/0238</v>
      </c>
      <c r="C265">
        <f>VLOOKUP([1]LISTADO_OTS!B265,[1]Redes!$C$1:$E$5,3,FALSE)</f>
        <v>3</v>
      </c>
      <c r="D265">
        <f>[1]LISTADO_OTS!C265</f>
        <v>1</v>
      </c>
      <c r="E265">
        <f>[1]LISTADO_OTS!D265</f>
        <v>0</v>
      </c>
      <c r="F265">
        <f>[1]LISTADO_OTS!Q265</f>
        <v>5</v>
      </c>
      <c r="G265">
        <f>[1]LISTADO_OTS!R265</f>
        <v>5</v>
      </c>
      <c r="H265" t="str">
        <f>[1]LISTADO_OTS!H265</f>
        <v>Fuga Rivabellosa</v>
      </c>
      <c r="I265" t="str">
        <f>[1]LISTADO_OTS!I265</f>
        <v>Arreglo de fuga</v>
      </c>
      <c r="J265" s="1">
        <f>[1]LISTADO_OTS!F265</f>
        <v>45901</v>
      </c>
      <c r="K265" s="1">
        <f>[1]LISTADO_OTS!G265</f>
        <v>45925</v>
      </c>
      <c r="L265">
        <f>[1]LISTADO_OTS!M265</f>
        <v>42.707141</v>
      </c>
      <c r="M265">
        <f>[1]LISTADO_OTS!N265</f>
        <v>-2.9149560000000001</v>
      </c>
      <c r="U265" t="b">
        <f>[1]LISTADO_OTS!O265</f>
        <v>1</v>
      </c>
      <c r="V265" t="str">
        <f>[1]LISTADO_OTS!J265</f>
        <v>Ribabellosa</v>
      </c>
      <c r="W265">
        <f>[1]LISTADO_OTS!R265</f>
        <v>5</v>
      </c>
      <c r="X265">
        <f>[1]LISTADO_OTS!P265</f>
        <v>0</v>
      </c>
      <c r="Y265">
        <v>1</v>
      </c>
      <c r="Z265">
        <f>[1]LISTADO_OTS!S265</f>
        <v>1</v>
      </c>
    </row>
    <row r="266" spans="1:26" x14ac:dyDescent="0.4">
      <c r="A266">
        <v>265</v>
      </c>
      <c r="B266" t="str">
        <f>[1]LISTADO_OTS!E266</f>
        <v>TP/0117</v>
      </c>
      <c r="C266">
        <f>VLOOKUP([1]LISTADO_OTS!B266,[1]Redes!$C$1:$E$5,3,FALSE)</f>
        <v>3</v>
      </c>
      <c r="D266">
        <f>[1]LISTADO_OTS!C266</f>
        <v>2</v>
      </c>
      <c r="E266">
        <f>[1]LISTADO_OTS!D266</f>
        <v>7</v>
      </c>
      <c r="F266">
        <f>[1]LISTADO_OTS!Q266</f>
        <v>1</v>
      </c>
      <c r="G266">
        <f>[1]LISTADO_OTS!R266</f>
        <v>1</v>
      </c>
      <c r="H266" t="str">
        <f>[1]LISTADO_OTS!H266</f>
        <v>Localizacion fugas abastecimiento en Llodio</v>
      </c>
      <c r="I266" t="str">
        <f>[1]LISTADO_OTS!I266</f>
        <v>Busqueda de fugas en sector centro -norte Laudio</v>
      </c>
      <c r="J266" s="1">
        <f>[1]LISTADO_OTS!F266</f>
        <v>45901</v>
      </c>
      <c r="K266" s="1">
        <f>[1]LISTADO_OTS!G266</f>
        <v>45901</v>
      </c>
      <c r="L266">
        <f>[1]LISTADO_OTS!M266</f>
        <v>0</v>
      </c>
      <c r="M266">
        <f>[1]LISTADO_OTS!N266</f>
        <v>0</v>
      </c>
      <c r="U266" t="b">
        <f>[1]LISTADO_OTS!O266</f>
        <v>1</v>
      </c>
      <c r="V266" t="str">
        <f>[1]LISTADO_OTS!J266</f>
        <v>Llodio</v>
      </c>
      <c r="W266">
        <f>[1]LISTADO_OTS!R266</f>
        <v>1</v>
      </c>
      <c r="X266">
        <f>[1]LISTADO_OTS!P266</f>
        <v>0</v>
      </c>
      <c r="Y266">
        <v>1</v>
      </c>
      <c r="Z266">
        <f>[1]LISTADO_OTS!S266</f>
        <v>1</v>
      </c>
    </row>
    <row r="267" spans="1:26" x14ac:dyDescent="0.4">
      <c r="A267">
        <v>266</v>
      </c>
      <c r="B267" t="str">
        <f>[1]LISTADO_OTS!E267</f>
        <v>TP/0118</v>
      </c>
      <c r="C267">
        <f>VLOOKUP([1]LISTADO_OTS!B267,[1]Redes!$C$1:$E$5,3,FALSE)</f>
        <v>2</v>
      </c>
      <c r="D267">
        <f>[1]LISTADO_OTS!C267</f>
        <v>2</v>
      </c>
      <c r="E267">
        <f>[1]LISTADO_OTS!D267</f>
        <v>3</v>
      </c>
      <c r="F267">
        <f>[1]LISTADO_OTS!Q267</f>
        <v>1</v>
      </c>
      <c r="G267">
        <f>[1]LISTADO_OTS!R267</f>
        <v>1</v>
      </c>
      <c r="H267" t="str">
        <f>[1]LISTADO_OTS!H267</f>
        <v>Limpieza mto. fosas septicas en Aiarealdea</v>
      </c>
      <c r="I267" t="str">
        <f>[1]LISTADO_OTS!I267</f>
        <v>Limpieza mto. fosas septicas</v>
      </c>
      <c r="J267" s="1">
        <f>[1]LISTADO_OTS!F267</f>
        <v>45902</v>
      </c>
      <c r="K267" s="1">
        <f>[1]LISTADO_OTS!G267</f>
        <v>45902</v>
      </c>
      <c r="L267">
        <f>[1]LISTADO_OTS!M267</f>
        <v>0</v>
      </c>
      <c r="M267">
        <f>[1]LISTADO_OTS!N267</f>
        <v>0</v>
      </c>
      <c r="U267" t="b">
        <f>[1]LISTADO_OTS!O267</f>
        <v>1</v>
      </c>
      <c r="V267" t="str">
        <f>[1]LISTADO_OTS!J267</f>
        <v>AIARALDEA</v>
      </c>
      <c r="W267">
        <f>[1]LISTADO_OTS!R267</f>
        <v>1</v>
      </c>
      <c r="X267">
        <f>[1]LISTADO_OTS!P267</f>
        <v>0</v>
      </c>
      <c r="Y267">
        <v>1</v>
      </c>
      <c r="Z267">
        <f>[1]LISTADO_OTS!S267</f>
        <v>0</v>
      </c>
    </row>
    <row r="268" spans="1:26" x14ac:dyDescent="0.4">
      <c r="A268">
        <v>267</v>
      </c>
      <c r="B268" t="str">
        <f>[1]LISTADO_OTS!E268</f>
        <v>TP/0119</v>
      </c>
      <c r="C268">
        <f>VLOOKUP([1]LISTADO_OTS!B268,[1]Redes!$C$1:$E$5,3,FALSE)</f>
        <v>3</v>
      </c>
      <c r="D268">
        <f>[1]LISTADO_OTS!C268</f>
        <v>2</v>
      </c>
      <c r="E268">
        <f>[1]LISTADO_OTS!D268</f>
        <v>8</v>
      </c>
      <c r="F268">
        <f>[1]LISTADO_OTS!Q268</f>
        <v>3</v>
      </c>
      <c r="G268">
        <f>[1]LISTADO_OTS!R268</f>
        <v>3</v>
      </c>
      <c r="H268" t="str">
        <f>[1]LISTADO_OTS!H268</f>
        <v>Instalación de contador en Agurain</v>
      </c>
      <c r="I268" t="str">
        <f>[1]LISTADO_OTS!I268</f>
        <v>Alta de contador. Instalación</v>
      </c>
      <c r="J268" s="1">
        <f>[1]LISTADO_OTS!F268</f>
        <v>45902</v>
      </c>
      <c r="K268" s="1">
        <f>[1]LISTADO_OTS!G268</f>
        <v>45902</v>
      </c>
      <c r="L268">
        <f>[1]LISTADO_OTS!M268</f>
        <v>0</v>
      </c>
      <c r="M268">
        <f>[1]LISTADO_OTS!N268</f>
        <v>0</v>
      </c>
      <c r="U268" t="b">
        <f>[1]LISTADO_OTS!O268</f>
        <v>1</v>
      </c>
      <c r="V268" t="str">
        <f>[1]LISTADO_OTS!J268</f>
        <v>Agurain</v>
      </c>
      <c r="W268">
        <f>[1]LISTADO_OTS!R268</f>
        <v>3</v>
      </c>
      <c r="X268">
        <f>[1]LISTADO_OTS!P268</f>
        <v>0</v>
      </c>
      <c r="Y268">
        <v>1</v>
      </c>
      <c r="Z268">
        <f>[1]LISTADO_OTS!S268</f>
        <v>0</v>
      </c>
    </row>
    <row r="269" spans="1:26" x14ac:dyDescent="0.4">
      <c r="A269">
        <v>268</v>
      </c>
      <c r="B269" t="str">
        <f>[1]LISTADO_OTS!E269</f>
        <v>OT/0239</v>
      </c>
      <c r="C269">
        <f>VLOOKUP([1]LISTADO_OTS!B269,[1]Redes!$C$1:$E$5,3,FALSE)</f>
        <v>3</v>
      </c>
      <c r="D269">
        <f>[1]LISTADO_OTS!C269</f>
        <v>1</v>
      </c>
      <c r="E269">
        <f>[1]LISTADO_OTS!D269</f>
        <v>0</v>
      </c>
      <c r="F269">
        <f>[1]LISTADO_OTS!Q269</f>
        <v>1</v>
      </c>
      <c r="G269">
        <f>[1]LISTADO_OTS!R269</f>
        <v>1</v>
      </c>
      <c r="H269" t="str">
        <f>[1]LISTADO_OTS!H269</f>
        <v>Fuga en Kejana</v>
      </c>
      <c r="I269" t="str">
        <f>[1]LISTADO_OTS!I269</f>
        <v>Reparación fuga</v>
      </c>
      <c r="J269" s="1">
        <f>[1]LISTADO_OTS!F269</f>
        <v>45902</v>
      </c>
      <c r="K269" s="1">
        <f>[1]LISTADO_OTS!G269</f>
        <v>45902</v>
      </c>
      <c r="L269">
        <f>[1]LISTADO_OTS!M269</f>
        <v>43.080398000000002</v>
      </c>
      <c r="M269">
        <f>[1]LISTADO_OTS!N269</f>
        <v>-3.0646239999999998</v>
      </c>
      <c r="U269" t="b">
        <f>[1]LISTADO_OTS!O269</f>
        <v>1</v>
      </c>
      <c r="V269" t="str">
        <f>[1]LISTADO_OTS!J269</f>
        <v>Quejana</v>
      </c>
      <c r="W269">
        <f>[1]LISTADO_OTS!R269</f>
        <v>1</v>
      </c>
      <c r="X269">
        <f>[1]LISTADO_OTS!P269</f>
        <v>0</v>
      </c>
      <c r="Y269">
        <v>1</v>
      </c>
      <c r="Z269">
        <f>[1]LISTADO_OTS!S269</f>
        <v>1</v>
      </c>
    </row>
    <row r="270" spans="1:26" x14ac:dyDescent="0.4">
      <c r="A270">
        <v>269</v>
      </c>
      <c r="B270" t="str">
        <f>[1]LISTADO_OTS!E270</f>
        <v>OT/0240</v>
      </c>
      <c r="C270">
        <f>VLOOKUP([1]LISTADO_OTS!B270,[1]Redes!$C$1:$E$5,3,FALSE)</f>
        <v>3</v>
      </c>
      <c r="D270">
        <f>[1]LISTADO_OTS!C270</f>
        <v>1</v>
      </c>
      <c r="E270">
        <f>[1]LISTADO_OTS!D270</f>
        <v>0</v>
      </c>
      <c r="F270">
        <f>[1]LISTADO_OTS!Q270</f>
        <v>1</v>
      </c>
      <c r="G270">
        <f>[1]LISTADO_OTS!R270</f>
        <v>1</v>
      </c>
      <c r="H270" t="str">
        <f>[1]LISTADO_OTS!H270</f>
        <v>Fuga Berganza</v>
      </c>
      <c r="I270" t="str">
        <f>[1]LISTADO_OTS!I270</f>
        <v>Reparacion Fuga</v>
      </c>
      <c r="J270" s="1">
        <f>[1]LISTADO_OTS!F270</f>
        <v>45902</v>
      </c>
      <c r="K270" s="1">
        <f>[1]LISTADO_OTS!G270</f>
        <v>45902</v>
      </c>
      <c r="L270">
        <f>[1]LISTADO_OTS!M270</f>
        <v>43.055655999999999</v>
      </c>
      <c r="M270">
        <f>[1]LISTADO_OTS!N270</f>
        <v>-2.9355920000000002</v>
      </c>
      <c r="U270" t="b">
        <f>[1]LISTADO_OTS!O270</f>
        <v>1</v>
      </c>
      <c r="V270" t="str">
        <f>[1]LISTADO_OTS!J270</f>
        <v>Berganza-Baranbio</v>
      </c>
      <c r="W270">
        <f>[1]LISTADO_OTS!R270</f>
        <v>1</v>
      </c>
      <c r="X270">
        <f>[1]LISTADO_OTS!P270</f>
        <v>0</v>
      </c>
      <c r="Y270">
        <v>1</v>
      </c>
      <c r="Z270">
        <f>[1]LISTADO_OTS!S270</f>
        <v>1</v>
      </c>
    </row>
    <row r="271" spans="1:26" x14ac:dyDescent="0.4">
      <c r="A271">
        <v>270</v>
      </c>
      <c r="B271" t="str">
        <f>[1]LISTADO_OTS!E271</f>
        <v>OT/0241</v>
      </c>
      <c r="C271">
        <f>VLOOKUP([1]LISTADO_OTS!B271,[1]Redes!$C$1:$E$5,3,FALSE)</f>
        <v>5</v>
      </c>
      <c r="D271">
        <f>[1]LISTADO_OTS!C271</f>
        <v>1</v>
      </c>
      <c r="E271">
        <f>[1]LISTADO_OTS!D271</f>
        <v>0</v>
      </c>
      <c r="F271">
        <f>[1]LISTADO_OTS!Q271</f>
        <v>3</v>
      </c>
      <c r="G271">
        <f>[1]LISTADO_OTS!R271</f>
        <v>26</v>
      </c>
      <c r="H271" t="str">
        <f>[1]LISTADO_OTS!H271</f>
        <v>Atasco Agurain</v>
      </c>
      <c r="I271" t="str">
        <f>[1]LISTADO_OTS!I271</f>
        <v>Repación de atasco en Agurain</v>
      </c>
      <c r="J271" s="1">
        <f>[1]LISTADO_OTS!F271</f>
        <v>45903</v>
      </c>
      <c r="K271" s="1">
        <f>[1]LISTADO_OTS!G271</f>
        <v>45903</v>
      </c>
      <c r="L271">
        <f>[1]LISTADO_OTS!M271</f>
        <v>42.848688000000003</v>
      </c>
      <c r="M271">
        <f>[1]LISTADO_OTS!N271</f>
        <v>-2.3915109999999999</v>
      </c>
      <c r="U271" t="b">
        <f>[1]LISTADO_OTS!O271</f>
        <v>1</v>
      </c>
      <c r="V271" t="str">
        <f>[1]LISTADO_OTS!J271</f>
        <v>Agurain</v>
      </c>
      <c r="W271">
        <f>[1]LISTADO_OTS!R271</f>
        <v>26</v>
      </c>
      <c r="X271">
        <f>[1]LISTADO_OTS!P271</f>
        <v>0</v>
      </c>
      <c r="Y271">
        <v>1</v>
      </c>
      <c r="Z271">
        <f>[1]LISTADO_OTS!S271</f>
        <v>2</v>
      </c>
    </row>
    <row r="272" spans="1:26" x14ac:dyDescent="0.4">
      <c r="A272">
        <v>271</v>
      </c>
      <c r="B272" t="str">
        <f>[1]LISTADO_OTS!E272</f>
        <v>OT/0242</v>
      </c>
      <c r="C272">
        <f>VLOOKUP([1]LISTADO_OTS!B272,[1]Redes!$C$1:$E$5,3,FALSE)</f>
        <v>3</v>
      </c>
      <c r="D272">
        <f>[1]LISTADO_OTS!C272</f>
        <v>1</v>
      </c>
      <c r="E272">
        <f>[1]LISTADO_OTS!D272</f>
        <v>0</v>
      </c>
      <c r="F272">
        <f>[1]LISTADO_OTS!Q272</f>
        <v>1</v>
      </c>
      <c r="G272">
        <f>[1]LISTADO_OTS!R272</f>
        <v>1</v>
      </c>
      <c r="H272" t="str">
        <f>[1]LISTADO_OTS!H272</f>
        <v>Fuga Artziniega fibrocemento</v>
      </c>
      <c r="I272" t="str">
        <f>[1]LISTADO_OTS!I272</f>
        <v>Fuga de fibrocemento en Arceniaga</v>
      </c>
      <c r="J272" s="1">
        <f>[1]LISTADO_OTS!F272</f>
        <v>45903</v>
      </c>
      <c r="K272" s="1">
        <f>[1]LISTADO_OTS!G272</f>
        <v>45903</v>
      </c>
      <c r="L272">
        <f>[1]LISTADO_OTS!M272</f>
        <v>43.132922999999998</v>
      </c>
      <c r="M272">
        <f>[1]LISTADO_OTS!N272</f>
        <v>-3.1159849999999998</v>
      </c>
      <c r="U272" t="b">
        <f>[1]LISTADO_OTS!O272</f>
        <v>1</v>
      </c>
      <c r="V272" t="str">
        <f>[1]LISTADO_OTS!J272</f>
        <v>Artziniega</v>
      </c>
      <c r="W272">
        <f>[1]LISTADO_OTS!R272</f>
        <v>1</v>
      </c>
      <c r="X272">
        <f>[1]LISTADO_OTS!P272</f>
        <v>0</v>
      </c>
      <c r="Y272">
        <v>1</v>
      </c>
      <c r="Z272">
        <f>[1]LISTADO_OTS!S272</f>
        <v>1</v>
      </c>
    </row>
    <row r="273" spans="1:26" x14ac:dyDescent="0.4">
      <c r="A273">
        <v>272</v>
      </c>
      <c r="B273" t="str">
        <f>[1]LISTADO_OTS!E273</f>
        <v>OT/0243</v>
      </c>
      <c r="C273">
        <f>VLOOKUP([1]LISTADO_OTS!B273,[1]Redes!$C$1:$E$5,3,FALSE)</f>
        <v>5</v>
      </c>
      <c r="D273">
        <f>[1]LISTADO_OTS!C273</f>
        <v>1</v>
      </c>
      <c r="E273">
        <f>[1]LISTADO_OTS!D273</f>
        <v>0</v>
      </c>
      <c r="F273">
        <f>[1]LISTADO_OTS!Q273</f>
        <v>3</v>
      </c>
      <c r="G273">
        <f>[1]LISTADO_OTS!R273</f>
        <v>21</v>
      </c>
      <c r="H273" t="str">
        <f>[1]LISTADO_OTS!H273</f>
        <v>Atasco en cementerio de Alegria-Dulantzi</v>
      </c>
      <c r="I273" t="str">
        <f>[1]LISTADO_OTS!I273</f>
        <v>Atasco en cementerio</v>
      </c>
      <c r="J273" s="1">
        <f>[1]LISTADO_OTS!F273</f>
        <v>45903</v>
      </c>
      <c r="K273" s="1">
        <f>[1]LISTADO_OTS!G273</f>
        <v>45903</v>
      </c>
      <c r="L273">
        <f>[1]LISTADO_OTS!M273</f>
        <v>42.842024000000002</v>
      </c>
      <c r="M273">
        <f>[1]LISTADO_OTS!N273</f>
        <v>-2.5199950000000002</v>
      </c>
      <c r="U273" t="b">
        <f>[1]LISTADO_OTS!O273</f>
        <v>1</v>
      </c>
      <c r="V273" t="str">
        <f>[1]LISTADO_OTS!J273</f>
        <v>Alegría</v>
      </c>
      <c r="W273">
        <f>[1]LISTADO_OTS!R273</f>
        <v>21</v>
      </c>
      <c r="X273">
        <f>[1]LISTADO_OTS!P273</f>
        <v>0</v>
      </c>
      <c r="Y273">
        <v>1</v>
      </c>
      <c r="Z273">
        <f>[1]LISTADO_OTS!S273</f>
        <v>2</v>
      </c>
    </row>
    <row r="274" spans="1:26" x14ac:dyDescent="0.4">
      <c r="A274">
        <v>273</v>
      </c>
      <c r="B274" t="str">
        <f>[1]LISTADO_OTS!E274</f>
        <v>TP/0120</v>
      </c>
      <c r="C274">
        <f>VLOOKUP([1]LISTADO_OTS!B274,[1]Redes!$C$1:$E$5,3,FALSE)</f>
        <v>2</v>
      </c>
      <c r="D274">
        <f>[1]LISTADO_OTS!C274</f>
        <v>2</v>
      </c>
      <c r="E274">
        <f>[1]LISTADO_OTS!D274</f>
        <v>3</v>
      </c>
      <c r="F274">
        <f>[1]LISTADO_OTS!Q274</f>
        <v>1</v>
      </c>
      <c r="G274">
        <f>[1]LISTADO_OTS!R274</f>
        <v>1</v>
      </c>
      <c r="H274" t="str">
        <f>[1]LISTADO_OTS!H274</f>
        <v>Revisión F.Septicas en Aiaraldea y c.c.m.m</v>
      </c>
      <c r="I274" t="str">
        <f>[1]LISTADO_OTS!I274</f>
        <v>Revisión F.S en Aiaraldea</v>
      </c>
      <c r="J274" s="1">
        <f>[1]LISTADO_OTS!F274</f>
        <v>45903</v>
      </c>
      <c r="K274" s="1">
        <f>[1]LISTADO_OTS!G274</f>
        <v>45903</v>
      </c>
      <c r="L274">
        <f>[1]LISTADO_OTS!M274</f>
        <v>0</v>
      </c>
      <c r="M274">
        <f>[1]LISTADO_OTS!N274</f>
        <v>0</v>
      </c>
      <c r="U274" t="b">
        <f>[1]LISTADO_OTS!O274</f>
        <v>1</v>
      </c>
      <c r="V274" t="str">
        <f>[1]LISTADO_OTS!J274</f>
        <v>AIARALDEA</v>
      </c>
      <c r="W274">
        <f>[1]LISTADO_OTS!R274</f>
        <v>1</v>
      </c>
      <c r="X274">
        <f>[1]LISTADO_OTS!P274</f>
        <v>0</v>
      </c>
      <c r="Y274">
        <v>1</v>
      </c>
      <c r="Z274">
        <f>[1]LISTADO_OTS!S274</f>
        <v>0</v>
      </c>
    </row>
    <row r="275" spans="1:26" x14ac:dyDescent="0.4">
      <c r="A275">
        <v>274</v>
      </c>
      <c r="B275" t="str">
        <f>[1]LISTADO_OTS!E275</f>
        <v>TP/0121</v>
      </c>
      <c r="C275">
        <f>VLOOKUP([1]LISTADO_OTS!B275,[1]Redes!$C$1:$E$5,3,FALSE)</f>
        <v>3</v>
      </c>
      <c r="D275">
        <f>[1]LISTADO_OTS!C275</f>
        <v>2</v>
      </c>
      <c r="E275">
        <f>[1]LISTADO_OTS!D275</f>
        <v>8</v>
      </c>
      <c r="F275">
        <f>[1]LISTADO_OTS!Q275</f>
        <v>1</v>
      </c>
      <c r="G275">
        <f>[1]LISTADO_OTS!R275</f>
        <v>1</v>
      </c>
      <c r="H275" t="str">
        <f>[1]LISTADO_OTS!H275</f>
        <v>Intalación contador en Landako (Amurrio)</v>
      </c>
      <c r="I275" t="str">
        <f>[1]LISTADO_OTS!I275</f>
        <v>Se le da la vuelta al contador en la instalación</v>
      </c>
      <c r="J275" s="1">
        <f>[1]LISTADO_OTS!F275</f>
        <v>45903</v>
      </c>
      <c r="K275" s="1">
        <f>[1]LISTADO_OTS!G275</f>
        <v>45903</v>
      </c>
      <c r="L275">
        <f>[1]LISTADO_OTS!M275</f>
        <v>0</v>
      </c>
      <c r="M275">
        <f>[1]LISTADO_OTS!N275</f>
        <v>0</v>
      </c>
      <c r="U275" t="b">
        <f>[1]LISTADO_OTS!O275</f>
        <v>1</v>
      </c>
      <c r="V275" t="str">
        <f>[1]LISTADO_OTS!J275</f>
        <v>Landako</v>
      </c>
      <c r="W275">
        <f>[1]LISTADO_OTS!R275</f>
        <v>1</v>
      </c>
      <c r="X275">
        <f>[1]LISTADO_OTS!P275</f>
        <v>0</v>
      </c>
      <c r="Y275">
        <v>1</v>
      </c>
      <c r="Z275">
        <f>[1]LISTADO_OTS!S275</f>
        <v>0</v>
      </c>
    </row>
    <row r="276" spans="1:26" x14ac:dyDescent="0.4">
      <c r="A276">
        <v>275</v>
      </c>
      <c r="B276" t="str">
        <f>[1]LISTADO_OTS!E276</f>
        <v>OT/0244</v>
      </c>
      <c r="C276">
        <f>VLOOKUP([1]LISTADO_OTS!B276,[1]Redes!$C$1:$E$5,3,FALSE)</f>
        <v>3</v>
      </c>
      <c r="D276">
        <f>[1]LISTADO_OTS!C276</f>
        <v>1</v>
      </c>
      <c r="E276">
        <f>[1]LISTADO_OTS!D276</f>
        <v>0</v>
      </c>
      <c r="F276">
        <f>[1]LISTADO_OTS!Q276</f>
        <v>1</v>
      </c>
      <c r="G276">
        <f>[1]LISTADO_OTS!R276</f>
        <v>1</v>
      </c>
      <c r="H276" t="str">
        <f>[1]LISTADO_OTS!H276</f>
        <v>Reparación de Fuga Artziniega</v>
      </c>
      <c r="I276" t="str">
        <f>[1]LISTADO_OTS!I276</f>
        <v>Reparación de Fuga Artziniega</v>
      </c>
      <c r="J276" s="1">
        <f>[1]LISTADO_OTS!F276</f>
        <v>45903</v>
      </c>
      <c r="K276" s="1">
        <f>[1]LISTADO_OTS!G276</f>
        <v>45903</v>
      </c>
      <c r="L276">
        <f>[1]LISTADO_OTS!M276</f>
        <v>43.138378000000003</v>
      </c>
      <c r="M276">
        <f>[1]LISTADO_OTS!N276</f>
        <v>-3.1126670000000001</v>
      </c>
      <c r="U276" t="b">
        <f>[1]LISTADO_OTS!O276</f>
        <v>1</v>
      </c>
      <c r="V276" t="str">
        <f>[1]LISTADO_OTS!J276</f>
        <v>Artziniega</v>
      </c>
      <c r="W276">
        <f>[1]LISTADO_OTS!R276</f>
        <v>1</v>
      </c>
      <c r="X276">
        <f>[1]LISTADO_OTS!P276</f>
        <v>0</v>
      </c>
      <c r="Y276">
        <v>1</v>
      </c>
      <c r="Z276">
        <f>[1]LISTADO_OTS!S276</f>
        <v>1</v>
      </c>
    </row>
    <row r="277" spans="1:26" x14ac:dyDescent="0.4">
      <c r="A277">
        <v>276</v>
      </c>
      <c r="B277" t="str">
        <f>[1]LISTADO_OTS!E277</f>
        <v>TP/0122</v>
      </c>
      <c r="C277">
        <f>VLOOKUP([1]LISTADO_OTS!B277,[1]Redes!$C$1:$E$5,3,FALSE)</f>
        <v>2</v>
      </c>
      <c r="D277">
        <f>[1]LISTADO_OTS!C277</f>
        <v>2</v>
      </c>
      <c r="E277">
        <f>[1]LISTADO_OTS!D277</f>
        <v>3</v>
      </c>
      <c r="F277">
        <f>[1]LISTADO_OTS!Q277</f>
        <v>5</v>
      </c>
      <c r="G277">
        <f>[1]LISTADO_OTS!R277</f>
        <v>5</v>
      </c>
      <c r="H277" t="str">
        <f>[1]LISTADO_OTS!H277</f>
        <v>Limpieza fosa en Arbígano (Ribera Alta)</v>
      </c>
      <c r="I277" t="str">
        <f>[1]LISTADO_OTS!I277</f>
        <v>Limpieza fosa en Arbígano (Ribera Alta)</v>
      </c>
      <c r="J277" s="1">
        <f>[1]LISTADO_OTS!F277</f>
        <v>45903</v>
      </c>
      <c r="K277" s="1">
        <f>[1]LISTADO_OTS!G277</f>
        <v>45903</v>
      </c>
      <c r="L277">
        <f>[1]LISTADO_OTS!M277</f>
        <v>0</v>
      </c>
      <c r="M277">
        <f>[1]LISTADO_OTS!N277</f>
        <v>0</v>
      </c>
      <c r="U277" t="b">
        <f>[1]LISTADO_OTS!O277</f>
        <v>1</v>
      </c>
      <c r="V277" t="str">
        <f>[1]LISTADO_OTS!J277</f>
        <v>Arbígano</v>
      </c>
      <c r="W277">
        <f>[1]LISTADO_OTS!R277</f>
        <v>5</v>
      </c>
      <c r="X277">
        <f>[1]LISTADO_OTS!P277</f>
        <v>0</v>
      </c>
      <c r="Y277">
        <v>1</v>
      </c>
      <c r="Z277">
        <f>[1]LISTADO_OTS!S277</f>
        <v>0</v>
      </c>
    </row>
    <row r="278" spans="1:26" x14ac:dyDescent="0.4">
      <c r="A278">
        <v>277</v>
      </c>
      <c r="B278" t="str">
        <f>[1]LISTADO_OTS!E278</f>
        <v>TP/0123</v>
      </c>
      <c r="C278">
        <f>VLOOKUP([1]LISTADO_OTS!B278,[1]Redes!$C$1:$E$5,3,FALSE)</f>
        <v>2</v>
      </c>
      <c r="D278">
        <f>[1]LISTADO_OTS!C278</f>
        <v>2</v>
      </c>
      <c r="E278">
        <f>[1]LISTADO_OTS!D278</f>
        <v>3</v>
      </c>
      <c r="F278">
        <f>[1]LISTADO_OTS!Q278</f>
        <v>1</v>
      </c>
      <c r="G278">
        <f>[1]LISTADO_OTS!R278</f>
        <v>1</v>
      </c>
      <c r="H278" t="str">
        <f>[1]LISTADO_OTS!H278</f>
        <v>Limpieza Fosa en Larrimbe</v>
      </c>
      <c r="I278" t="str">
        <f>[1]LISTADO_OTS!I278</f>
        <v>Limpieza Fosa en Larrimbe</v>
      </c>
      <c r="J278" s="1">
        <f>[1]LISTADO_OTS!F278</f>
        <v>45903</v>
      </c>
      <c r="K278" s="1">
        <f>[1]LISTADO_OTS!G278</f>
        <v>45903</v>
      </c>
      <c r="L278">
        <f>[1]LISTADO_OTS!M278</f>
        <v>0</v>
      </c>
      <c r="M278">
        <f>[1]LISTADO_OTS!N278</f>
        <v>0</v>
      </c>
      <c r="U278" t="b">
        <f>[1]LISTADO_OTS!O278</f>
        <v>1</v>
      </c>
      <c r="V278" t="str">
        <f>[1]LISTADO_OTS!J278</f>
        <v>Larrinbe</v>
      </c>
      <c r="W278">
        <f>[1]LISTADO_OTS!R278</f>
        <v>1</v>
      </c>
      <c r="X278">
        <f>[1]LISTADO_OTS!P278</f>
        <v>0</v>
      </c>
      <c r="Y278">
        <v>1</v>
      </c>
      <c r="Z278">
        <f>[1]LISTADO_OTS!S278</f>
        <v>0</v>
      </c>
    </row>
    <row r="279" spans="1:26" x14ac:dyDescent="0.4">
      <c r="A279">
        <v>278</v>
      </c>
      <c r="B279" t="str">
        <f>[1]LISTADO_OTS!E279</f>
        <v>OT/0245</v>
      </c>
      <c r="C279">
        <f>VLOOKUP([1]LISTADO_OTS!B279,[1]Redes!$C$1:$E$5,3,FALSE)</f>
        <v>3</v>
      </c>
      <c r="D279">
        <f>[1]LISTADO_OTS!C279</f>
        <v>1</v>
      </c>
      <c r="E279">
        <f>[1]LISTADO_OTS!D279</f>
        <v>0</v>
      </c>
      <c r="F279">
        <f>[1]LISTADO_OTS!Q279</f>
        <v>1</v>
      </c>
      <c r="G279">
        <f>[1]LISTADO_OTS!R279</f>
        <v>1</v>
      </c>
      <c r="H279" t="str">
        <f>[1]LISTADO_OTS!H279</f>
        <v>Colocar tapón en Murga</v>
      </c>
      <c r="I279" t="str">
        <f>[1]LISTADO_OTS!I279</f>
        <v>Colocar tapón en Murga</v>
      </c>
      <c r="J279" s="1">
        <f>[1]LISTADO_OTS!F279</f>
        <v>45903</v>
      </c>
      <c r="K279" s="1">
        <f>[1]LISTADO_OTS!G279</f>
        <v>45903</v>
      </c>
      <c r="L279">
        <f>[1]LISTADO_OTS!M279</f>
        <v>43.082523000000002</v>
      </c>
      <c r="M279">
        <f>[1]LISTADO_OTS!N279</f>
        <v>-3.0119500000000001</v>
      </c>
      <c r="U279" t="b">
        <f>[1]LISTADO_OTS!O279</f>
        <v>1</v>
      </c>
      <c r="V279" t="str">
        <f>[1]LISTADO_OTS!J279</f>
        <v>Murga</v>
      </c>
      <c r="W279">
        <f>[1]LISTADO_OTS!R279</f>
        <v>1</v>
      </c>
      <c r="X279">
        <f>[1]LISTADO_OTS!P279</f>
        <v>0</v>
      </c>
      <c r="Y279">
        <v>1</v>
      </c>
      <c r="Z279">
        <f>[1]LISTADO_OTS!S279</f>
        <v>3</v>
      </c>
    </row>
    <row r="280" spans="1:26" x14ac:dyDescent="0.4">
      <c r="A280">
        <v>279</v>
      </c>
      <c r="B280" t="str">
        <f>[1]LISTADO_OTS!E280</f>
        <v>OT/0246</v>
      </c>
      <c r="C280">
        <f>VLOOKUP([1]LISTADO_OTS!B280,[1]Redes!$C$1:$E$5,3,FALSE)</f>
        <v>2</v>
      </c>
      <c r="D280">
        <f>[1]LISTADO_OTS!C280</f>
        <v>1</v>
      </c>
      <c r="E280">
        <f>[1]LISTADO_OTS!D280</f>
        <v>0</v>
      </c>
      <c r="F280">
        <f>[1]LISTADO_OTS!Q280</f>
        <v>1</v>
      </c>
      <c r="G280">
        <f>[1]LISTADO_OTS!R280</f>
        <v>1</v>
      </c>
      <c r="H280" t="str">
        <f>[1]LISTADO_OTS!H280</f>
        <v>Reparacion fuga en Erbi</v>
      </c>
      <c r="I280" t="str">
        <f>[1]LISTADO_OTS!I280</f>
        <v>Reparacion fuga en Erbi</v>
      </c>
      <c r="J280" s="1">
        <f>[1]LISTADO_OTS!F280</f>
        <v>45904</v>
      </c>
      <c r="K280" s="1">
        <f>[1]LISTADO_OTS!G280</f>
        <v>45904</v>
      </c>
      <c r="L280">
        <f>[1]LISTADO_OTS!M280</f>
        <v>43.074505000000002</v>
      </c>
      <c r="M280">
        <f>[1]LISTADO_OTS!N280</f>
        <v>-3.1131190000000002</v>
      </c>
      <c r="U280" t="b">
        <f>[1]LISTADO_OTS!O280</f>
        <v>1</v>
      </c>
      <c r="V280" t="str">
        <f>[1]LISTADO_OTS!J280</f>
        <v>Erbi</v>
      </c>
      <c r="W280">
        <f>[1]LISTADO_OTS!R280</f>
        <v>1</v>
      </c>
      <c r="X280">
        <f>[1]LISTADO_OTS!P280</f>
        <v>0</v>
      </c>
      <c r="Y280">
        <v>1</v>
      </c>
      <c r="Z280">
        <f>[1]LISTADO_OTS!S280</f>
        <v>1</v>
      </c>
    </row>
    <row r="281" spans="1:26" x14ac:dyDescent="0.4">
      <c r="A281">
        <v>280</v>
      </c>
      <c r="B281" t="str">
        <f>[1]LISTADO_OTS!E281</f>
        <v>TP/0124</v>
      </c>
      <c r="C281">
        <f>VLOOKUP([1]LISTADO_OTS!B281,[1]Redes!$C$1:$E$5,3,FALSE)</f>
        <v>3</v>
      </c>
      <c r="D281">
        <f>[1]LISTADO_OTS!C281</f>
        <v>2</v>
      </c>
      <c r="E281">
        <f>[1]LISTADO_OTS!D281</f>
        <v>10</v>
      </c>
      <c r="F281">
        <f>[1]LISTADO_OTS!Q281</f>
        <v>1</v>
      </c>
      <c r="G281">
        <f>[1]LISTADO_OTS!R281</f>
        <v>1</v>
      </c>
      <c r="H281" t="str">
        <f>[1]LISTADO_OTS!H281</f>
        <v>Sustitución contador en Amurrio</v>
      </c>
      <c r="I281" t="str">
        <f>[1]LISTADO_OTS!I281</f>
        <v>Sustitución contador en Amurrio</v>
      </c>
      <c r="J281" s="1">
        <f>[1]LISTADO_OTS!F281</f>
        <v>45904</v>
      </c>
      <c r="K281" s="1">
        <f>[1]LISTADO_OTS!G281</f>
        <v>45904</v>
      </c>
      <c r="L281">
        <f>[1]LISTADO_OTS!M281</f>
        <v>0</v>
      </c>
      <c r="M281">
        <f>[1]LISTADO_OTS!N281</f>
        <v>0</v>
      </c>
      <c r="U281" t="b">
        <f>[1]LISTADO_OTS!O281</f>
        <v>1</v>
      </c>
      <c r="V281" t="str">
        <f>[1]LISTADO_OTS!J281</f>
        <v>Amurrio</v>
      </c>
      <c r="W281">
        <f>[1]LISTADO_OTS!R281</f>
        <v>1</v>
      </c>
      <c r="X281">
        <f>[1]LISTADO_OTS!P281</f>
        <v>0</v>
      </c>
      <c r="Y281">
        <v>1</v>
      </c>
      <c r="Z281">
        <f>[1]LISTADO_OTS!S281</f>
        <v>0</v>
      </c>
    </row>
    <row r="282" spans="1:26" x14ac:dyDescent="0.4">
      <c r="A282">
        <v>281</v>
      </c>
      <c r="B282" t="str">
        <f>[1]LISTADO_OTS!E282</f>
        <v>TP/0125</v>
      </c>
      <c r="C282">
        <f>VLOOKUP([1]LISTADO_OTS!B282,[1]Redes!$C$1:$E$5,3,FALSE)</f>
        <v>3</v>
      </c>
      <c r="D282">
        <f>[1]LISTADO_OTS!C282</f>
        <v>2</v>
      </c>
      <c r="E282">
        <f>[1]LISTADO_OTS!D282</f>
        <v>7</v>
      </c>
      <c r="F282">
        <f>[1]LISTADO_OTS!Q282</f>
        <v>1</v>
      </c>
      <c r="G282">
        <f>[1]LISTADO_OTS!R282</f>
        <v>1</v>
      </c>
      <c r="H282" t="str">
        <f>[1]LISTADO_OTS!H282</f>
        <v>Localización fugas en abastecimiento en Llodio</v>
      </c>
      <c r="I282" t="str">
        <f>[1]LISTADO_OTS!I282</f>
        <v>Localización fugas en abastecimiento en Llodio</v>
      </c>
      <c r="J282" s="1">
        <f>[1]LISTADO_OTS!F282</f>
        <v>45904</v>
      </c>
      <c r="K282" s="1">
        <f>[1]LISTADO_OTS!G282</f>
        <v>45904</v>
      </c>
      <c r="L282">
        <f>[1]LISTADO_OTS!M282</f>
        <v>0</v>
      </c>
      <c r="M282">
        <f>[1]LISTADO_OTS!N282</f>
        <v>0</v>
      </c>
      <c r="U282" t="b">
        <f>[1]LISTADO_OTS!O282</f>
        <v>1</v>
      </c>
      <c r="V282" t="str">
        <f>[1]LISTADO_OTS!J282</f>
        <v>Llodio</v>
      </c>
      <c r="W282">
        <f>[1]LISTADO_OTS!R282</f>
        <v>1</v>
      </c>
      <c r="X282">
        <f>[1]LISTADO_OTS!P282</f>
        <v>0</v>
      </c>
      <c r="Y282">
        <v>1</v>
      </c>
      <c r="Z282">
        <f>[1]LISTADO_OTS!S282</f>
        <v>1</v>
      </c>
    </row>
    <row r="283" spans="1:26" x14ac:dyDescent="0.4">
      <c r="A283">
        <v>282</v>
      </c>
      <c r="B283" t="str">
        <f>[1]LISTADO_OTS!E283</f>
        <v>OT/0247</v>
      </c>
      <c r="C283">
        <f>VLOOKUP([1]LISTADO_OTS!B283,[1]Redes!$C$1:$E$5,3,FALSE)</f>
        <v>5</v>
      </c>
      <c r="D283">
        <f>[1]LISTADO_OTS!C283</f>
        <v>1</v>
      </c>
      <c r="E283">
        <f>[1]LISTADO_OTS!D283</f>
        <v>0</v>
      </c>
      <c r="F283">
        <f>[1]LISTADO_OTS!Q283</f>
        <v>5</v>
      </c>
      <c r="G283">
        <f>[1]LISTADO_OTS!R283</f>
        <v>41</v>
      </c>
      <c r="H283" t="str">
        <f>[1]LISTADO_OTS!H283</f>
        <v>Desatascar colector de saneamiento en Anucita</v>
      </c>
      <c r="I283" t="str">
        <f>[1]LISTADO_OTS!I283</f>
        <v>Desatascar colector de saneamiento en Anucita</v>
      </c>
      <c r="J283" s="1">
        <f>[1]LISTADO_OTS!F283</f>
        <v>45904</v>
      </c>
      <c r="K283" s="1">
        <f>[1]LISTADO_OTS!G283</f>
        <v>45904</v>
      </c>
      <c r="L283">
        <f>[1]LISTADO_OTS!M283</f>
        <v>42.801546000000002</v>
      </c>
      <c r="M283">
        <f>[1]LISTADO_OTS!N283</f>
        <v>-2.8993639999999998</v>
      </c>
      <c r="U283" t="b">
        <f>[1]LISTADO_OTS!O283</f>
        <v>1</v>
      </c>
      <c r="V283" t="str">
        <f>[1]LISTADO_OTS!J283</f>
        <v>Anucita</v>
      </c>
      <c r="W283">
        <f>[1]LISTADO_OTS!R283</f>
        <v>41</v>
      </c>
      <c r="X283">
        <f>[1]LISTADO_OTS!P283</f>
        <v>0</v>
      </c>
      <c r="Y283">
        <v>1</v>
      </c>
      <c r="Z283">
        <f>[1]LISTADO_OTS!S283</f>
        <v>2</v>
      </c>
    </row>
    <row r="284" spans="1:26" x14ac:dyDescent="0.4">
      <c r="A284">
        <v>283</v>
      </c>
      <c r="B284" t="str">
        <f>[1]LISTADO_OTS!E284</f>
        <v>OT/0248</v>
      </c>
      <c r="C284">
        <f>VLOOKUP([1]LISTADO_OTS!B284,[1]Redes!$C$1:$E$5,3,FALSE)</f>
        <v>2</v>
      </c>
      <c r="D284">
        <f>[1]LISTADO_OTS!C284</f>
        <v>1</v>
      </c>
      <c r="E284">
        <f>[1]LISTADO_OTS!D284</f>
        <v>0</v>
      </c>
      <c r="F284">
        <f>[1]LISTADO_OTS!Q284</f>
        <v>6</v>
      </c>
      <c r="G284">
        <f>[1]LISTADO_OTS!R284</f>
        <v>6</v>
      </c>
      <c r="H284" t="str">
        <f>[1]LISTADO_OTS!H284</f>
        <v>Reparación fuga acometida fuente en Arraya</v>
      </c>
      <c r="I284" t="str">
        <f>[1]LISTADO_OTS!I284</f>
        <v>Reparación fuga acometida fuente en Maeztu</v>
      </c>
      <c r="J284" s="1">
        <f>[1]LISTADO_OTS!F284</f>
        <v>45902</v>
      </c>
      <c r="K284" s="1">
        <f>[1]LISTADO_OTS!G284</f>
        <v>45902</v>
      </c>
      <c r="L284">
        <f>[1]LISTADO_OTS!M284</f>
        <v>42.739490000000004</v>
      </c>
      <c r="M284">
        <f>[1]LISTADO_OTS!N284</f>
        <v>-2.4466700000000001</v>
      </c>
      <c r="U284" t="b">
        <f>[1]LISTADO_OTS!O284</f>
        <v>1</v>
      </c>
      <c r="V284" t="str">
        <f>[1]LISTADO_OTS!J284</f>
        <v>Maeztu</v>
      </c>
      <c r="W284">
        <f>[1]LISTADO_OTS!R284</f>
        <v>6</v>
      </c>
      <c r="X284">
        <f>[1]LISTADO_OTS!P284</f>
        <v>0</v>
      </c>
      <c r="Y284">
        <v>1</v>
      </c>
      <c r="Z284">
        <f>[1]LISTADO_OTS!S284</f>
        <v>1</v>
      </c>
    </row>
    <row r="285" spans="1:26" x14ac:dyDescent="0.4">
      <c r="A285">
        <v>284</v>
      </c>
      <c r="B285" t="str">
        <f>[1]LISTADO_OTS!E285</f>
        <v>OT/0249</v>
      </c>
      <c r="C285">
        <f>VLOOKUP([1]LISTADO_OTS!B285,[1]Redes!$C$1:$E$5,3,FALSE)</f>
        <v>5</v>
      </c>
      <c r="D285">
        <f>[1]LISTADO_OTS!C285</f>
        <v>1</v>
      </c>
      <c r="E285">
        <f>[1]LISTADO_OTS!D285</f>
        <v>0</v>
      </c>
      <c r="F285">
        <f>[1]LISTADO_OTS!Q285</f>
        <v>1</v>
      </c>
      <c r="G285">
        <f>[1]LISTADO_OTS!R285</f>
        <v>1</v>
      </c>
      <c r="H285" t="str">
        <f>[1]LISTADO_OTS!H285</f>
        <v>Reparación saneamiento y desatasco en Amurrio</v>
      </c>
      <c r="I285" t="str">
        <f>[1]LISTADO_OTS!I285</f>
        <v>Reparación saneamiento fuga y desatasco en Aldai 38</v>
      </c>
      <c r="J285" s="1">
        <f>[1]LISTADO_OTS!F285</f>
        <v>45901</v>
      </c>
      <c r="K285" s="1">
        <f>[1]LISTADO_OTS!G285</f>
        <v>45908</v>
      </c>
      <c r="L285">
        <f>[1]LISTADO_OTS!M285</f>
        <v>43.046377</v>
      </c>
      <c r="M285">
        <f>[1]LISTADO_OTS!N285</f>
        <v>-3.0043859999999998</v>
      </c>
      <c r="U285" t="b">
        <f>[1]LISTADO_OTS!O285</f>
        <v>1</v>
      </c>
      <c r="V285" t="str">
        <f>[1]LISTADO_OTS!J285</f>
        <v>Amurrio</v>
      </c>
      <c r="W285">
        <f>[1]LISTADO_OTS!R285</f>
        <v>1</v>
      </c>
      <c r="X285">
        <f>[1]LISTADO_OTS!P285</f>
        <v>0</v>
      </c>
      <c r="Y285">
        <v>1</v>
      </c>
      <c r="Z285">
        <f>[1]LISTADO_OTS!S285</f>
        <v>2</v>
      </c>
    </row>
    <row r="286" spans="1:26" x14ac:dyDescent="0.4">
      <c r="A286">
        <v>285</v>
      </c>
      <c r="B286" t="str">
        <f>[1]LISTADO_OTS!E286</f>
        <v>OT/0250</v>
      </c>
      <c r="C286">
        <f>VLOOKUP([1]LISTADO_OTS!B286,[1]Redes!$C$1:$E$5,3,FALSE)</f>
        <v>3</v>
      </c>
      <c r="D286">
        <f>[1]LISTADO_OTS!C286</f>
        <v>1</v>
      </c>
      <c r="E286">
        <f>[1]LISTADO_OTS!D286</f>
        <v>0</v>
      </c>
      <c r="F286">
        <f>[1]LISTADO_OTS!Q286</f>
        <v>1</v>
      </c>
      <c r="G286">
        <f>[1]LISTADO_OTS!R286</f>
        <v>1</v>
      </c>
      <c r="H286" t="str">
        <f>[1]LISTADO_OTS!H286</f>
        <v>Reparacion de fuga en Amurrio</v>
      </c>
      <c r="I286" t="str">
        <f>[1]LISTADO_OTS!I286</f>
        <v>Reparacion fuga en Aldai 38</v>
      </c>
      <c r="J286" s="1">
        <f>[1]LISTADO_OTS!F286</f>
        <v>45901</v>
      </c>
      <c r="K286" s="1">
        <f>[1]LISTADO_OTS!G286</f>
        <v>45901</v>
      </c>
      <c r="L286">
        <f>[1]LISTADO_OTS!M286</f>
        <v>43.046377</v>
      </c>
      <c r="M286">
        <f>[1]LISTADO_OTS!N286</f>
        <v>-3.0043859999999998</v>
      </c>
      <c r="U286" t="b">
        <f>[1]LISTADO_OTS!O286</f>
        <v>1</v>
      </c>
      <c r="V286" t="str">
        <f>[1]LISTADO_OTS!J286</f>
        <v>Amurrio</v>
      </c>
      <c r="W286">
        <f>[1]LISTADO_OTS!R286</f>
        <v>1</v>
      </c>
      <c r="X286">
        <f>[1]LISTADO_OTS!P286</f>
        <v>0</v>
      </c>
      <c r="Y286">
        <v>1</v>
      </c>
      <c r="Z286">
        <f>[1]LISTADO_OTS!S286</f>
        <v>1</v>
      </c>
    </row>
    <row r="287" spans="1:26" x14ac:dyDescent="0.4">
      <c r="A287">
        <v>286</v>
      </c>
      <c r="B287" t="str">
        <f>[1]LISTADO_OTS!E287</f>
        <v>TP/0126</v>
      </c>
      <c r="C287">
        <f>VLOOKUP([1]LISTADO_OTS!B287,[1]Redes!$C$1:$E$5,3,FALSE)</f>
        <v>3</v>
      </c>
      <c r="D287">
        <f>[1]LISTADO_OTS!C287</f>
        <v>2</v>
      </c>
      <c r="E287">
        <f>[1]LISTADO_OTS!D287</f>
        <v>8</v>
      </c>
      <c r="F287">
        <f>[1]LISTADO_OTS!Q287</f>
        <v>6</v>
      </c>
      <c r="G287">
        <f>[1]LISTADO_OTS!R287</f>
        <v>6</v>
      </c>
      <c r="H287" t="str">
        <f>[1]LISTADO_OTS!H287</f>
        <v>Instalación contadores en Sabando</v>
      </c>
      <c r="I287" t="str">
        <f>[1]LISTADO_OTS!I287</f>
        <v>Reparando bebederos del pueblo en Sabando</v>
      </c>
      <c r="J287" s="1">
        <f>[1]LISTADO_OTS!F287</f>
        <v>45904</v>
      </c>
      <c r="K287" s="1">
        <f>[1]LISTADO_OTS!G287</f>
        <v>45904</v>
      </c>
      <c r="L287">
        <f>[1]LISTADO_OTS!M287</f>
        <v>0</v>
      </c>
      <c r="M287">
        <f>[1]LISTADO_OTS!N287</f>
        <v>0</v>
      </c>
      <c r="U287" t="b">
        <f>[1]LISTADO_OTS!O287</f>
        <v>1</v>
      </c>
      <c r="V287" t="str">
        <f>[1]LISTADO_OTS!J287</f>
        <v>Sabando</v>
      </c>
      <c r="W287">
        <f>[1]LISTADO_OTS!R287</f>
        <v>6</v>
      </c>
      <c r="X287">
        <f>[1]LISTADO_OTS!P287</f>
        <v>0</v>
      </c>
      <c r="Y287">
        <v>1</v>
      </c>
      <c r="Z287">
        <f>[1]LISTADO_OTS!S287</f>
        <v>0</v>
      </c>
    </row>
    <row r="288" spans="1:26" x14ac:dyDescent="0.4">
      <c r="A288">
        <v>287</v>
      </c>
      <c r="B288" t="str">
        <f>[1]LISTADO_OTS!E288</f>
        <v>TP/0127</v>
      </c>
      <c r="C288">
        <f>VLOOKUP([1]LISTADO_OTS!B288,[1]Redes!$C$1:$E$5,3,FALSE)</f>
        <v>5</v>
      </c>
      <c r="D288">
        <f>[1]LISTADO_OTS!C288</f>
        <v>2</v>
      </c>
      <c r="E288">
        <f>[1]LISTADO_OTS!D288</f>
        <v>3</v>
      </c>
      <c r="F288">
        <f>[1]LISTADO_OTS!Q288</f>
        <v>1</v>
      </c>
      <c r="G288">
        <f>[1]LISTADO_OTS!R288</f>
        <v>4</v>
      </c>
      <c r="H288" t="str">
        <f>[1]LISTADO_OTS!H288</f>
        <v>Mantenimiento preventivo en saneamiento en Llodio</v>
      </c>
      <c r="I288" t="str">
        <f>[1]LISTADO_OTS!I288</f>
        <v>Mantenimiento cadena al camión de saneamiento</v>
      </c>
      <c r="J288" s="1">
        <f>[1]LISTADO_OTS!F288</f>
        <v>45904</v>
      </c>
      <c r="K288" s="1">
        <f>[1]LISTADO_OTS!G288</f>
        <v>45904</v>
      </c>
      <c r="L288">
        <f>[1]LISTADO_OTS!M288</f>
        <v>0</v>
      </c>
      <c r="M288">
        <f>[1]LISTADO_OTS!N288</f>
        <v>0</v>
      </c>
      <c r="U288" t="b">
        <f>[1]LISTADO_OTS!O288</f>
        <v>1</v>
      </c>
      <c r="V288" t="str">
        <f>[1]LISTADO_OTS!J288</f>
        <v>Llodio</v>
      </c>
      <c r="W288">
        <f>[1]LISTADO_OTS!R288</f>
        <v>4</v>
      </c>
      <c r="X288">
        <f>[1]LISTADO_OTS!P288</f>
        <v>0</v>
      </c>
      <c r="Y288">
        <v>1</v>
      </c>
      <c r="Z288">
        <f>[1]LISTADO_OTS!S288</f>
        <v>0</v>
      </c>
    </row>
    <row r="289" spans="1:26" x14ac:dyDescent="0.4">
      <c r="A289">
        <v>288</v>
      </c>
      <c r="B289" t="str">
        <f>[1]LISTADO_OTS!E289</f>
        <v>OT/0250</v>
      </c>
      <c r="C289">
        <f>VLOOKUP([1]LISTADO_OTS!B289,[1]Redes!$C$1:$E$5,3,FALSE)</f>
        <v>5</v>
      </c>
      <c r="D289">
        <f>[1]LISTADO_OTS!C289</f>
        <v>1</v>
      </c>
      <c r="E289">
        <f>[1]LISTADO_OTS!D289</f>
        <v>0</v>
      </c>
      <c r="F289">
        <f>[1]LISTADO_OTS!Q289</f>
        <v>5</v>
      </c>
      <c r="G289">
        <f>[1]LISTADO_OTS!R289</f>
        <v>44</v>
      </c>
      <c r="H289" t="str">
        <f>[1]LISTADO_OTS!H289</f>
        <v>Desatasco en Tuesta</v>
      </c>
      <c r="I289" t="str">
        <f>[1]LISTADO_OTS!I289</f>
        <v>Desatasco en Tuesta</v>
      </c>
      <c r="J289" s="1">
        <f>[1]LISTADO_OTS!F289</f>
        <v>45904</v>
      </c>
      <c r="K289" s="1">
        <f>[1]LISTADO_OTS!G289</f>
        <v>45904</v>
      </c>
      <c r="L289">
        <f>[1]LISTADO_OTS!M289</f>
        <v>42.809202999999997</v>
      </c>
      <c r="M289">
        <f>[1]LISTADO_OTS!N289</f>
        <v>-3.0253009999999998</v>
      </c>
      <c r="U289" t="b">
        <f>[1]LISTADO_OTS!O289</f>
        <v>1</v>
      </c>
      <c r="V289" t="str">
        <f>[1]LISTADO_OTS!J289</f>
        <v>Tuesta</v>
      </c>
      <c r="W289">
        <f>[1]LISTADO_OTS!R289</f>
        <v>44</v>
      </c>
      <c r="X289">
        <f>[1]LISTADO_OTS!P289</f>
        <v>0</v>
      </c>
      <c r="Y289">
        <v>1</v>
      </c>
      <c r="Z289">
        <f>[1]LISTADO_OTS!S289</f>
        <v>2</v>
      </c>
    </row>
    <row r="290" spans="1:26" x14ac:dyDescent="0.4">
      <c r="A290">
        <v>289</v>
      </c>
      <c r="B290" t="str">
        <f>[1]LISTADO_OTS!E290</f>
        <v>TP/0128</v>
      </c>
      <c r="C290">
        <f>VLOOKUP([1]LISTADO_OTS!B290,[1]Redes!$C$1:$E$5,3,FALSE)</f>
        <v>2</v>
      </c>
      <c r="D290">
        <f>[1]LISTADO_OTS!C290</f>
        <v>2</v>
      </c>
      <c r="E290">
        <f>[1]LISTADO_OTS!D290</f>
        <v>3</v>
      </c>
      <c r="F290">
        <f>[1]LISTADO_OTS!Q290</f>
        <v>1</v>
      </c>
      <c r="G290">
        <f>[1]LISTADO_OTS!R290</f>
        <v>1</v>
      </c>
      <c r="H290" t="str">
        <f>[1]LISTADO_OTS!H290</f>
        <v>Limpieza de Fosa en Mimeza (Redes)</v>
      </c>
      <c r="I290" t="str">
        <f>[1]LISTADO_OTS!I290</f>
        <v>Limpieza de Fosa en Mimeza (Redes)</v>
      </c>
      <c r="J290" s="1">
        <f>[1]LISTADO_OTS!F290</f>
        <v>45904</v>
      </c>
      <c r="K290" s="1">
        <f>[1]LISTADO_OTS!G290</f>
        <v>45904</v>
      </c>
      <c r="L290">
        <f>[1]LISTADO_OTS!M290</f>
        <v>0</v>
      </c>
      <c r="M290">
        <f>[1]LISTADO_OTS!N290</f>
        <v>0</v>
      </c>
      <c r="U290" t="b">
        <f>[1]LISTADO_OTS!O290</f>
        <v>1</v>
      </c>
      <c r="V290" t="str">
        <f>[1]LISTADO_OTS!J290</f>
        <v>Mimeza</v>
      </c>
      <c r="W290">
        <f>[1]LISTADO_OTS!R290</f>
        <v>1</v>
      </c>
      <c r="X290">
        <f>[1]LISTADO_OTS!P290</f>
        <v>0</v>
      </c>
      <c r="Y290">
        <v>1</v>
      </c>
      <c r="Z290">
        <f>[1]LISTADO_OTS!S290</f>
        <v>0</v>
      </c>
    </row>
    <row r="291" spans="1:26" x14ac:dyDescent="0.4">
      <c r="A291">
        <v>290</v>
      </c>
      <c r="B291" t="str">
        <f>[1]LISTADO_OTS!E291</f>
        <v>TP/0129</v>
      </c>
      <c r="C291">
        <f>VLOOKUP([1]LISTADO_OTS!B291,[1]Redes!$C$1:$E$5,3,FALSE)</f>
        <v>2</v>
      </c>
      <c r="D291">
        <f>[1]LISTADO_OTS!C291</f>
        <v>2</v>
      </c>
      <c r="E291">
        <f>[1]LISTADO_OTS!D291</f>
        <v>3</v>
      </c>
      <c r="F291">
        <f>[1]LISTADO_OTS!Q291</f>
        <v>3</v>
      </c>
      <c r="G291">
        <f>[1]LISTADO_OTS!R291</f>
        <v>3</v>
      </c>
      <c r="H291" t="str">
        <f>[1]LISTADO_OTS!H291</f>
        <v>Limpieza Fosa de Gereñu</v>
      </c>
      <c r="I291" t="str">
        <f>[1]LISTADO_OTS!I291</f>
        <v>Limpieza Fosa de Gereñu</v>
      </c>
      <c r="J291" s="1">
        <f>[1]LISTADO_OTS!F291</f>
        <v>45908</v>
      </c>
      <c r="K291" s="1">
        <f>[1]LISTADO_OTS!G291</f>
        <v>45908</v>
      </c>
      <c r="L291">
        <f>[1]LISTADO_OTS!M291</f>
        <v>0</v>
      </c>
      <c r="M291">
        <f>[1]LISTADO_OTS!N291</f>
        <v>0</v>
      </c>
      <c r="U291" t="b">
        <f>[1]LISTADO_OTS!O291</f>
        <v>1</v>
      </c>
      <c r="V291" t="str">
        <f>[1]LISTADO_OTS!J291</f>
        <v>Gereñu</v>
      </c>
      <c r="W291">
        <f>[1]LISTADO_OTS!R291</f>
        <v>3</v>
      </c>
      <c r="X291">
        <f>[1]LISTADO_OTS!P291</f>
        <v>0</v>
      </c>
      <c r="Y291">
        <v>1</v>
      </c>
      <c r="Z291">
        <f>[1]LISTADO_OTS!S291</f>
        <v>0</v>
      </c>
    </row>
    <row r="292" spans="1:26" x14ac:dyDescent="0.4">
      <c r="A292">
        <v>291</v>
      </c>
      <c r="B292" t="str">
        <f>[1]LISTADO_OTS!E292</f>
        <v>TP/0130</v>
      </c>
      <c r="C292">
        <f>VLOOKUP([1]LISTADO_OTS!B292,[1]Redes!$C$1:$E$5,3,FALSE)</f>
        <v>2</v>
      </c>
      <c r="D292">
        <f>[1]LISTADO_OTS!C292</f>
        <v>2</v>
      </c>
      <c r="E292">
        <f>[1]LISTADO_OTS!D292</f>
        <v>3</v>
      </c>
      <c r="F292">
        <f>[1]LISTADO_OTS!Q292</f>
        <v>4</v>
      </c>
      <c r="G292">
        <f>[1]LISTADO_OTS!R292</f>
        <v>4</v>
      </c>
      <c r="H292" t="str">
        <f>[1]LISTADO_OTS!H292</f>
        <v>Limpieza de Fosa en Durana</v>
      </c>
      <c r="I292" t="str">
        <f>[1]LISTADO_OTS!I292</f>
        <v>Limpieza de Fosa en Durana</v>
      </c>
      <c r="J292" s="1">
        <f>[1]LISTADO_OTS!F292</f>
        <v>45908</v>
      </c>
      <c r="K292" s="1">
        <f>[1]LISTADO_OTS!G292</f>
        <v>45908</v>
      </c>
      <c r="L292">
        <f>[1]LISTADO_OTS!M292</f>
        <v>0</v>
      </c>
      <c r="M292">
        <f>[1]LISTADO_OTS!N292</f>
        <v>0</v>
      </c>
      <c r="U292" t="b">
        <f>[1]LISTADO_OTS!O292</f>
        <v>1</v>
      </c>
      <c r="V292" t="str">
        <f>[1]LISTADO_OTS!J292</f>
        <v>Durana</v>
      </c>
      <c r="W292">
        <f>[1]LISTADO_OTS!R292</f>
        <v>4</v>
      </c>
      <c r="X292">
        <f>[1]LISTADO_OTS!P292</f>
        <v>0</v>
      </c>
      <c r="Y292">
        <v>1</v>
      </c>
      <c r="Z292">
        <f>[1]LISTADO_OTS!S292</f>
        <v>0</v>
      </c>
    </row>
    <row r="293" spans="1:26" x14ac:dyDescent="0.4">
      <c r="A293">
        <v>292</v>
      </c>
      <c r="B293" t="str">
        <f>[1]LISTADO_OTS!E293</f>
        <v>TP/0131</v>
      </c>
      <c r="C293">
        <f>VLOOKUP([1]LISTADO_OTS!B293,[1]Redes!$C$1:$E$5,3,FALSE)</f>
        <v>3</v>
      </c>
      <c r="D293">
        <f>[1]LISTADO_OTS!C293</f>
        <v>2</v>
      </c>
      <c r="E293">
        <f>[1]LISTADO_OTS!D293</f>
        <v>7</v>
      </c>
      <c r="F293">
        <f>[1]LISTADO_OTS!Q293</f>
        <v>1</v>
      </c>
      <c r="G293">
        <f>[1]LISTADO_OTS!R293</f>
        <v>1</v>
      </c>
      <c r="H293" t="str">
        <f>[1]LISTADO_OTS!H293</f>
        <v>Localización de Fugas en abastecimiento en Respaldiza</v>
      </c>
      <c r="I293" t="str">
        <f>[1]LISTADO_OTS!I293</f>
        <v>Localización de Fugas en abastecimiento en Respaldiza</v>
      </c>
      <c r="J293" s="1">
        <f>[1]LISTADO_OTS!F293</f>
        <v>45909</v>
      </c>
      <c r="K293" s="1">
        <f>[1]LISTADO_OTS!G293</f>
        <v>45909</v>
      </c>
      <c r="L293">
        <f>[1]LISTADO_OTS!M293</f>
        <v>0</v>
      </c>
      <c r="M293">
        <f>[1]LISTADO_OTS!N293</f>
        <v>0</v>
      </c>
      <c r="U293" t="b">
        <f>[1]LISTADO_OTS!O293</f>
        <v>1</v>
      </c>
      <c r="V293" t="str">
        <f>[1]LISTADO_OTS!J293</f>
        <v>Respaldiza</v>
      </c>
      <c r="W293">
        <f>[1]LISTADO_OTS!R293</f>
        <v>1</v>
      </c>
      <c r="X293">
        <f>[1]LISTADO_OTS!P293</f>
        <v>0</v>
      </c>
      <c r="Y293">
        <v>1</v>
      </c>
      <c r="Z293">
        <f>[1]LISTADO_OTS!S293</f>
        <v>1</v>
      </c>
    </row>
    <row r="294" spans="1:26" x14ac:dyDescent="0.4">
      <c r="A294">
        <v>293</v>
      </c>
      <c r="B294" t="str">
        <f>[1]LISTADO_OTS!E294</f>
        <v>TP/0132</v>
      </c>
      <c r="C294">
        <f>VLOOKUP([1]LISTADO_OTS!B294,[1]Redes!$C$1:$E$5,3,FALSE)</f>
        <v>2</v>
      </c>
      <c r="D294">
        <f>[1]LISTADO_OTS!C294</f>
        <v>2</v>
      </c>
      <c r="E294">
        <f>[1]LISTADO_OTS!D294</f>
        <v>3</v>
      </c>
      <c r="F294">
        <f>[1]LISTADO_OTS!Q294</f>
        <v>1</v>
      </c>
      <c r="G294">
        <f>[1]LISTADO_OTS!R294</f>
        <v>1</v>
      </c>
      <c r="H294" t="str">
        <f>[1]LISTADO_OTS!H294</f>
        <v>Mantenimiento de Fosas en Arceniaga</v>
      </c>
      <c r="I294" t="str">
        <f>[1]LISTADO_OTS!I294</f>
        <v>Mantenimiento de Fosas en Artzeniaga</v>
      </c>
      <c r="J294" s="1">
        <f>[1]LISTADO_OTS!F294</f>
        <v>45909</v>
      </c>
      <c r="K294" s="1">
        <f>[1]LISTADO_OTS!G294</f>
        <v>45909</v>
      </c>
      <c r="L294">
        <f>[1]LISTADO_OTS!M294</f>
        <v>0</v>
      </c>
      <c r="M294">
        <f>[1]LISTADO_OTS!N294</f>
        <v>0</v>
      </c>
      <c r="U294" t="b">
        <f>[1]LISTADO_OTS!O294</f>
        <v>1</v>
      </c>
      <c r="V294" t="str">
        <f>[1]LISTADO_OTS!J294</f>
        <v>Artziniega</v>
      </c>
      <c r="W294">
        <f>[1]LISTADO_OTS!R294</f>
        <v>1</v>
      </c>
      <c r="X294">
        <f>[1]LISTADO_OTS!P294</f>
        <v>0</v>
      </c>
      <c r="Y294">
        <v>1</v>
      </c>
      <c r="Z294">
        <f>[1]LISTADO_OTS!S294</f>
        <v>0</v>
      </c>
    </row>
    <row r="295" spans="1:26" x14ac:dyDescent="0.4">
      <c r="A295">
        <v>294</v>
      </c>
      <c r="B295" t="str">
        <f>[1]LISTADO_OTS!E295</f>
        <v>TP/0133</v>
      </c>
      <c r="C295">
        <f>VLOOKUP([1]LISTADO_OTS!B295,[1]Redes!$C$1:$E$5,3,FALSE)</f>
        <v>3</v>
      </c>
      <c r="D295">
        <f>[1]LISTADO_OTS!C295</f>
        <v>2</v>
      </c>
      <c r="E295">
        <f>[1]LISTADO_OTS!D295</f>
        <v>7</v>
      </c>
      <c r="F295">
        <f>[1]LISTADO_OTS!Q295</f>
        <v>1</v>
      </c>
      <c r="G295">
        <f>[1]LISTADO_OTS!R295</f>
        <v>1</v>
      </c>
      <c r="H295" t="str">
        <f>[1]LISTADO_OTS!H295</f>
        <v>Localización de Fugas en Isasi (Llodio)</v>
      </c>
      <c r="I295" t="str">
        <f>[1]LISTADO_OTS!I295</f>
        <v>Localización de Fugas en Isasi</v>
      </c>
      <c r="J295" s="1">
        <f>[1]LISTADO_OTS!F295</f>
        <v>45909</v>
      </c>
      <c r="K295" s="1">
        <f>[1]LISTADO_OTS!G295</f>
        <v>45909</v>
      </c>
      <c r="L295">
        <f>[1]LISTADO_OTS!M295</f>
        <v>0</v>
      </c>
      <c r="M295">
        <f>[1]LISTADO_OTS!N295</f>
        <v>0</v>
      </c>
      <c r="U295" t="b">
        <f>[1]LISTADO_OTS!O295</f>
        <v>1</v>
      </c>
      <c r="V295" t="str">
        <f>[1]LISTADO_OTS!J295</f>
        <v>Llodio</v>
      </c>
      <c r="W295">
        <f>[1]LISTADO_OTS!R295</f>
        <v>1</v>
      </c>
      <c r="X295">
        <f>[1]LISTADO_OTS!P295</f>
        <v>0</v>
      </c>
      <c r="Y295">
        <v>1</v>
      </c>
      <c r="Z295">
        <f>[1]LISTADO_OTS!S295</f>
        <v>1</v>
      </c>
    </row>
    <row r="296" spans="1:26" x14ac:dyDescent="0.4">
      <c r="A296">
        <v>295</v>
      </c>
      <c r="B296" t="str">
        <f>[1]LISTADO_OTS!E296</f>
        <v>OT/0251</v>
      </c>
      <c r="C296">
        <f>VLOOKUP([1]LISTADO_OTS!B296,[1]Redes!$C$1:$E$5,3,FALSE)</f>
        <v>3</v>
      </c>
      <c r="D296">
        <f>[1]LISTADO_OTS!C296</f>
        <v>1</v>
      </c>
      <c r="E296">
        <f>[1]LISTADO_OTS!D296</f>
        <v>0</v>
      </c>
      <c r="F296">
        <f>[1]LISTADO_OTS!Q296</f>
        <v>1</v>
      </c>
      <c r="G296">
        <f>[1]LISTADO_OTS!R296</f>
        <v>1</v>
      </c>
      <c r="H296" t="str">
        <f>[1]LISTADO_OTS!H296</f>
        <v>Arreglar fuga en Santa Lucia - Bombeo</v>
      </c>
      <c r="I296" t="str">
        <f>[1]LISTADO_OTS!I296</f>
        <v>Arreglar fuga en Santa Lucia - Bombeo</v>
      </c>
      <c r="J296" s="1">
        <f>[1]LISTADO_OTS!F296</f>
        <v>45907</v>
      </c>
      <c r="K296" s="1">
        <f>[1]LISTADO_OTS!G296</f>
        <v>45907</v>
      </c>
      <c r="L296">
        <f>[1]LISTADO_OTS!M296</f>
        <v>43.168678</v>
      </c>
      <c r="M296">
        <f>[1]LISTADO_OTS!N296</f>
        <v>-2.9810300000000001</v>
      </c>
      <c r="U296" t="b">
        <f>[1]LISTADO_OTS!O296</f>
        <v>1</v>
      </c>
      <c r="V296" t="str">
        <f>[1]LISTADO_OTS!J296</f>
        <v>Santa lucia</v>
      </c>
      <c r="W296">
        <f>[1]LISTADO_OTS!R296</f>
        <v>1</v>
      </c>
      <c r="X296">
        <f>[1]LISTADO_OTS!P296</f>
        <v>0</v>
      </c>
      <c r="Y296">
        <v>1</v>
      </c>
      <c r="Z296">
        <f>[1]LISTADO_OTS!S296</f>
        <v>1</v>
      </c>
    </row>
    <row r="297" spans="1:26" x14ac:dyDescent="0.4">
      <c r="A297">
        <v>296</v>
      </c>
      <c r="B297" t="str">
        <f>[1]LISTADO_OTS!E297</f>
        <v>OT/0252</v>
      </c>
      <c r="C297">
        <f>VLOOKUP([1]LISTADO_OTS!B297,[1]Redes!$C$1:$E$5,3,FALSE)</f>
        <v>3</v>
      </c>
      <c r="D297">
        <f>[1]LISTADO_OTS!C297</f>
        <v>1</v>
      </c>
      <c r="E297">
        <f>[1]LISTADO_OTS!D297</f>
        <v>0</v>
      </c>
      <c r="F297">
        <f>[1]LISTADO_OTS!Q297</f>
        <v>5</v>
      </c>
      <c r="G297">
        <f>[1]LISTADO_OTS!R297</f>
        <v>5</v>
      </c>
      <c r="H297" t="str">
        <f>[1]LISTADO_OTS!H297</f>
        <v>Arreglar Fuga en Estavillo</v>
      </c>
      <c r="I297" t="str">
        <f>[1]LISTADO_OTS!I297</f>
        <v>Arreglar Fuga en Estavillo en arqueta</v>
      </c>
      <c r="J297" s="1">
        <f>[1]LISTADO_OTS!F297</f>
        <v>45907</v>
      </c>
      <c r="K297" s="1">
        <f>[1]LISTADO_OTS!G297</f>
        <v>45907</v>
      </c>
      <c r="L297">
        <f>[1]LISTADO_OTS!M297</f>
        <v>42.729059999999997</v>
      </c>
      <c r="M297">
        <f>[1]LISTADO_OTS!N297</f>
        <v>-2.8579460000000001</v>
      </c>
      <c r="U297" t="b">
        <f>[1]LISTADO_OTS!O297</f>
        <v>1</v>
      </c>
      <c r="V297" t="str">
        <f>[1]LISTADO_OTS!J297</f>
        <v>Estabillo</v>
      </c>
      <c r="W297">
        <f>[1]LISTADO_OTS!R297</f>
        <v>5</v>
      </c>
      <c r="X297">
        <f>[1]LISTADO_OTS!P297</f>
        <v>0</v>
      </c>
      <c r="Y297">
        <v>1</v>
      </c>
      <c r="Z297">
        <f>[1]LISTADO_OTS!S297</f>
        <v>1</v>
      </c>
    </row>
    <row r="298" spans="1:26" x14ac:dyDescent="0.4">
      <c r="A298">
        <v>297</v>
      </c>
      <c r="B298" t="str">
        <f>[1]LISTADO_OTS!E298</f>
        <v>OT/0253</v>
      </c>
      <c r="C298">
        <f>VLOOKUP([1]LISTADO_OTS!B298,[1]Redes!$C$1:$E$5,3,FALSE)</f>
        <v>5</v>
      </c>
      <c r="D298">
        <f>[1]LISTADO_OTS!C298</f>
        <v>1</v>
      </c>
      <c r="E298">
        <f>[1]LISTADO_OTS!D298</f>
        <v>0</v>
      </c>
      <c r="F298">
        <f>[1]LISTADO_OTS!Q298</f>
        <v>1</v>
      </c>
      <c r="G298">
        <f>[1]LISTADO_OTS!R298</f>
        <v>2</v>
      </c>
      <c r="H298" t="str">
        <f>[1]LISTADO_OTS!H298</f>
        <v>Atasco en avenida Ametzola en Artzeniaga</v>
      </c>
      <c r="I298" t="str">
        <f>[1]LISTADO_OTS!I298</f>
        <v>Atasco en avenida Ametzola</v>
      </c>
      <c r="J298" s="1">
        <f>[1]LISTADO_OTS!F298</f>
        <v>45906</v>
      </c>
      <c r="K298" s="1">
        <f>[1]LISTADO_OTS!G298</f>
        <v>45906</v>
      </c>
      <c r="L298">
        <f>[1]LISTADO_OTS!M298</f>
        <v>43.120674000000001</v>
      </c>
      <c r="M298">
        <f>[1]LISTADO_OTS!N298</f>
        <v>-3.1328330000000002</v>
      </c>
      <c r="U298" t="b">
        <f>[1]LISTADO_OTS!O298</f>
        <v>1</v>
      </c>
      <c r="V298" t="str">
        <f>[1]LISTADO_OTS!J298</f>
        <v>Artziniega</v>
      </c>
      <c r="W298">
        <f>[1]LISTADO_OTS!R298</f>
        <v>2</v>
      </c>
      <c r="X298">
        <f>[1]LISTADO_OTS!P298</f>
        <v>0</v>
      </c>
      <c r="Y298">
        <v>1</v>
      </c>
      <c r="Z298">
        <f>[1]LISTADO_OTS!S298</f>
        <v>2</v>
      </c>
    </row>
    <row r="299" spans="1:26" x14ac:dyDescent="0.4">
      <c r="A299">
        <v>298</v>
      </c>
      <c r="B299" t="str">
        <f>[1]LISTADO_OTS!E299</f>
        <v>OT/0254</v>
      </c>
      <c r="C299">
        <f>VLOOKUP([1]LISTADO_OTS!B299,[1]Redes!$C$1:$E$5,3,FALSE)</f>
        <v>5</v>
      </c>
      <c r="D299">
        <f>[1]LISTADO_OTS!C299</f>
        <v>1</v>
      </c>
      <c r="E299">
        <f>[1]LISTADO_OTS!D299</f>
        <v>0</v>
      </c>
      <c r="F299">
        <f>[1]LISTADO_OTS!Q299</f>
        <v>5</v>
      </c>
      <c r="G299">
        <f>[1]LISTADO_OTS!R299</f>
        <v>44</v>
      </c>
      <c r="H299" t="str">
        <f>[1]LISTADO_OTS!H299</f>
        <v>Atasco en Tuesta</v>
      </c>
      <c r="I299" t="str">
        <f>[1]LISTADO_OTS!I299</f>
        <v>Atasco en Tuesta</v>
      </c>
      <c r="J299" s="1">
        <f>[1]LISTADO_OTS!F299</f>
        <v>45906</v>
      </c>
      <c r="K299" s="1">
        <f>[1]LISTADO_OTS!G299</f>
        <v>45906</v>
      </c>
      <c r="L299">
        <f>[1]LISTADO_OTS!M299</f>
        <v>42.809202999999997</v>
      </c>
      <c r="M299">
        <f>[1]LISTADO_OTS!N299</f>
        <v>-3.0253009999999998</v>
      </c>
      <c r="U299" t="b">
        <f>[1]LISTADO_OTS!O299</f>
        <v>1</v>
      </c>
      <c r="V299" t="str">
        <f>[1]LISTADO_OTS!J299</f>
        <v>Tuesta</v>
      </c>
      <c r="W299">
        <f>[1]LISTADO_OTS!R299</f>
        <v>44</v>
      </c>
      <c r="X299">
        <f>[1]LISTADO_OTS!P299</f>
        <v>0</v>
      </c>
      <c r="Y299">
        <v>1</v>
      </c>
      <c r="Z299">
        <f>[1]LISTADO_OTS!S299</f>
        <v>2</v>
      </c>
    </row>
    <row r="300" spans="1:26" x14ac:dyDescent="0.4">
      <c r="A300">
        <v>299</v>
      </c>
      <c r="B300" t="str">
        <f>[1]LISTADO_OTS!E300</f>
        <v>OT/0255</v>
      </c>
      <c r="C300">
        <f>VLOOKUP([1]LISTADO_OTS!B300,[1]Redes!$C$1:$E$5,3,FALSE)</f>
        <v>3</v>
      </c>
      <c r="D300">
        <f>[1]LISTADO_OTS!C300</f>
        <v>1</v>
      </c>
      <c r="E300">
        <f>[1]LISTADO_OTS!D300</f>
        <v>0</v>
      </c>
      <c r="F300">
        <f>[1]LISTADO_OTS!Q300</f>
        <v>3</v>
      </c>
      <c r="G300">
        <f>[1]LISTADO_OTS!R300</f>
        <v>3</v>
      </c>
      <c r="H300" t="str">
        <f>[1]LISTADO_OTS!H300</f>
        <v>Fuga en ElBurgo</v>
      </c>
      <c r="I300" t="str">
        <f>[1]LISTADO_OTS!I300</f>
        <v>Fuga en el Burgo</v>
      </c>
      <c r="J300" s="1">
        <f>[1]LISTADO_OTS!F300</f>
        <v>45906</v>
      </c>
      <c r="K300" s="1">
        <f>[1]LISTADO_OTS!G300</f>
        <v>45906</v>
      </c>
      <c r="L300">
        <f>[1]LISTADO_OTS!M300</f>
        <v>42.848739999999999</v>
      </c>
      <c r="M300">
        <f>[1]LISTADO_OTS!N300</f>
        <v>-2.544238</v>
      </c>
      <c r="U300" t="b">
        <f>[1]LISTADO_OTS!O300</f>
        <v>1</v>
      </c>
      <c r="V300" t="str">
        <f>[1]LISTADO_OTS!J300</f>
        <v>Elburgo</v>
      </c>
      <c r="W300">
        <f>[1]LISTADO_OTS!R300</f>
        <v>3</v>
      </c>
      <c r="X300">
        <f>[1]LISTADO_OTS!P300</f>
        <v>0</v>
      </c>
      <c r="Y300">
        <v>1</v>
      </c>
      <c r="Z300">
        <f>[1]LISTADO_OTS!S300</f>
        <v>1</v>
      </c>
    </row>
    <row r="301" spans="1:26" x14ac:dyDescent="0.4">
      <c r="A301">
        <v>300</v>
      </c>
      <c r="B301" t="str">
        <f>[1]LISTADO_OTS!E301</f>
        <v>OT/0256</v>
      </c>
      <c r="C301">
        <f>VLOOKUP([1]LISTADO_OTS!B301,[1]Redes!$C$1:$E$5,3,FALSE)</f>
        <v>3</v>
      </c>
      <c r="D301">
        <f>[1]LISTADO_OTS!C301</f>
        <v>1</v>
      </c>
      <c r="E301">
        <f>[1]LISTADO_OTS!D301</f>
        <v>0</v>
      </c>
      <c r="F301">
        <f>[1]LISTADO_OTS!Q301</f>
        <v>1</v>
      </c>
      <c r="G301">
        <f>[1]LISTADO_OTS!R301</f>
        <v>1</v>
      </c>
      <c r="H301" t="str">
        <f>[1]LISTADO_OTS!H301</f>
        <v>Fuga en Maroño</v>
      </c>
      <c r="I301" t="str">
        <f>[1]LISTADO_OTS!I301</f>
        <v>Fuga en Maroño</v>
      </c>
      <c r="J301" s="1">
        <f>[1]LISTADO_OTS!F301</f>
        <v>45906</v>
      </c>
      <c r="K301" s="1">
        <f>[1]LISTADO_OTS!G301</f>
        <v>45906</v>
      </c>
      <c r="L301">
        <f>[1]LISTADO_OTS!M301</f>
        <v>43.04186</v>
      </c>
      <c r="M301">
        <f>[1]LISTADO_OTS!N301</f>
        <v>-3.0641379999999998</v>
      </c>
      <c r="U301" t="b">
        <f>[1]LISTADO_OTS!O301</f>
        <v>1</v>
      </c>
      <c r="V301" t="str">
        <f>[1]LISTADO_OTS!J301</f>
        <v>Maroño</v>
      </c>
      <c r="W301">
        <f>[1]LISTADO_OTS!R301</f>
        <v>1</v>
      </c>
      <c r="X301">
        <f>[1]LISTADO_OTS!P301</f>
        <v>0</v>
      </c>
      <c r="Y301">
        <v>1</v>
      </c>
      <c r="Z301">
        <f>[1]LISTADO_OTS!S301</f>
        <v>1</v>
      </c>
    </row>
    <row r="302" spans="1:26" x14ac:dyDescent="0.4">
      <c r="A302">
        <v>301</v>
      </c>
      <c r="B302" t="str">
        <f>[1]LISTADO_OTS!E302</f>
        <v>OT/0257</v>
      </c>
      <c r="C302">
        <f>VLOOKUP([1]LISTADO_OTS!B302,[1]Redes!$C$1:$E$5,3,FALSE)</f>
        <v>3</v>
      </c>
      <c r="D302">
        <f>[1]LISTADO_OTS!C302</f>
        <v>1</v>
      </c>
      <c r="E302">
        <f>[1]LISTADO_OTS!D302</f>
        <v>0</v>
      </c>
      <c r="F302">
        <f>[1]LISTADO_OTS!Q302</f>
        <v>1</v>
      </c>
      <c r="G302">
        <f>[1]LISTADO_OTS!R302</f>
        <v>1</v>
      </c>
      <c r="H302" t="str">
        <f>[1]LISTADO_OTS!H302</f>
        <v>Fuga en Etxegoien</v>
      </c>
      <c r="I302" t="str">
        <f>[1]LISTADO_OTS!I302</f>
        <v>Fuga en Etxegoien</v>
      </c>
      <c r="J302" s="1">
        <f>[1]LISTADO_OTS!F302</f>
        <v>45905</v>
      </c>
      <c r="K302" s="1">
        <f>[1]LISTADO_OTS!G302</f>
        <v>45905</v>
      </c>
      <c r="L302">
        <f>[1]LISTADO_OTS!M302</f>
        <v>43.043339000000003</v>
      </c>
      <c r="M302">
        <f>[1]LISTADO_OTS!N302</f>
        <v>-3.0217200000000002</v>
      </c>
      <c r="U302" t="b">
        <f>[1]LISTADO_OTS!O302</f>
        <v>1</v>
      </c>
      <c r="V302" t="str">
        <f>[1]LISTADO_OTS!J302</f>
        <v>Etxegoien</v>
      </c>
      <c r="W302">
        <f>[1]LISTADO_OTS!R302</f>
        <v>1</v>
      </c>
      <c r="X302">
        <f>[1]LISTADO_OTS!P302</f>
        <v>0</v>
      </c>
      <c r="Y302">
        <v>1</v>
      </c>
      <c r="Z302">
        <f>[1]LISTADO_OTS!S302</f>
        <v>1</v>
      </c>
    </row>
    <row r="303" spans="1:26" x14ac:dyDescent="0.4">
      <c r="A303">
        <v>302</v>
      </c>
      <c r="B303" t="str">
        <f>[1]LISTADO_OTS!E303</f>
        <v>OT/0348</v>
      </c>
      <c r="C303">
        <f>VLOOKUP([1]LISTADO_OTS!B303,[1]Redes!$C$1:$E$5,3,FALSE)</f>
        <v>3</v>
      </c>
      <c r="D303">
        <f>[1]LISTADO_OTS!C303</f>
        <v>1</v>
      </c>
      <c r="E303">
        <f>[1]LISTADO_OTS!D303</f>
        <v>0</v>
      </c>
      <c r="F303">
        <f>[1]LISTADO_OTS!Q303</f>
        <v>5</v>
      </c>
      <c r="G303">
        <f>[1]LISTADO_OTS!R303</f>
        <v>5</v>
      </c>
      <c r="H303" t="str">
        <f>[1]LISTADO_OTS!H303</f>
        <v>Fuga en Espejo</v>
      </c>
      <c r="I303" t="str">
        <f>[1]LISTADO_OTS!I303</f>
        <v>Fuga en Espejo</v>
      </c>
      <c r="J303" s="1">
        <f>[1]LISTADO_OTS!F303</f>
        <v>45905</v>
      </c>
      <c r="K303" s="1">
        <f>[1]LISTADO_OTS!G303</f>
        <v>45905</v>
      </c>
      <c r="L303">
        <f>[1]LISTADO_OTS!M303</f>
        <v>0</v>
      </c>
      <c r="M303">
        <f>[1]LISTADO_OTS!N303</f>
        <v>0</v>
      </c>
      <c r="U303" t="b">
        <f>[1]LISTADO_OTS!O303</f>
        <v>1</v>
      </c>
      <c r="V303" t="str">
        <f>[1]LISTADO_OTS!J303</f>
        <v>Espejo</v>
      </c>
      <c r="W303">
        <f>[1]LISTADO_OTS!R303</f>
        <v>5</v>
      </c>
      <c r="X303">
        <f>[1]LISTADO_OTS!P303</f>
        <v>0</v>
      </c>
      <c r="Y303">
        <v>1</v>
      </c>
      <c r="Z303">
        <f>[1]LISTADO_OTS!S303</f>
        <v>1</v>
      </c>
    </row>
    <row r="304" spans="1:26" x14ac:dyDescent="0.4">
      <c r="A304">
        <v>303</v>
      </c>
      <c r="B304" t="str">
        <f>[1]LISTADO_OTS!E304</f>
        <v>TP/0134</v>
      </c>
      <c r="C304">
        <f>VLOOKUP([1]LISTADO_OTS!B304,[1]Redes!$C$1:$E$5,3,FALSE)</f>
        <v>1</v>
      </c>
      <c r="D304">
        <f>[1]LISTADO_OTS!C304</f>
        <v>2</v>
      </c>
      <c r="E304">
        <f>[1]LISTADO_OTS!D304</f>
        <v>2</v>
      </c>
      <c r="F304">
        <f>[1]LISTADO_OTS!Q304</f>
        <v>1</v>
      </c>
      <c r="G304">
        <f>[1]LISTADO_OTS!R304</f>
        <v>1</v>
      </c>
      <c r="H304" t="str">
        <f>[1]LISTADO_OTS!H304</f>
        <v>Limpiezas captaciones en Llanteno</v>
      </c>
      <c r="I304" t="str">
        <f>[1]LISTADO_OTS!I304</f>
        <v>Limpiezas captaciones en Llanteno</v>
      </c>
      <c r="J304" s="1">
        <f>[1]LISTADO_OTS!F304</f>
        <v>45905</v>
      </c>
      <c r="K304" s="1">
        <f>[1]LISTADO_OTS!G304</f>
        <v>45905</v>
      </c>
      <c r="L304">
        <f>[1]LISTADO_OTS!M304</f>
        <v>0</v>
      </c>
      <c r="M304">
        <f>[1]LISTADO_OTS!N304</f>
        <v>0</v>
      </c>
      <c r="U304" t="b">
        <f>[1]LISTADO_OTS!O304</f>
        <v>1</v>
      </c>
      <c r="V304" t="str">
        <f>[1]LISTADO_OTS!J304</f>
        <v>Llanteno</v>
      </c>
      <c r="W304">
        <f>[1]LISTADO_OTS!R304</f>
        <v>1</v>
      </c>
      <c r="X304">
        <f>[1]LISTADO_OTS!P304</f>
        <v>0</v>
      </c>
      <c r="Y304">
        <v>1</v>
      </c>
      <c r="Z304">
        <f>[1]LISTADO_OTS!S304</f>
        <v>0</v>
      </c>
    </row>
    <row r="305" spans="1:26" x14ac:dyDescent="0.4">
      <c r="A305">
        <v>304</v>
      </c>
      <c r="B305" t="str">
        <f>[1]LISTADO_OTS!E305</f>
        <v>OT/0258</v>
      </c>
      <c r="C305">
        <f>VLOOKUP([1]LISTADO_OTS!B305,[1]Redes!$C$1:$E$5,3,FALSE)</f>
        <v>3</v>
      </c>
      <c r="D305">
        <f>[1]LISTADO_OTS!C305</f>
        <v>1</v>
      </c>
      <c r="E305">
        <f>[1]LISTADO_OTS!D305</f>
        <v>0</v>
      </c>
      <c r="F305">
        <f>[1]LISTADO_OTS!Q305</f>
        <v>6</v>
      </c>
      <c r="G305">
        <f>[1]LISTADO_OTS!R305</f>
        <v>6</v>
      </c>
      <c r="H305" t="str">
        <f>[1]LISTADO_OTS!H305</f>
        <v>Fuga en Sabanto</v>
      </c>
      <c r="I305" t="str">
        <f>[1]LISTADO_OTS!I305</f>
        <v>Fuga en Sabando</v>
      </c>
      <c r="J305" s="1">
        <f>[1]LISTADO_OTS!F305</f>
        <v>45905</v>
      </c>
      <c r="K305" s="1">
        <f>[1]LISTADO_OTS!G305</f>
        <v>45905</v>
      </c>
      <c r="L305">
        <f>[1]LISTADO_OTS!M305</f>
        <v>42.749721999999998</v>
      </c>
      <c r="M305">
        <f>[1]LISTADO_OTS!N305</f>
        <v>-2.4021710000000001</v>
      </c>
      <c r="U305" t="b">
        <f>[1]LISTADO_OTS!O305</f>
        <v>1</v>
      </c>
      <c r="V305" t="str">
        <f>[1]LISTADO_OTS!J305</f>
        <v>Sabando</v>
      </c>
      <c r="W305">
        <f>[1]LISTADO_OTS!R305</f>
        <v>6</v>
      </c>
      <c r="X305">
        <f>[1]LISTADO_OTS!P305</f>
        <v>0</v>
      </c>
      <c r="Y305">
        <v>1</v>
      </c>
      <c r="Z305">
        <f>[1]LISTADO_OTS!S305</f>
        <v>1</v>
      </c>
    </row>
    <row r="306" spans="1:26" x14ac:dyDescent="0.4">
      <c r="A306">
        <v>305</v>
      </c>
      <c r="B306" t="str">
        <f>[1]LISTADO_OTS!E306</f>
        <v>TP/0135</v>
      </c>
      <c r="C306">
        <f>VLOOKUP([1]LISTADO_OTS!B306,[1]Redes!$C$1:$E$5,3,FALSE)</f>
        <v>3</v>
      </c>
      <c r="D306">
        <f>[1]LISTADO_OTS!C306</f>
        <v>2</v>
      </c>
      <c r="E306">
        <f>[1]LISTADO_OTS!D306</f>
        <v>8</v>
      </c>
      <c r="F306">
        <f>[1]LISTADO_OTS!Q306</f>
        <v>5</v>
      </c>
      <c r="G306">
        <f>[1]LISTADO_OTS!R306</f>
        <v>5</v>
      </c>
      <c r="H306" t="str">
        <f>[1]LISTADO_OTS!H306</f>
        <v>Cambio de contador en Tuesta</v>
      </c>
      <c r="I306" t="str">
        <f>[1]LISTADO_OTS!I306</f>
        <v>Cambio de contador en Tuesta</v>
      </c>
      <c r="J306" s="1">
        <f>[1]LISTADO_OTS!F306</f>
        <v>45910</v>
      </c>
      <c r="K306" s="1">
        <f>[1]LISTADO_OTS!G306</f>
        <v>45910</v>
      </c>
      <c r="L306">
        <f>[1]LISTADO_OTS!M306</f>
        <v>0</v>
      </c>
      <c r="M306">
        <f>[1]LISTADO_OTS!N306</f>
        <v>0</v>
      </c>
      <c r="U306" t="b">
        <f>[1]LISTADO_OTS!O306</f>
        <v>1</v>
      </c>
      <c r="V306" t="str">
        <f>[1]LISTADO_OTS!J306</f>
        <v>Tuesta</v>
      </c>
      <c r="W306">
        <f>[1]LISTADO_OTS!R306</f>
        <v>5</v>
      </c>
      <c r="X306">
        <f>[1]LISTADO_OTS!P306</f>
        <v>0</v>
      </c>
      <c r="Y306">
        <v>1</v>
      </c>
      <c r="Z306">
        <f>[1]LISTADO_OTS!S306</f>
        <v>0</v>
      </c>
    </row>
    <row r="307" spans="1:26" x14ac:dyDescent="0.4">
      <c r="A307">
        <v>306</v>
      </c>
      <c r="B307" t="str">
        <f>[1]LISTADO_OTS!E307</f>
        <v>TP/0136</v>
      </c>
      <c r="C307">
        <f>VLOOKUP([1]LISTADO_OTS!B307,[1]Redes!$C$1:$E$5,3,FALSE)</f>
        <v>3</v>
      </c>
      <c r="D307">
        <f>[1]LISTADO_OTS!C307</f>
        <v>2</v>
      </c>
      <c r="E307">
        <f>[1]LISTADO_OTS!D307</f>
        <v>8</v>
      </c>
      <c r="F307">
        <f>[1]LISTADO_OTS!Q307</f>
        <v>5</v>
      </c>
      <c r="G307">
        <f>[1]LISTADO_OTS!R307</f>
        <v>5</v>
      </c>
      <c r="H307" t="str">
        <f>[1]LISTADO_OTS!H307</f>
        <v>Cambio de contador en Ribabellosa</v>
      </c>
      <c r="I307" t="str">
        <f>[1]LISTADO_OTS!I307</f>
        <v>Cambio de contador en Ribabellosa en la residencia</v>
      </c>
      <c r="J307" s="1">
        <f>[1]LISTADO_OTS!F307</f>
        <v>45910</v>
      </c>
      <c r="K307" s="1">
        <f>[1]LISTADO_OTS!G307</f>
        <v>45910</v>
      </c>
      <c r="L307">
        <f>[1]LISTADO_OTS!M307</f>
        <v>0</v>
      </c>
      <c r="M307">
        <f>[1]LISTADO_OTS!N307</f>
        <v>0</v>
      </c>
      <c r="U307" t="b">
        <f>[1]LISTADO_OTS!O307</f>
        <v>1</v>
      </c>
      <c r="V307" t="str">
        <f>[1]LISTADO_OTS!J307</f>
        <v>Ribabellosa</v>
      </c>
      <c r="W307">
        <f>[1]LISTADO_OTS!R307</f>
        <v>5</v>
      </c>
      <c r="X307">
        <f>[1]LISTADO_OTS!P307</f>
        <v>0</v>
      </c>
      <c r="Y307">
        <v>1</v>
      </c>
      <c r="Z307">
        <f>[1]LISTADO_OTS!S307</f>
        <v>0</v>
      </c>
    </row>
    <row r="308" spans="1:26" x14ac:dyDescent="0.4">
      <c r="A308">
        <v>307</v>
      </c>
      <c r="B308" t="str">
        <f>[1]LISTADO_OTS!E308</f>
        <v>OT/0259</v>
      </c>
      <c r="C308">
        <f>VLOOKUP([1]LISTADO_OTS!B308,[1]Redes!$C$1:$E$5,3,FALSE)</f>
        <v>3</v>
      </c>
      <c r="D308">
        <f>[1]LISTADO_OTS!C308</f>
        <v>1</v>
      </c>
      <c r="E308">
        <f>[1]LISTADO_OTS!D308</f>
        <v>0</v>
      </c>
      <c r="F308">
        <f>[1]LISTADO_OTS!Q308</f>
        <v>5</v>
      </c>
      <c r="G308">
        <f>[1]LISTADO_OTS!R308</f>
        <v>5</v>
      </c>
      <c r="H308" t="str">
        <f>[1]LISTADO_OTS!H308</f>
        <v>Reparacion de fuga en Berantevilla</v>
      </c>
      <c r="I308" t="str">
        <f>[1]LISTADO_OTS!I308</f>
        <v>Reparacion de fuga en Berantevilla</v>
      </c>
      <c r="J308" s="1">
        <f>[1]LISTADO_OTS!F308</f>
        <v>45910</v>
      </c>
      <c r="K308" s="1">
        <f>[1]LISTADO_OTS!G308</f>
        <v>45925</v>
      </c>
      <c r="L308">
        <f>[1]LISTADO_OTS!M308</f>
        <v>42.683829000000003</v>
      </c>
      <c r="M308">
        <f>[1]LISTADO_OTS!N308</f>
        <v>-2.8609059999999999</v>
      </c>
      <c r="U308" t="b">
        <f>[1]LISTADO_OTS!O308</f>
        <v>1</v>
      </c>
      <c r="V308" t="str">
        <f>[1]LISTADO_OTS!J308</f>
        <v>Berantevilla</v>
      </c>
      <c r="W308">
        <f>[1]LISTADO_OTS!R308</f>
        <v>5</v>
      </c>
      <c r="X308">
        <f>[1]LISTADO_OTS!P308</f>
        <v>0</v>
      </c>
      <c r="Y308">
        <v>1</v>
      </c>
      <c r="Z308">
        <f>[1]LISTADO_OTS!S308</f>
        <v>1</v>
      </c>
    </row>
    <row r="309" spans="1:26" x14ac:dyDescent="0.4">
      <c r="A309">
        <v>308</v>
      </c>
      <c r="B309" t="str">
        <f>[1]LISTADO_OTS!E309</f>
        <v>TP/0137</v>
      </c>
      <c r="C309">
        <f>VLOOKUP([1]LISTADO_OTS!B309,[1]Redes!$C$1:$E$5,3,FALSE)</f>
        <v>2</v>
      </c>
      <c r="D309">
        <f>[1]LISTADO_OTS!C309</f>
        <v>2</v>
      </c>
      <c r="E309">
        <f>[1]LISTADO_OTS!D309</f>
        <v>3</v>
      </c>
      <c r="F309">
        <f>[1]LISTADO_OTS!Q309</f>
        <v>3</v>
      </c>
      <c r="G309">
        <f>[1]LISTADO_OTS!R309</f>
        <v>3</v>
      </c>
      <c r="H309" t="str">
        <f>[1]LISTADO_OTS!H309</f>
        <v>Mantenimiento de fosas septicas en Dulantzi-Usategui</v>
      </c>
      <c r="I309" t="str">
        <f>[1]LISTADO_OTS!I309</f>
        <v>Mantenimiento de fosas septicas en Dulantzi</v>
      </c>
      <c r="J309" s="1">
        <f>[1]LISTADO_OTS!F309</f>
        <v>45905</v>
      </c>
      <c r="K309" s="1">
        <f>[1]LISTADO_OTS!G309</f>
        <v>45905</v>
      </c>
      <c r="L309">
        <f>[1]LISTADO_OTS!M309</f>
        <v>0</v>
      </c>
      <c r="M309">
        <f>[1]LISTADO_OTS!N309</f>
        <v>0</v>
      </c>
      <c r="U309" t="b">
        <f>[1]LISTADO_OTS!O309</f>
        <v>1</v>
      </c>
      <c r="V309" t="str">
        <f>[1]LISTADO_OTS!J309</f>
        <v>Dulantzi</v>
      </c>
      <c r="W309">
        <f>[1]LISTADO_OTS!R309</f>
        <v>3</v>
      </c>
      <c r="X309">
        <f>[1]LISTADO_OTS!P309</f>
        <v>0</v>
      </c>
      <c r="Y309">
        <v>1</v>
      </c>
      <c r="Z309">
        <f>[1]LISTADO_OTS!S309</f>
        <v>0</v>
      </c>
    </row>
    <row r="310" spans="1:26" x14ac:dyDescent="0.4">
      <c r="A310">
        <v>309</v>
      </c>
      <c r="B310" t="str">
        <f>[1]LISTADO_OTS!E310</f>
        <v>TP/0138</v>
      </c>
      <c r="C310">
        <f>VLOOKUP([1]LISTADO_OTS!B310,[1]Redes!$C$1:$E$5,3,FALSE)</f>
        <v>5</v>
      </c>
      <c r="D310">
        <f>[1]LISTADO_OTS!C310</f>
        <v>2</v>
      </c>
      <c r="E310">
        <f>[1]LISTADO_OTS!D310</f>
        <v>5</v>
      </c>
      <c r="F310">
        <f>[1]LISTADO_OTS!Q310</f>
        <v>3</v>
      </c>
      <c r="G310">
        <f>[1]LISTADO_OTS!R310</f>
        <v>21</v>
      </c>
      <c r="H310" t="str">
        <f>[1]LISTADO_OTS!H310</f>
        <v>Cartografia red saneamiento inventario en P.I.Usategui</v>
      </c>
      <c r="I310" t="str">
        <f>[1]LISTADO_OTS!I310</f>
        <v>Cartografia red saneamiento inventario</v>
      </c>
      <c r="J310" s="1">
        <f>[1]LISTADO_OTS!F310</f>
        <v>45905</v>
      </c>
      <c r="K310" s="1">
        <f>[1]LISTADO_OTS!G310</f>
        <v>45905</v>
      </c>
      <c r="L310">
        <f>[1]LISTADO_OTS!M310</f>
        <v>0</v>
      </c>
      <c r="M310">
        <f>[1]LISTADO_OTS!N310</f>
        <v>0</v>
      </c>
      <c r="U310" t="b">
        <f>[1]LISTADO_OTS!O310</f>
        <v>1</v>
      </c>
      <c r="V310" t="str">
        <f>[1]LISTADO_OTS!J310</f>
        <v>Dulantzi</v>
      </c>
      <c r="W310">
        <f>[1]LISTADO_OTS!R310</f>
        <v>21</v>
      </c>
      <c r="X310">
        <f>[1]LISTADO_OTS!P310</f>
        <v>0</v>
      </c>
      <c r="Y310">
        <v>1</v>
      </c>
      <c r="Z310">
        <f>[1]LISTADO_OTS!S310</f>
        <v>0</v>
      </c>
    </row>
    <row r="311" spans="1:26" x14ac:dyDescent="0.4">
      <c r="A311">
        <v>310</v>
      </c>
      <c r="B311" t="str">
        <f>[1]LISTADO_OTS!E311</f>
        <v>TP/0139</v>
      </c>
      <c r="C311">
        <f>VLOOKUP([1]LISTADO_OTS!B311,[1]Redes!$C$1:$E$5,3,FALSE)</f>
        <v>3</v>
      </c>
      <c r="D311">
        <f>[1]LISTADO_OTS!C311</f>
        <v>2</v>
      </c>
      <c r="E311">
        <f>[1]LISTADO_OTS!D311</f>
        <v>7</v>
      </c>
      <c r="F311">
        <f>[1]LISTADO_OTS!Q311</f>
        <v>3</v>
      </c>
      <c r="G311">
        <f>[1]LISTADO_OTS!R311</f>
        <v>3</v>
      </c>
      <c r="H311" t="str">
        <f>[1]LISTADO_OTS!H311</f>
        <v>Localización de fugas en Elburgo</v>
      </c>
      <c r="I311" t="str">
        <f>[1]LISTADO_OTS!I311</f>
        <v>Localización de fugas en Elburgo</v>
      </c>
      <c r="J311" s="1">
        <f>[1]LISTADO_OTS!F311</f>
        <v>45908</v>
      </c>
      <c r="K311" s="1">
        <f>[1]LISTADO_OTS!G311</f>
        <v>45908</v>
      </c>
      <c r="L311">
        <f>[1]LISTADO_OTS!M311</f>
        <v>0</v>
      </c>
      <c r="M311">
        <f>[1]LISTADO_OTS!N311</f>
        <v>0</v>
      </c>
      <c r="U311" t="b">
        <f>[1]LISTADO_OTS!O311</f>
        <v>1</v>
      </c>
      <c r="V311" t="str">
        <f>[1]LISTADO_OTS!J311</f>
        <v>Elburgo</v>
      </c>
      <c r="W311">
        <f>[1]LISTADO_OTS!R311</f>
        <v>3</v>
      </c>
      <c r="X311">
        <f>[1]LISTADO_OTS!P311</f>
        <v>0</v>
      </c>
      <c r="Y311">
        <v>1</v>
      </c>
      <c r="Z311">
        <f>[1]LISTADO_OTS!S311</f>
        <v>1</v>
      </c>
    </row>
    <row r="312" spans="1:26" x14ac:dyDescent="0.4">
      <c r="A312">
        <v>311</v>
      </c>
      <c r="B312" t="str">
        <f>[1]LISTADO_OTS!E312</f>
        <v>TP/0140</v>
      </c>
      <c r="C312">
        <f>VLOOKUP([1]LISTADO_OTS!B312,[1]Redes!$C$1:$E$5,3,FALSE)</f>
        <v>3</v>
      </c>
      <c r="D312">
        <f>[1]LISTADO_OTS!C312</f>
        <v>2</v>
      </c>
      <c r="E312">
        <f>[1]LISTADO_OTS!D312</f>
        <v>7</v>
      </c>
      <c r="F312">
        <f>[1]LISTADO_OTS!Q312</f>
        <v>5</v>
      </c>
      <c r="G312">
        <f>[1]LISTADO_OTS!R312</f>
        <v>5</v>
      </c>
      <c r="H312" t="str">
        <f>[1]LISTADO_OTS!H312</f>
        <v>Localización de fugas en Berantevilla</v>
      </c>
      <c r="I312" t="str">
        <f>[1]LISTADO_OTS!I312</f>
        <v>Localización de fugas en Berantevilla</v>
      </c>
      <c r="J312" s="1">
        <f>[1]LISTADO_OTS!F312</f>
        <v>45908</v>
      </c>
      <c r="K312" s="1">
        <f>[1]LISTADO_OTS!G312</f>
        <v>45908</v>
      </c>
      <c r="L312">
        <f>[1]LISTADO_OTS!M312</f>
        <v>0</v>
      </c>
      <c r="M312">
        <f>[1]LISTADO_OTS!N312</f>
        <v>0</v>
      </c>
      <c r="U312" t="b">
        <f>[1]LISTADO_OTS!O312</f>
        <v>1</v>
      </c>
      <c r="V312" t="str">
        <f>[1]LISTADO_OTS!J312</f>
        <v>Berantevilla</v>
      </c>
      <c r="W312">
        <f>[1]LISTADO_OTS!R312</f>
        <v>5</v>
      </c>
      <c r="X312">
        <f>[1]LISTADO_OTS!P312</f>
        <v>0</v>
      </c>
      <c r="Y312">
        <v>1</v>
      </c>
      <c r="Z312">
        <f>[1]LISTADO_OTS!S312</f>
        <v>1</v>
      </c>
    </row>
    <row r="313" spans="1:26" x14ac:dyDescent="0.4">
      <c r="A313">
        <v>312</v>
      </c>
      <c r="B313" t="str">
        <f>[1]LISTADO_OTS!E313</f>
        <v>TP/0141</v>
      </c>
      <c r="C313">
        <f>VLOOKUP([1]LISTADO_OTS!B313,[1]Redes!$C$1:$E$5,3,FALSE)</f>
        <v>2</v>
      </c>
      <c r="D313">
        <f>[1]LISTADO_OTS!C313</f>
        <v>2</v>
      </c>
      <c r="E313">
        <f>[1]LISTADO_OTS!D313</f>
        <v>3</v>
      </c>
      <c r="F313">
        <f>[1]LISTADO_OTS!Q313</f>
        <v>5</v>
      </c>
      <c r="G313">
        <f>[1]LISTADO_OTS!R313</f>
        <v>5</v>
      </c>
      <c r="H313" t="str">
        <f>[1]LISTADO_OTS!H313</f>
        <v>Mantenimiento de fosas en Corro</v>
      </c>
      <c r="I313" t="str">
        <f>[1]LISTADO_OTS!I313</f>
        <v>Mantenimiento de fosas en Corro</v>
      </c>
      <c r="J313" s="1">
        <f>[1]LISTADO_OTS!F313</f>
        <v>45908</v>
      </c>
      <c r="K313" s="1">
        <f>[1]LISTADO_OTS!G313</f>
        <v>45908</v>
      </c>
      <c r="L313">
        <f>[1]LISTADO_OTS!M313</f>
        <v>0</v>
      </c>
      <c r="M313">
        <f>[1]LISTADO_OTS!N313</f>
        <v>0</v>
      </c>
      <c r="U313" t="b">
        <f>[1]LISTADO_OTS!O313</f>
        <v>1</v>
      </c>
      <c r="V313" t="str">
        <f>[1]LISTADO_OTS!J313</f>
        <v>Corro</v>
      </c>
      <c r="W313">
        <f>[1]LISTADO_OTS!R313</f>
        <v>5</v>
      </c>
      <c r="X313">
        <f>[1]LISTADO_OTS!P313</f>
        <v>0</v>
      </c>
      <c r="Y313">
        <v>1</v>
      </c>
      <c r="Z313">
        <f>[1]LISTADO_OTS!S313</f>
        <v>0</v>
      </c>
    </row>
    <row r="314" spans="1:26" x14ac:dyDescent="0.4">
      <c r="A314">
        <v>313</v>
      </c>
      <c r="B314" t="str">
        <f>[1]LISTADO_OTS!E314</f>
        <v>TP/0142</v>
      </c>
      <c r="C314">
        <f>VLOOKUP([1]LISTADO_OTS!B314,[1]Redes!$C$1:$E$5,3,FALSE)</f>
        <v>3</v>
      </c>
      <c r="D314">
        <f>[1]LISTADO_OTS!C314</f>
        <v>2</v>
      </c>
      <c r="E314">
        <f>[1]LISTADO_OTS!D314</f>
        <v>7</v>
      </c>
      <c r="F314">
        <f>[1]LISTADO_OTS!Q314</f>
        <v>1</v>
      </c>
      <c r="G314">
        <f>[1]LISTADO_OTS!R314</f>
        <v>1</v>
      </c>
      <c r="H314" t="str">
        <f>[1]LISTADO_OTS!H314</f>
        <v>Localización de fugas  en Respaldiza</v>
      </c>
      <c r="I314" t="str">
        <f>[1]LISTADO_OTS!I314</f>
        <v>Localización de fugas  en Respaldiza</v>
      </c>
      <c r="J314" s="1">
        <f>[1]LISTADO_OTS!F314</f>
        <v>45908</v>
      </c>
      <c r="K314" s="1">
        <f>[1]LISTADO_OTS!G314</f>
        <v>45908</v>
      </c>
      <c r="L314">
        <f>[1]LISTADO_OTS!M314</f>
        <v>0</v>
      </c>
      <c r="M314">
        <f>[1]LISTADO_OTS!N314</f>
        <v>0</v>
      </c>
      <c r="U314" t="b">
        <f>[1]LISTADO_OTS!O314</f>
        <v>1</v>
      </c>
      <c r="V314" t="str">
        <f>[1]LISTADO_OTS!J314</f>
        <v>Respaldiza</v>
      </c>
      <c r="W314">
        <f>[1]LISTADO_OTS!R314</f>
        <v>1</v>
      </c>
      <c r="X314">
        <f>[1]LISTADO_OTS!P314</f>
        <v>0</v>
      </c>
      <c r="Y314">
        <v>1</v>
      </c>
      <c r="Z314">
        <f>[1]LISTADO_OTS!S314</f>
        <v>1</v>
      </c>
    </row>
    <row r="315" spans="1:26" x14ac:dyDescent="0.4">
      <c r="A315">
        <v>314</v>
      </c>
      <c r="B315" t="str">
        <f>[1]LISTADO_OTS!E315</f>
        <v>TP/0143</v>
      </c>
      <c r="C315">
        <f>VLOOKUP([1]LISTADO_OTS!B315,[1]Redes!$C$1:$E$5,3,FALSE)</f>
        <v>3</v>
      </c>
      <c r="D315">
        <f>[1]LISTADO_OTS!C315</f>
        <v>2</v>
      </c>
      <c r="E315">
        <f>[1]LISTADO_OTS!D315</f>
        <v>8</v>
      </c>
      <c r="F315">
        <f>[1]LISTADO_OTS!Q315</f>
        <v>3</v>
      </c>
      <c r="G315">
        <f>[1]LISTADO_OTS!R315</f>
        <v>3</v>
      </c>
      <c r="H315" t="str">
        <f>[1]LISTADO_OTS!H315</f>
        <v>Instalacion de contadores en Alegria - Dulantzi</v>
      </c>
      <c r="I315" t="str">
        <f>[1]LISTADO_OTS!I315</f>
        <v>Instalacion de contadores en Txoznas</v>
      </c>
      <c r="J315" s="1">
        <f>[1]LISTADO_OTS!F315</f>
        <v>45910</v>
      </c>
      <c r="K315" s="1">
        <f>[1]LISTADO_OTS!G315</f>
        <v>45910</v>
      </c>
      <c r="L315">
        <f>[1]LISTADO_OTS!M315</f>
        <v>0</v>
      </c>
      <c r="M315">
        <f>[1]LISTADO_OTS!N315</f>
        <v>0</v>
      </c>
      <c r="U315" t="b">
        <f>[1]LISTADO_OTS!O315</f>
        <v>1</v>
      </c>
      <c r="V315" t="str">
        <f>[1]LISTADO_OTS!J315</f>
        <v>Alegría</v>
      </c>
      <c r="W315">
        <f>[1]LISTADO_OTS!R315</f>
        <v>3</v>
      </c>
      <c r="X315">
        <f>[1]LISTADO_OTS!P315</f>
        <v>0</v>
      </c>
      <c r="Y315">
        <v>1</v>
      </c>
      <c r="Z315">
        <f>[1]LISTADO_OTS!S315</f>
        <v>0</v>
      </c>
    </row>
    <row r="316" spans="1:26" x14ac:dyDescent="0.4">
      <c r="A316">
        <v>315</v>
      </c>
      <c r="B316" t="str">
        <f>[1]LISTADO_OTS!E316</f>
        <v>TP/0144</v>
      </c>
      <c r="C316">
        <f>VLOOKUP([1]LISTADO_OTS!B316,[1]Redes!$C$1:$E$5,3,FALSE)</f>
        <v>3</v>
      </c>
      <c r="D316">
        <f>[1]LISTADO_OTS!C316</f>
        <v>2</v>
      </c>
      <c r="E316">
        <f>[1]LISTADO_OTS!D316</f>
        <v>8</v>
      </c>
      <c r="F316">
        <f>[1]LISTADO_OTS!Q316</f>
        <v>3</v>
      </c>
      <c r="G316">
        <f>[1]LISTADO_OTS!R316</f>
        <v>3</v>
      </c>
      <c r="H316" t="str">
        <f>[1]LISTADO_OTS!H316</f>
        <v>Sustitución de contadores en Alegria - Dulantzi</v>
      </c>
      <c r="I316" t="str">
        <f>[1]LISTADO_OTS!I316</f>
        <v>Sustitución de contadores en Alegria</v>
      </c>
      <c r="J316" s="1">
        <f>[1]LISTADO_OTS!F316</f>
        <v>45910</v>
      </c>
      <c r="K316" s="1">
        <f>[1]LISTADO_OTS!G316</f>
        <v>45910</v>
      </c>
      <c r="L316">
        <f>[1]LISTADO_OTS!M316</f>
        <v>0</v>
      </c>
      <c r="M316">
        <f>[1]LISTADO_OTS!N316</f>
        <v>0</v>
      </c>
      <c r="U316" t="b">
        <f>[1]LISTADO_OTS!O316</f>
        <v>1</v>
      </c>
      <c r="V316" t="str">
        <f>[1]LISTADO_OTS!J316</f>
        <v>Alegría</v>
      </c>
      <c r="W316">
        <f>[1]LISTADO_OTS!R316</f>
        <v>3</v>
      </c>
      <c r="X316">
        <f>[1]LISTADO_OTS!P316</f>
        <v>0</v>
      </c>
      <c r="Y316">
        <v>1</v>
      </c>
      <c r="Z316">
        <f>[1]LISTADO_OTS!S316</f>
        <v>0</v>
      </c>
    </row>
    <row r="317" spans="1:26" x14ac:dyDescent="0.4">
      <c r="A317">
        <v>316</v>
      </c>
      <c r="B317" t="str">
        <f>[1]LISTADO_OTS!E317</f>
        <v>TP/0145</v>
      </c>
      <c r="C317">
        <f>VLOOKUP([1]LISTADO_OTS!B317,[1]Redes!$C$1:$E$5,3,FALSE)</f>
        <v>3</v>
      </c>
      <c r="D317">
        <f>[1]LISTADO_OTS!C317</f>
        <v>2</v>
      </c>
      <c r="E317">
        <f>[1]LISTADO_OTS!D317</f>
        <v>8</v>
      </c>
      <c r="F317">
        <f>[1]LISTADO_OTS!Q317</f>
        <v>3</v>
      </c>
      <c r="G317">
        <f>[1]LISTADO_OTS!R317</f>
        <v>3</v>
      </c>
      <c r="H317" t="str">
        <f>[1]LISTADO_OTS!H317</f>
        <v>Cambio de contador en Alegria - Dulantzi</v>
      </c>
      <c r="I317" t="str">
        <f>[1]LISTADO_OTS!I317</f>
        <v>Cambio de contador en Alegria - Dulantzi</v>
      </c>
      <c r="J317" s="1">
        <f>[1]LISTADO_OTS!F317</f>
        <v>45910</v>
      </c>
      <c r="K317" s="1">
        <f>[1]LISTADO_OTS!G317</f>
        <v>45910</v>
      </c>
      <c r="L317">
        <f>[1]LISTADO_OTS!M317</f>
        <v>0</v>
      </c>
      <c r="M317">
        <f>[1]LISTADO_OTS!N317</f>
        <v>0</v>
      </c>
      <c r="U317" t="b">
        <f>[1]LISTADO_OTS!O317</f>
        <v>1</v>
      </c>
      <c r="V317" t="str">
        <f>[1]LISTADO_OTS!J317</f>
        <v>Dulantzi</v>
      </c>
      <c r="W317">
        <f>[1]LISTADO_OTS!R317</f>
        <v>3</v>
      </c>
      <c r="X317">
        <f>[1]LISTADO_OTS!P317</f>
        <v>0</v>
      </c>
      <c r="Y317">
        <v>1</v>
      </c>
      <c r="Z317">
        <f>[1]LISTADO_OTS!S317</f>
        <v>0</v>
      </c>
    </row>
    <row r="318" spans="1:26" x14ac:dyDescent="0.4">
      <c r="A318">
        <v>317</v>
      </c>
      <c r="B318" t="str">
        <f>[1]LISTADO_OTS!E318</f>
        <v>TP/0146</v>
      </c>
      <c r="C318">
        <f>VLOOKUP([1]LISTADO_OTS!B318,[1]Redes!$C$1:$E$5,3,FALSE)</f>
        <v>2</v>
      </c>
      <c r="D318">
        <f>[1]LISTADO_OTS!C318</f>
        <v>2</v>
      </c>
      <c r="E318">
        <f>[1]LISTADO_OTS!D318</f>
        <v>3</v>
      </c>
      <c r="F318">
        <f>[1]LISTADO_OTS!Q318</f>
        <v>3</v>
      </c>
      <c r="G318">
        <f>[1]LISTADO_OTS!R318</f>
        <v>3</v>
      </c>
      <c r="H318" t="str">
        <f>[1]LISTADO_OTS!H318</f>
        <v>Limpiezas de Fosa en Elburgo</v>
      </c>
      <c r="I318" t="str">
        <f>[1]LISTADO_OTS!I318</f>
        <v>Limpiezas de Fosa en Elburgo</v>
      </c>
      <c r="J318" s="1">
        <f>[1]LISTADO_OTS!F318</f>
        <v>45910</v>
      </c>
      <c r="K318" s="1">
        <f>[1]LISTADO_OTS!G318</f>
        <v>45910</v>
      </c>
      <c r="L318">
        <f>[1]LISTADO_OTS!M318</f>
        <v>0</v>
      </c>
      <c r="M318">
        <f>[1]LISTADO_OTS!N318</f>
        <v>0</v>
      </c>
      <c r="U318" t="b">
        <f>[1]LISTADO_OTS!O318</f>
        <v>1</v>
      </c>
      <c r="V318" t="str">
        <f>[1]LISTADO_OTS!J318</f>
        <v>Elburgo</v>
      </c>
      <c r="W318">
        <f>[1]LISTADO_OTS!R318</f>
        <v>3</v>
      </c>
      <c r="X318">
        <f>[1]LISTADO_OTS!P318</f>
        <v>0</v>
      </c>
      <c r="Y318">
        <v>1</v>
      </c>
      <c r="Z318">
        <f>[1]LISTADO_OTS!S318</f>
        <v>0</v>
      </c>
    </row>
    <row r="319" spans="1:26" x14ac:dyDescent="0.4">
      <c r="A319">
        <v>318</v>
      </c>
      <c r="B319" t="str">
        <f>[1]LISTADO_OTS!E319</f>
        <v>TP/0147</v>
      </c>
      <c r="C319">
        <f>VLOOKUP([1]LISTADO_OTS!B319,[1]Redes!$C$1:$E$5,3,FALSE)</f>
        <v>3</v>
      </c>
      <c r="D319">
        <f>[1]LISTADO_OTS!C319</f>
        <v>2</v>
      </c>
      <c r="E319">
        <f>[1]LISTADO_OTS!D319</f>
        <v>8</v>
      </c>
      <c r="F319">
        <f>[1]LISTADO_OTS!Q319</f>
        <v>1</v>
      </c>
      <c r="G319">
        <f>[1]LISTADO_OTS!R319</f>
        <v>1</v>
      </c>
      <c r="H319" t="str">
        <f>[1]LISTADO_OTS!H319</f>
        <v>Cambio juntas de contador en Menagaray</v>
      </c>
      <c r="I319" t="str">
        <f>[1]LISTADO_OTS!I319</f>
        <v>Cambio juntas de contador en Menagaray</v>
      </c>
      <c r="J319" s="1">
        <f>[1]LISTADO_OTS!F319</f>
        <v>45910</v>
      </c>
      <c r="K319" s="1">
        <f>[1]LISTADO_OTS!G319</f>
        <v>45910</v>
      </c>
      <c r="L319">
        <f>[1]LISTADO_OTS!M319</f>
        <v>0</v>
      </c>
      <c r="M319">
        <f>[1]LISTADO_OTS!N319</f>
        <v>0</v>
      </c>
      <c r="U319" t="b">
        <f>[1]LISTADO_OTS!O319</f>
        <v>1</v>
      </c>
      <c r="V319" t="str">
        <f>[1]LISTADO_OTS!J319</f>
        <v>Menagaray</v>
      </c>
      <c r="W319">
        <f>[1]LISTADO_OTS!R319</f>
        <v>1</v>
      </c>
      <c r="X319">
        <f>[1]LISTADO_OTS!P319</f>
        <v>0</v>
      </c>
      <c r="Y319">
        <v>1</v>
      </c>
      <c r="Z319">
        <f>[1]LISTADO_OTS!S319</f>
        <v>0</v>
      </c>
    </row>
    <row r="320" spans="1:26" x14ac:dyDescent="0.4">
      <c r="A320">
        <v>319</v>
      </c>
      <c r="B320" t="str">
        <f>[1]LISTADO_OTS!E320</f>
        <v>OT/0260</v>
      </c>
      <c r="C320">
        <f>VLOOKUP([1]LISTADO_OTS!B320,[1]Redes!$C$1:$E$5,3,FALSE)</f>
        <v>3</v>
      </c>
      <c r="D320">
        <f>[1]LISTADO_OTS!C320</f>
        <v>1</v>
      </c>
      <c r="E320">
        <f>[1]LISTADO_OTS!D320</f>
        <v>0</v>
      </c>
      <c r="F320">
        <f>[1]LISTADO_OTS!Q320</f>
        <v>1</v>
      </c>
      <c r="G320">
        <f>[1]LISTADO_OTS!R320</f>
        <v>1</v>
      </c>
      <c r="H320" t="str">
        <f>[1]LISTADO_OTS!H320</f>
        <v>Reparacion de acometida en fuente calle Vitoria en Areta</v>
      </c>
      <c r="I320" t="str">
        <f>[1]LISTADO_OTS!I320</f>
        <v>Reparacion de acometida en fuente calle Vitoria en Areta</v>
      </c>
      <c r="J320" s="1">
        <f>[1]LISTADO_OTS!F320</f>
        <v>45910</v>
      </c>
      <c r="K320" s="1">
        <f>[1]LISTADO_OTS!G320</f>
        <v>45910</v>
      </c>
      <c r="L320">
        <f>[1]LISTADO_OTS!M320</f>
        <v>43.145808000000002</v>
      </c>
      <c r="M320">
        <f>[1]LISTADO_OTS!N320</f>
        <v>-2.9425490000000001</v>
      </c>
      <c r="U320" t="b">
        <f>[1]LISTADO_OTS!O320</f>
        <v>1</v>
      </c>
      <c r="V320" t="str">
        <f>[1]LISTADO_OTS!J320</f>
        <v>Areta</v>
      </c>
      <c r="W320">
        <f>[1]LISTADO_OTS!R320</f>
        <v>1</v>
      </c>
      <c r="X320">
        <f>[1]LISTADO_OTS!P320</f>
        <v>0</v>
      </c>
      <c r="Y320">
        <v>1</v>
      </c>
      <c r="Z320">
        <f>[1]LISTADO_OTS!S320</f>
        <v>1</v>
      </c>
    </row>
    <row r="321" spans="1:26" x14ac:dyDescent="0.4">
      <c r="A321">
        <v>320</v>
      </c>
      <c r="B321" t="str">
        <f>[1]LISTADO_OTS!E321</f>
        <v>OT/0261</v>
      </c>
      <c r="C321">
        <f>VLOOKUP([1]LISTADO_OTS!B321,[1]Redes!$C$1:$E$5,3,FALSE)</f>
        <v>3</v>
      </c>
      <c r="D321">
        <f>[1]LISTADO_OTS!C321</f>
        <v>1</v>
      </c>
      <c r="E321">
        <f>[1]LISTADO_OTS!D321</f>
        <v>0</v>
      </c>
      <c r="F321">
        <f>[1]LISTADO_OTS!Q321</f>
        <v>1</v>
      </c>
      <c r="G321">
        <f>[1]LISTADO_OTS!R321</f>
        <v>1</v>
      </c>
      <c r="H321" t="str">
        <f>[1]LISTADO_OTS!H321</f>
        <v>Corte de agua en Llodio</v>
      </c>
      <c r="I321" t="str">
        <f>[1]LISTADO_OTS!I321</f>
        <v>Corte de agua en Amurrio en Avda de Zumalakarregui 36</v>
      </c>
      <c r="J321" s="1">
        <f>[1]LISTADO_OTS!F321</f>
        <v>45911</v>
      </c>
      <c r="K321" s="1">
        <f>[1]LISTADO_OTS!G321</f>
        <v>45911</v>
      </c>
      <c r="L321">
        <f>[1]LISTADO_OTS!M321</f>
        <v>43.143256999999998</v>
      </c>
      <c r="M321">
        <f>[1]LISTADO_OTS!N321</f>
        <v>-2.963193</v>
      </c>
      <c r="U321" t="b">
        <f>[1]LISTADO_OTS!O321</f>
        <v>1</v>
      </c>
      <c r="V321" t="str">
        <f>[1]LISTADO_OTS!J321</f>
        <v>llodio</v>
      </c>
      <c r="W321">
        <f>[1]LISTADO_OTS!R321</f>
        <v>1</v>
      </c>
      <c r="X321">
        <f>[1]LISTADO_OTS!P321</f>
        <v>0</v>
      </c>
      <c r="Y321">
        <v>1</v>
      </c>
      <c r="Z321">
        <f>[1]LISTADO_OTS!S321</f>
        <v>3</v>
      </c>
    </row>
    <row r="322" spans="1:26" x14ac:dyDescent="0.4">
      <c r="A322">
        <v>321</v>
      </c>
      <c r="B322" t="str">
        <f>[1]LISTADO_OTS!E322</f>
        <v>TP/0148</v>
      </c>
      <c r="C322">
        <f>VLOOKUP([1]LISTADO_OTS!B322,[1]Redes!$C$1:$E$5,3,FALSE)</f>
        <v>5</v>
      </c>
      <c r="D322">
        <f>[1]LISTADO_OTS!C322</f>
        <v>2</v>
      </c>
      <c r="E322">
        <f>[1]LISTADO_OTS!D322</f>
        <v>3</v>
      </c>
      <c r="F322">
        <f>[1]LISTADO_OTS!Q322</f>
        <v>1</v>
      </c>
      <c r="G322">
        <f>[1]LISTADO_OTS!R322</f>
        <v>4</v>
      </c>
      <c r="H322" t="str">
        <f>[1]LISTADO_OTS!H322</f>
        <v>Mantenimiento saneamiento en Llodio</v>
      </c>
      <c r="I322" t="str">
        <f>[1]LISTADO_OTS!I322</f>
        <v>Limpiar arqueta de saneamiento en Llodio</v>
      </c>
      <c r="J322" s="1">
        <f>[1]LISTADO_OTS!F322</f>
        <v>45911</v>
      </c>
      <c r="K322" s="1">
        <f>[1]LISTADO_OTS!G322</f>
        <v>45911</v>
      </c>
      <c r="L322">
        <f>[1]LISTADO_OTS!M322</f>
        <v>0</v>
      </c>
      <c r="M322">
        <f>[1]LISTADO_OTS!N322</f>
        <v>0</v>
      </c>
      <c r="U322" t="b">
        <f>[1]LISTADO_OTS!O322</f>
        <v>1</v>
      </c>
      <c r="V322" t="str">
        <f>[1]LISTADO_OTS!J322</f>
        <v>Llodio</v>
      </c>
      <c r="W322">
        <f>[1]LISTADO_OTS!R322</f>
        <v>4</v>
      </c>
      <c r="X322">
        <f>[1]LISTADO_OTS!P322</f>
        <v>0</v>
      </c>
      <c r="Y322">
        <v>1</v>
      </c>
      <c r="Z322">
        <f>[1]LISTADO_OTS!S322</f>
        <v>0</v>
      </c>
    </row>
    <row r="323" spans="1:26" x14ac:dyDescent="0.4">
      <c r="A323">
        <v>322</v>
      </c>
      <c r="B323" t="str">
        <f>[1]LISTADO_OTS!E323</f>
        <v>OT/0262</v>
      </c>
      <c r="C323">
        <f>VLOOKUP([1]LISTADO_OTS!B323,[1]Redes!$C$1:$E$5,3,FALSE)</f>
        <v>5</v>
      </c>
      <c r="D323">
        <f>[1]LISTADO_OTS!C323</f>
        <v>1</v>
      </c>
      <c r="E323">
        <f>[1]LISTADO_OTS!D323</f>
        <v>0</v>
      </c>
      <c r="F323">
        <f>[1]LISTADO_OTS!Q323</f>
        <v>1</v>
      </c>
      <c r="G323">
        <f>[1]LISTADO_OTS!R323</f>
        <v>2</v>
      </c>
      <c r="H323" t="str">
        <f>[1]LISTADO_OTS!H323</f>
        <v>Limpiar tamizes en Artziniega</v>
      </c>
      <c r="I323" t="str">
        <f>[1]LISTADO_OTS!I323</f>
        <v>Limpiar tamizes en Artziniega</v>
      </c>
      <c r="J323" s="1">
        <f>[1]LISTADO_OTS!F323</f>
        <v>45912</v>
      </c>
      <c r="K323" s="1">
        <f>[1]LISTADO_OTS!G323</f>
        <v>45912</v>
      </c>
      <c r="L323">
        <f>[1]LISTADO_OTS!M323</f>
        <v>0</v>
      </c>
      <c r="M323">
        <f>[1]LISTADO_OTS!N323</f>
        <v>0</v>
      </c>
      <c r="U323" t="b">
        <f>[1]LISTADO_OTS!O323</f>
        <v>1</v>
      </c>
      <c r="V323" t="str">
        <f>[1]LISTADO_OTS!J323</f>
        <v>Artziniega</v>
      </c>
      <c r="W323">
        <f>[1]LISTADO_OTS!R323</f>
        <v>2</v>
      </c>
      <c r="X323">
        <f>[1]LISTADO_OTS!P323</f>
        <v>0</v>
      </c>
      <c r="Y323">
        <v>1</v>
      </c>
      <c r="Z323">
        <f>[1]LISTADO_OTS!S323</f>
        <v>2</v>
      </c>
    </row>
    <row r="324" spans="1:26" x14ac:dyDescent="0.4">
      <c r="A324">
        <v>323</v>
      </c>
      <c r="B324" t="str">
        <f>[1]LISTADO_OTS!E324</f>
        <v>OT/0263</v>
      </c>
      <c r="C324">
        <f>VLOOKUP([1]LISTADO_OTS!B324,[1]Redes!$C$1:$E$5,3,FALSE)</f>
        <v>5</v>
      </c>
      <c r="D324">
        <f>[1]LISTADO_OTS!C324</f>
        <v>1</v>
      </c>
      <c r="E324">
        <f>[1]LISTADO_OTS!D324</f>
        <v>0</v>
      </c>
      <c r="F324">
        <f>[1]LISTADO_OTS!Q324</f>
        <v>1</v>
      </c>
      <c r="G324">
        <f>[1]LISTADO_OTS!R324</f>
        <v>1</v>
      </c>
      <c r="H324" t="str">
        <f>[1]LISTADO_OTS!H324</f>
        <v>Revision posible atasco en Plaza Lezarraga (Amurrio)</v>
      </c>
      <c r="I324" t="str">
        <f>[1]LISTADO_OTS!I324</f>
        <v>Revision posible atasco en Plaza Lezarraga (Amurrio)</v>
      </c>
      <c r="J324" s="1">
        <f>[1]LISTADO_OTS!F324</f>
        <v>45911</v>
      </c>
      <c r="K324" s="1">
        <f>[1]LISTADO_OTS!G324</f>
        <v>45911</v>
      </c>
      <c r="L324">
        <f>[1]LISTADO_OTS!M324</f>
        <v>43.053054000000003</v>
      </c>
      <c r="M324">
        <f>[1]LISTADO_OTS!N324</f>
        <v>-3.0060120000000001</v>
      </c>
      <c r="U324" t="b">
        <f>[1]LISTADO_OTS!O324</f>
        <v>1</v>
      </c>
      <c r="V324" t="str">
        <f>[1]LISTADO_OTS!J324</f>
        <v>Amurrio</v>
      </c>
      <c r="W324">
        <f>[1]LISTADO_OTS!R324</f>
        <v>1</v>
      </c>
      <c r="X324">
        <f>[1]LISTADO_OTS!P324</f>
        <v>0</v>
      </c>
      <c r="Y324">
        <v>1</v>
      </c>
      <c r="Z324">
        <f>[1]LISTADO_OTS!S324</f>
        <v>2</v>
      </c>
    </row>
    <row r="325" spans="1:26" x14ac:dyDescent="0.4">
      <c r="A325">
        <v>324</v>
      </c>
      <c r="B325" t="str">
        <f>[1]LISTADO_OTS!E325</f>
        <v>TP/0149</v>
      </c>
      <c r="C325">
        <f>VLOOKUP([1]LISTADO_OTS!B325,[1]Redes!$C$1:$E$5,3,FALSE)</f>
        <v>3</v>
      </c>
      <c r="D325">
        <f>[1]LISTADO_OTS!C325</f>
        <v>2</v>
      </c>
      <c r="E325">
        <f>[1]LISTADO_OTS!D325</f>
        <v>8</v>
      </c>
      <c r="F325">
        <f>[1]LISTADO_OTS!Q325</f>
        <v>1</v>
      </c>
      <c r="G325">
        <f>[1]LISTADO_OTS!R325</f>
        <v>1</v>
      </c>
      <c r="H325" t="str">
        <f>[1]LISTADO_OTS!H325</f>
        <v>Cambio de contador en Ferrocarriles Amurrio</v>
      </c>
      <c r="I325" t="str">
        <f>[1]LISTADO_OTS!I325</f>
        <v>Cambio de contador en Ferrocarriles Amurrioq</v>
      </c>
      <c r="J325" s="1">
        <f>[1]LISTADO_OTS!F325</f>
        <v>45912</v>
      </c>
      <c r="K325" s="1">
        <f>[1]LISTADO_OTS!G325</f>
        <v>45912</v>
      </c>
      <c r="L325">
        <f>[1]LISTADO_OTS!M325</f>
        <v>0</v>
      </c>
      <c r="M325">
        <f>[1]LISTADO_OTS!N325</f>
        <v>0</v>
      </c>
      <c r="U325" t="b">
        <f>[1]LISTADO_OTS!O325</f>
        <v>1</v>
      </c>
      <c r="V325" t="str">
        <f>[1]LISTADO_OTS!J325</f>
        <v>Amurrio</v>
      </c>
      <c r="W325">
        <f>[1]LISTADO_OTS!R325</f>
        <v>1</v>
      </c>
      <c r="X325">
        <f>[1]LISTADO_OTS!P325</f>
        <v>0</v>
      </c>
      <c r="Y325">
        <v>1</v>
      </c>
      <c r="Z325">
        <f>[1]LISTADO_OTS!S325</f>
        <v>0</v>
      </c>
    </row>
    <row r="326" spans="1:26" x14ac:dyDescent="0.4">
      <c r="A326">
        <v>325</v>
      </c>
      <c r="B326" t="str">
        <f>[1]LISTADO_OTS!E326</f>
        <v>OT/0264</v>
      </c>
      <c r="C326">
        <f>VLOOKUP([1]LISTADO_OTS!B326,[1]Redes!$C$1:$E$5,3,FALSE)</f>
        <v>5</v>
      </c>
      <c r="D326">
        <f>[1]LISTADO_OTS!C326</f>
        <v>1</v>
      </c>
      <c r="E326">
        <f>[1]LISTADO_OTS!D326</f>
        <v>0</v>
      </c>
      <c r="F326">
        <f>[1]LISTADO_OTS!Q326</f>
        <v>1</v>
      </c>
      <c r="G326">
        <f>[1]LISTADO_OTS!R326</f>
        <v>2</v>
      </c>
      <c r="H326" t="str">
        <f>[1]LISTADO_OTS!H326</f>
        <v>Desatasco en Artziniega</v>
      </c>
      <c r="I326" t="str">
        <f>[1]LISTADO_OTS!I326</f>
        <v>Desatasco en Artziniega</v>
      </c>
      <c r="J326" s="1">
        <f>[1]LISTADO_OTS!F326</f>
        <v>45912</v>
      </c>
      <c r="K326" s="1">
        <f>[1]LISTADO_OTS!G326</f>
        <v>45912</v>
      </c>
      <c r="L326">
        <f>[1]LISTADO_OTS!M326</f>
        <v>43.119529</v>
      </c>
      <c r="M326">
        <f>[1]LISTADO_OTS!N326</f>
        <v>-3.1326429999999998</v>
      </c>
      <c r="U326" t="b">
        <f>[1]LISTADO_OTS!O326</f>
        <v>1</v>
      </c>
      <c r="V326" t="str">
        <f>[1]LISTADO_OTS!J326</f>
        <v>Artziniega</v>
      </c>
      <c r="W326">
        <f>[1]LISTADO_OTS!R326</f>
        <v>2</v>
      </c>
      <c r="X326">
        <f>[1]LISTADO_OTS!P326</f>
        <v>0</v>
      </c>
      <c r="Y326">
        <v>1</v>
      </c>
      <c r="Z326">
        <f>[1]LISTADO_OTS!S326</f>
        <v>2</v>
      </c>
    </row>
    <row r="327" spans="1:26" x14ac:dyDescent="0.4">
      <c r="A327">
        <v>326</v>
      </c>
      <c r="B327" t="str">
        <f>[1]LISTADO_OTS!E327</f>
        <v>OT/0265</v>
      </c>
      <c r="C327">
        <f>VLOOKUP([1]LISTADO_OTS!B327,[1]Redes!$C$1:$E$5,3,FALSE)</f>
        <v>3</v>
      </c>
      <c r="D327">
        <f>[1]LISTADO_OTS!C327</f>
        <v>1</v>
      </c>
      <c r="E327">
        <f>[1]LISTADO_OTS!D327</f>
        <v>0</v>
      </c>
      <c r="F327">
        <f>[1]LISTADO_OTS!Q327</f>
        <v>1</v>
      </c>
      <c r="G327">
        <f>[1]LISTADO_OTS!R327</f>
        <v>1</v>
      </c>
      <c r="H327" t="str">
        <f>[1]LISTADO_OTS!H327</f>
        <v>Reparación de fuga en Goienuri (Llodio)</v>
      </c>
      <c r="I327" t="str">
        <f>[1]LISTADO_OTS!I327</f>
        <v>Reparación de fuga en Goienuri (Llodio)</v>
      </c>
      <c r="J327" s="1">
        <f>[1]LISTADO_OTS!F327</f>
        <v>45910</v>
      </c>
      <c r="K327" s="1">
        <f>[1]LISTADO_OTS!G327</f>
        <v>45910</v>
      </c>
      <c r="L327">
        <f>[1]LISTADO_OTS!M327</f>
        <v>43.149082999999997</v>
      </c>
      <c r="M327">
        <f>[1]LISTADO_OTS!N327</f>
        <v>-2.97098</v>
      </c>
      <c r="U327" t="b">
        <f>[1]LISTADO_OTS!O327</f>
        <v>1</v>
      </c>
      <c r="V327" t="str">
        <f>[1]LISTADO_OTS!J327</f>
        <v>Llodio</v>
      </c>
      <c r="W327">
        <f>[1]LISTADO_OTS!R327</f>
        <v>1</v>
      </c>
      <c r="X327">
        <f>[1]LISTADO_OTS!P327</f>
        <v>0</v>
      </c>
      <c r="Y327">
        <v>1</v>
      </c>
      <c r="Z327">
        <f>[1]LISTADO_OTS!S327</f>
        <v>1</v>
      </c>
    </row>
    <row r="328" spans="1:26" x14ac:dyDescent="0.4">
      <c r="A328">
        <v>327</v>
      </c>
      <c r="B328" t="str">
        <f>[1]LISTADO_OTS!E328</f>
        <v>OT/0266</v>
      </c>
      <c r="C328">
        <f>VLOOKUP([1]LISTADO_OTS!B328,[1]Redes!$C$1:$E$5,3,FALSE)</f>
        <v>3</v>
      </c>
      <c r="D328">
        <f>[1]LISTADO_OTS!C328</f>
        <v>1</v>
      </c>
      <c r="E328">
        <f>[1]LISTADO_OTS!D328</f>
        <v>0</v>
      </c>
      <c r="F328">
        <f>[1]LISTADO_OTS!Q328</f>
        <v>1</v>
      </c>
      <c r="G328">
        <f>[1]LISTADO_OTS!R328</f>
        <v>1</v>
      </c>
      <c r="H328" t="str">
        <f>[1]LISTADO_OTS!H328</f>
        <v>Reparación de fuga en calle Vitoria en Llodio</v>
      </c>
      <c r="I328" t="str">
        <f>[1]LISTADO_OTS!I328</f>
        <v>Reparación de fuga en la fuente de calle Vitoria en Llodio</v>
      </c>
      <c r="J328" s="1">
        <f>[1]LISTADO_OTS!F328</f>
        <v>45909</v>
      </c>
      <c r="K328" s="1">
        <f>[1]LISTADO_OTS!G328</f>
        <v>45909</v>
      </c>
      <c r="L328">
        <f>[1]LISTADO_OTS!M328</f>
        <v>43.145808000000002</v>
      </c>
      <c r="M328">
        <f>[1]LISTADO_OTS!N328</f>
        <v>-2.9425490000000001</v>
      </c>
      <c r="U328" t="b">
        <f>[1]LISTADO_OTS!O328</f>
        <v>1</v>
      </c>
      <c r="V328" t="str">
        <f>[1]LISTADO_OTS!J328</f>
        <v>Llodio</v>
      </c>
      <c r="W328">
        <f>[1]LISTADO_OTS!R328</f>
        <v>1</v>
      </c>
      <c r="X328">
        <f>[1]LISTADO_OTS!P328</f>
        <v>0</v>
      </c>
      <c r="Y328">
        <v>1</v>
      </c>
      <c r="Z328">
        <f>[1]LISTADO_OTS!S328</f>
        <v>1</v>
      </c>
    </row>
    <row r="329" spans="1:26" x14ac:dyDescent="0.4">
      <c r="A329">
        <v>328</v>
      </c>
      <c r="B329" t="str">
        <f>[1]LISTADO_OTS!E329</f>
        <v>OT/0267</v>
      </c>
      <c r="C329">
        <f>VLOOKUP([1]LISTADO_OTS!B329,[1]Redes!$C$1:$E$5,3,FALSE)</f>
        <v>3</v>
      </c>
      <c r="D329">
        <f>[1]LISTADO_OTS!C329</f>
        <v>1</v>
      </c>
      <c r="E329">
        <f>[1]LISTADO_OTS!D329</f>
        <v>0</v>
      </c>
      <c r="F329">
        <f>[1]LISTADO_OTS!Q329</f>
        <v>1</v>
      </c>
      <c r="G329">
        <f>[1]LISTADO_OTS!R329</f>
        <v>1</v>
      </c>
      <c r="H329" t="str">
        <f>[1]LISTADO_OTS!H329</f>
        <v>Reparación de fuga en Larraño</v>
      </c>
      <c r="I329" t="str">
        <f>[1]LISTADO_OTS!I329</f>
        <v>Reparación de fuga en Larraño (Llodio)</v>
      </c>
      <c r="J329" s="1">
        <f>[1]LISTADO_OTS!F329</f>
        <v>45911</v>
      </c>
      <c r="K329" s="1">
        <f>[1]LISTADO_OTS!G329</f>
        <v>45911</v>
      </c>
      <c r="L329">
        <f>[1]LISTADO_OTS!M329</f>
        <v>43.145961</v>
      </c>
      <c r="M329">
        <f>[1]LISTADO_OTS!N329</f>
        <v>-2.9733339999999999</v>
      </c>
      <c r="U329" t="b">
        <f>[1]LISTADO_OTS!O329</f>
        <v>1</v>
      </c>
      <c r="V329" t="str">
        <f>[1]LISTADO_OTS!J329</f>
        <v>Llodio</v>
      </c>
      <c r="W329">
        <f>[1]LISTADO_OTS!R329</f>
        <v>1</v>
      </c>
      <c r="X329">
        <f>[1]LISTADO_OTS!P329</f>
        <v>0</v>
      </c>
      <c r="Y329">
        <v>1</v>
      </c>
      <c r="Z329">
        <f>[1]LISTADO_OTS!S329</f>
        <v>1</v>
      </c>
    </row>
    <row r="330" spans="1:26" x14ac:dyDescent="0.4">
      <c r="A330">
        <v>329</v>
      </c>
      <c r="B330" t="str">
        <f>[1]LISTADO_OTS!E330</f>
        <v>OT/0316</v>
      </c>
      <c r="C330">
        <f>VLOOKUP([1]LISTADO_OTS!B330,[1]Redes!$C$1:$E$5,3,FALSE)</f>
        <v>5</v>
      </c>
      <c r="D330">
        <f>[1]LISTADO_OTS!C330</f>
        <v>1</v>
      </c>
      <c r="E330">
        <f>[1]LISTADO_OTS!D330</f>
        <v>0</v>
      </c>
      <c r="F330">
        <f>[1]LISTADO_OTS!Q330</f>
        <v>1</v>
      </c>
      <c r="G330">
        <f>[1]LISTADO_OTS!R330</f>
        <v>2</v>
      </c>
      <c r="H330" t="str">
        <f>[1]LISTADO_OTS!H330</f>
        <v>Sustitución de Tapas en Artziniega</v>
      </c>
      <c r="I330" t="str">
        <f>[1]LISTADO_OTS!I330</f>
        <v>Sustitución de Tapas en Artziniega</v>
      </c>
      <c r="J330" s="1">
        <f>[1]LISTADO_OTS!F330</f>
        <v>45917</v>
      </c>
      <c r="K330" s="1">
        <f>[1]LISTADO_OTS!G330</f>
        <v>45917</v>
      </c>
      <c r="L330">
        <f>[1]LISTADO_OTS!M330</f>
        <v>0</v>
      </c>
      <c r="M330">
        <f>[1]LISTADO_OTS!N330</f>
        <v>0</v>
      </c>
      <c r="U330" t="b">
        <f>[1]LISTADO_OTS!O330</f>
        <v>1</v>
      </c>
      <c r="V330" t="str">
        <f>[1]LISTADO_OTS!J330</f>
        <v>Artziniega</v>
      </c>
      <c r="W330">
        <f>[1]LISTADO_OTS!R330</f>
        <v>2</v>
      </c>
      <c r="X330">
        <f>[1]LISTADO_OTS!P330</f>
        <v>0</v>
      </c>
      <c r="Y330">
        <v>1</v>
      </c>
      <c r="Z330">
        <f>[1]LISTADO_OTS!S330</f>
        <v>3</v>
      </c>
    </row>
    <row r="331" spans="1:26" x14ac:dyDescent="0.4">
      <c r="A331">
        <v>330</v>
      </c>
      <c r="B331" t="str">
        <f>[1]LISTADO_OTS!E331</f>
        <v>OT/0268</v>
      </c>
      <c r="C331">
        <f>VLOOKUP([1]LISTADO_OTS!B331,[1]Redes!$C$1:$E$5,3,FALSE)</f>
        <v>3</v>
      </c>
      <c r="D331">
        <f>[1]LISTADO_OTS!C331</f>
        <v>1</v>
      </c>
      <c r="E331">
        <f>[1]LISTADO_OTS!D331</f>
        <v>0</v>
      </c>
      <c r="F331">
        <f>[1]LISTADO_OTS!Q331</f>
        <v>5</v>
      </c>
      <c r="G331">
        <f>[1]LISTADO_OTS!R331</f>
        <v>5</v>
      </c>
      <c r="H331" t="str">
        <f>[1]LISTADO_OTS!H331</f>
        <v>Sustitución de válvulas en Puentelarra</v>
      </c>
      <c r="I331" t="str">
        <f>[1]LISTADO_OTS!I331</f>
        <v>Sustitución de válvulas en Puentelarra</v>
      </c>
      <c r="J331" s="1">
        <f>[1]LISTADO_OTS!F331</f>
        <v>45915</v>
      </c>
      <c r="K331" s="1">
        <f>[1]LISTADO_OTS!G331</f>
        <v>45915</v>
      </c>
      <c r="L331">
        <f>[1]LISTADO_OTS!M331</f>
        <v>42.751179</v>
      </c>
      <c r="M331">
        <f>[1]LISTADO_OTS!N331</f>
        <v>-3.0480879999999999</v>
      </c>
      <c r="U331" t="b">
        <f>[1]LISTADO_OTS!O331</f>
        <v>1</v>
      </c>
      <c r="V331" t="str">
        <f>[1]LISTADO_OTS!J331</f>
        <v>Puentelarra</v>
      </c>
      <c r="W331">
        <f>[1]LISTADO_OTS!R331</f>
        <v>5</v>
      </c>
      <c r="X331">
        <f>[1]LISTADO_OTS!P331</f>
        <v>0</v>
      </c>
      <c r="Y331">
        <v>1</v>
      </c>
      <c r="Z331">
        <f>[1]LISTADO_OTS!S331</f>
        <v>3</v>
      </c>
    </row>
    <row r="332" spans="1:26" x14ac:dyDescent="0.4">
      <c r="A332">
        <v>331</v>
      </c>
      <c r="B332" t="str">
        <f>[1]LISTADO_OTS!E332</f>
        <v>OT/0269</v>
      </c>
      <c r="C332">
        <f>VLOOKUP([1]LISTADO_OTS!B332,[1]Redes!$C$1:$E$5,3,FALSE)</f>
        <v>3</v>
      </c>
      <c r="D332">
        <f>[1]LISTADO_OTS!C332</f>
        <v>1</v>
      </c>
      <c r="E332">
        <f>[1]LISTADO_OTS!D332</f>
        <v>0</v>
      </c>
      <c r="F332">
        <f>[1]LISTADO_OTS!Q332</f>
        <v>5</v>
      </c>
      <c r="G332">
        <f>[1]LISTADO_OTS!R332</f>
        <v>5</v>
      </c>
      <c r="H332" t="str">
        <f>[1]LISTADO_OTS!H332</f>
        <v>Reparación de fuga en Zambrana</v>
      </c>
      <c r="I332" t="str">
        <f>[1]LISTADO_OTS!I332</f>
        <v>Reparación de fuga en Zambrana</v>
      </c>
      <c r="J332" s="1">
        <f>[1]LISTADO_OTS!F332</f>
        <v>45915</v>
      </c>
      <c r="K332" s="1">
        <f>[1]LISTADO_OTS!G332</f>
        <v>45915</v>
      </c>
      <c r="L332">
        <f>[1]LISTADO_OTS!M332</f>
        <v>42.660992</v>
      </c>
      <c r="M332">
        <f>[1]LISTADO_OTS!N332</f>
        <v>-2.8798509999999999</v>
      </c>
      <c r="U332" t="b">
        <f>[1]LISTADO_OTS!O332</f>
        <v>1</v>
      </c>
      <c r="V332" t="str">
        <f>[1]LISTADO_OTS!J332</f>
        <v>Zambrana</v>
      </c>
      <c r="W332">
        <f>[1]LISTADO_OTS!R332</f>
        <v>5</v>
      </c>
      <c r="X332">
        <f>[1]LISTADO_OTS!P332</f>
        <v>0</v>
      </c>
      <c r="Y332">
        <v>1</v>
      </c>
      <c r="Z332">
        <f>[1]LISTADO_OTS!S332</f>
        <v>1</v>
      </c>
    </row>
    <row r="333" spans="1:26" x14ac:dyDescent="0.4">
      <c r="A333">
        <v>332</v>
      </c>
      <c r="B333" t="str">
        <f>[1]LISTADO_OTS!E333</f>
        <v>OT/0270</v>
      </c>
      <c r="C333">
        <f>VLOOKUP([1]LISTADO_OTS!B333,[1]Redes!$C$1:$E$5,3,FALSE)</f>
        <v>3</v>
      </c>
      <c r="D333">
        <f>[1]LISTADO_OTS!C333</f>
        <v>1</v>
      </c>
      <c r="E333">
        <f>[1]LISTADO_OTS!D333</f>
        <v>0</v>
      </c>
      <c r="F333">
        <f>[1]LISTADO_OTS!Q333</f>
        <v>5</v>
      </c>
      <c r="G333">
        <f>[1]LISTADO_OTS!R333</f>
        <v>5</v>
      </c>
      <c r="H333" t="str">
        <f>[1]LISTADO_OTS!H333</f>
        <v>Reparación de fuga en Espejo</v>
      </c>
      <c r="I333" t="str">
        <f>[1]LISTADO_OTS!I333</f>
        <v>Reparación de fuga junto armario de contadores en Espejo</v>
      </c>
      <c r="J333" s="1">
        <f>[1]LISTADO_OTS!F333</f>
        <v>45915</v>
      </c>
      <c r="K333" s="1">
        <f>[1]LISTADO_OTS!G333</f>
        <v>45915</v>
      </c>
      <c r="L333">
        <f>[1]LISTADO_OTS!M333</f>
        <v>42.809638999999997</v>
      </c>
      <c r="M333">
        <f>[1]LISTADO_OTS!N333</f>
        <v>-3.0466500000000001</v>
      </c>
      <c r="U333" t="b">
        <f>[1]LISTADO_OTS!O333</f>
        <v>1</v>
      </c>
      <c r="V333" t="str">
        <f>[1]LISTADO_OTS!J333</f>
        <v>Espejo</v>
      </c>
      <c r="W333">
        <f>[1]LISTADO_OTS!R333</f>
        <v>5</v>
      </c>
      <c r="X333">
        <f>[1]LISTADO_OTS!P333</f>
        <v>0</v>
      </c>
      <c r="Y333">
        <v>1</v>
      </c>
      <c r="Z333">
        <f>[1]LISTADO_OTS!S333</f>
        <v>1</v>
      </c>
    </row>
    <row r="334" spans="1:26" x14ac:dyDescent="0.4">
      <c r="A334">
        <v>333</v>
      </c>
      <c r="B334" t="str">
        <f>[1]LISTADO_OTS!E334</f>
        <v>TP/0150</v>
      </c>
      <c r="C334">
        <f>VLOOKUP([1]LISTADO_OTS!B334,[1]Redes!$C$1:$E$5,3,FALSE)</f>
        <v>3</v>
      </c>
      <c r="D334">
        <f>[1]LISTADO_OTS!C334</f>
        <v>2</v>
      </c>
      <c r="E334">
        <f>[1]LISTADO_OTS!D334</f>
        <v>10</v>
      </c>
      <c r="F334">
        <f>[1]LISTADO_OTS!Q334</f>
        <v>5</v>
      </c>
      <c r="G334">
        <f>[1]LISTADO_OTS!R334</f>
        <v>5</v>
      </c>
      <c r="H334" t="str">
        <f>[1]LISTADO_OTS!H334</f>
        <v>Sustitución de contador en Espejo</v>
      </c>
      <c r="I334" t="str">
        <f>[1]LISTADO_OTS!I334</f>
        <v>Cambio de contador en Espejo</v>
      </c>
      <c r="J334" s="1">
        <f>[1]LISTADO_OTS!F334</f>
        <v>45915</v>
      </c>
      <c r="K334" s="1">
        <f>[1]LISTADO_OTS!G334</f>
        <v>45915</v>
      </c>
      <c r="L334">
        <f>[1]LISTADO_OTS!M334</f>
        <v>0</v>
      </c>
      <c r="M334">
        <f>[1]LISTADO_OTS!N334</f>
        <v>0</v>
      </c>
      <c r="U334" t="b">
        <f>[1]LISTADO_OTS!O334</f>
        <v>1</v>
      </c>
      <c r="V334" t="str">
        <f>[1]LISTADO_OTS!J334</f>
        <v>Espejo</v>
      </c>
      <c r="W334">
        <f>[1]LISTADO_OTS!R334</f>
        <v>5</v>
      </c>
      <c r="X334">
        <f>[1]LISTADO_OTS!P334</f>
        <v>0</v>
      </c>
      <c r="Y334">
        <v>1</v>
      </c>
      <c r="Z334">
        <f>[1]LISTADO_OTS!S334</f>
        <v>0</v>
      </c>
    </row>
    <row r="335" spans="1:26" x14ac:dyDescent="0.4">
      <c r="A335">
        <v>334</v>
      </c>
      <c r="B335" t="str">
        <f>[1]LISTADO_OTS!E335</f>
        <v>TP/0151</v>
      </c>
      <c r="C335">
        <f>VLOOKUP([1]LISTADO_OTS!B335,[1]Redes!$C$1:$E$5,3,FALSE)</f>
        <v>3</v>
      </c>
      <c r="D335">
        <f>[1]LISTADO_OTS!C335</f>
        <v>2</v>
      </c>
      <c r="E335">
        <f>[1]LISTADO_OTS!D335</f>
        <v>10</v>
      </c>
      <c r="F335">
        <f>[1]LISTADO_OTS!Q335</f>
        <v>5</v>
      </c>
      <c r="G335">
        <f>[1]LISTADO_OTS!R335</f>
        <v>5</v>
      </c>
      <c r="H335" t="str">
        <f>[1]LISTADO_OTS!H335</f>
        <v>Sustitución de contador en Espejo</v>
      </c>
      <c r="I335" t="str">
        <f>[1]LISTADO_OTS!I335</f>
        <v>Cambio de contador en Espejo</v>
      </c>
      <c r="J335" s="1">
        <f>[1]LISTADO_OTS!F335</f>
        <v>45915</v>
      </c>
      <c r="K335" s="1">
        <f>[1]LISTADO_OTS!G335</f>
        <v>45915</v>
      </c>
      <c r="L335">
        <f>[1]LISTADO_OTS!M335</f>
        <v>0</v>
      </c>
      <c r="M335">
        <f>[1]LISTADO_OTS!N335</f>
        <v>0</v>
      </c>
      <c r="U335" t="b">
        <f>[1]LISTADO_OTS!O335</f>
        <v>1</v>
      </c>
      <c r="V335" t="str">
        <f>[1]LISTADO_OTS!J335</f>
        <v>Espejo</v>
      </c>
      <c r="W335">
        <f>[1]LISTADO_OTS!R335</f>
        <v>5</v>
      </c>
      <c r="X335">
        <f>[1]LISTADO_OTS!P335</f>
        <v>0</v>
      </c>
      <c r="Y335">
        <v>1</v>
      </c>
      <c r="Z335">
        <f>[1]LISTADO_OTS!S335</f>
        <v>0</v>
      </c>
    </row>
    <row r="336" spans="1:26" x14ac:dyDescent="0.4">
      <c r="A336">
        <v>335</v>
      </c>
      <c r="B336" t="str">
        <f>[1]LISTADO_OTS!E336</f>
        <v>TP/0152</v>
      </c>
      <c r="C336">
        <f>VLOOKUP([1]LISTADO_OTS!B336,[1]Redes!$C$1:$E$5,3,FALSE)</f>
        <v>3</v>
      </c>
      <c r="D336">
        <f>[1]LISTADO_OTS!C336</f>
        <v>2</v>
      </c>
      <c r="E336">
        <f>[1]LISTADO_OTS!D336</f>
        <v>8</v>
      </c>
      <c r="F336">
        <f>[1]LISTADO_OTS!Q336</f>
        <v>5</v>
      </c>
      <c r="G336">
        <f>[1]LISTADO_OTS!R336</f>
        <v>5</v>
      </c>
      <c r="H336" t="str">
        <f>[1]LISTADO_OTS!H336</f>
        <v>Sustitución de contador en Villanañe</v>
      </c>
      <c r="I336" t="str">
        <f>[1]LISTADO_OTS!I336</f>
        <v>Cambio de contador en Villanañe</v>
      </c>
      <c r="J336" s="1">
        <f>[1]LISTADO_OTS!F336</f>
        <v>45915</v>
      </c>
      <c r="K336" s="1">
        <f>[1]LISTADO_OTS!G336</f>
        <v>45915</v>
      </c>
      <c r="L336">
        <f>[1]LISTADO_OTS!M336</f>
        <v>0</v>
      </c>
      <c r="M336">
        <f>[1]LISTADO_OTS!N336</f>
        <v>0</v>
      </c>
      <c r="U336" t="b">
        <f>[1]LISTADO_OTS!O336</f>
        <v>1</v>
      </c>
      <c r="V336" t="str">
        <f>[1]LISTADO_OTS!J336</f>
        <v>Villanañe</v>
      </c>
      <c r="W336">
        <f>[1]LISTADO_OTS!R336</f>
        <v>5</v>
      </c>
      <c r="X336">
        <f>[1]LISTADO_OTS!P336</f>
        <v>0</v>
      </c>
      <c r="Y336">
        <v>1</v>
      </c>
      <c r="Z336">
        <f>[1]LISTADO_OTS!S336</f>
        <v>0</v>
      </c>
    </row>
    <row r="337" spans="1:26" x14ac:dyDescent="0.4">
      <c r="A337">
        <v>336</v>
      </c>
      <c r="B337" t="str">
        <f>[1]LISTADO_OTS!E337</f>
        <v>TP/0153</v>
      </c>
      <c r="C337">
        <f>VLOOKUP([1]LISTADO_OTS!B337,[1]Redes!$C$1:$E$5,3,FALSE)</f>
        <v>3</v>
      </c>
      <c r="D337">
        <f>[1]LISTADO_OTS!C337</f>
        <v>2</v>
      </c>
      <c r="E337">
        <f>[1]LISTADO_OTS!D337</f>
        <v>8</v>
      </c>
      <c r="F337">
        <f>[1]LISTADO_OTS!Q337</f>
        <v>5</v>
      </c>
      <c r="G337">
        <f>[1]LISTADO_OTS!R337</f>
        <v>5</v>
      </c>
      <c r="H337" t="str">
        <f>[1]LISTADO_OTS!H337</f>
        <v>Sustitución de contador en Villanañe</v>
      </c>
      <c r="I337" t="str">
        <f>[1]LISTADO_OTS!I337</f>
        <v>Sustitución de contador en Villanañe</v>
      </c>
      <c r="J337" s="1">
        <f>[1]LISTADO_OTS!F337</f>
        <v>45915</v>
      </c>
      <c r="K337" s="1">
        <f>[1]LISTADO_OTS!G337</f>
        <v>45915</v>
      </c>
      <c r="L337">
        <f>[1]LISTADO_OTS!M337</f>
        <v>0</v>
      </c>
      <c r="M337">
        <f>[1]LISTADO_OTS!N337</f>
        <v>0</v>
      </c>
      <c r="U337" t="b">
        <f>[1]LISTADO_OTS!O337</f>
        <v>1</v>
      </c>
      <c r="V337" t="str">
        <f>[1]LISTADO_OTS!J337</f>
        <v>Villanañe</v>
      </c>
      <c r="W337">
        <f>[1]LISTADO_OTS!R337</f>
        <v>5</v>
      </c>
      <c r="X337">
        <f>[1]LISTADO_OTS!P337</f>
        <v>0</v>
      </c>
      <c r="Y337">
        <v>1</v>
      </c>
      <c r="Z337">
        <f>[1]LISTADO_OTS!S337</f>
        <v>0</v>
      </c>
    </row>
    <row r="338" spans="1:26" x14ac:dyDescent="0.4">
      <c r="A338">
        <v>337</v>
      </c>
      <c r="B338" t="str">
        <f>[1]LISTADO_OTS!E338</f>
        <v>TP/0154</v>
      </c>
      <c r="C338">
        <f>VLOOKUP([1]LISTADO_OTS!B338,[1]Redes!$C$1:$E$5,3,FALSE)</f>
        <v>3</v>
      </c>
      <c r="D338">
        <f>[1]LISTADO_OTS!C338</f>
        <v>2</v>
      </c>
      <c r="E338">
        <f>[1]LISTADO_OTS!D338</f>
        <v>8</v>
      </c>
      <c r="F338">
        <f>[1]LISTADO_OTS!Q338</f>
        <v>5</v>
      </c>
      <c r="G338">
        <f>[1]LISTADO_OTS!R338</f>
        <v>5</v>
      </c>
      <c r="H338" t="str">
        <f>[1]LISTADO_OTS!H338</f>
        <v>Sustitución de contador en Villanañe</v>
      </c>
      <c r="I338" t="str">
        <f>[1]LISTADO_OTS!I338</f>
        <v>Sustitución de contador en Villanañe</v>
      </c>
      <c r="J338" s="1">
        <f>[1]LISTADO_OTS!F338</f>
        <v>45915</v>
      </c>
      <c r="K338" s="1">
        <f>[1]LISTADO_OTS!G338</f>
        <v>45915</v>
      </c>
      <c r="L338">
        <f>[1]LISTADO_OTS!M338</f>
        <v>0</v>
      </c>
      <c r="M338">
        <f>[1]LISTADO_OTS!N338</f>
        <v>0</v>
      </c>
      <c r="U338" t="b">
        <f>[1]LISTADO_OTS!O338</f>
        <v>1</v>
      </c>
      <c r="V338" t="str">
        <f>[1]LISTADO_OTS!J338</f>
        <v>Villanañe</v>
      </c>
      <c r="W338">
        <f>[1]LISTADO_OTS!R338</f>
        <v>5</v>
      </c>
      <c r="X338">
        <f>[1]LISTADO_OTS!P338</f>
        <v>0</v>
      </c>
      <c r="Y338">
        <v>1</v>
      </c>
      <c r="Z338">
        <f>[1]LISTADO_OTS!S338</f>
        <v>0</v>
      </c>
    </row>
    <row r="339" spans="1:26" x14ac:dyDescent="0.4">
      <c r="A339">
        <v>338</v>
      </c>
      <c r="B339" t="str">
        <f>[1]LISTADO_OTS!E339</f>
        <v>TP/0155</v>
      </c>
      <c r="C339">
        <f>VLOOKUP([1]LISTADO_OTS!B339,[1]Redes!$C$1:$E$5,3,FALSE)</f>
        <v>3</v>
      </c>
      <c r="D339">
        <f>[1]LISTADO_OTS!C339</f>
        <v>2</v>
      </c>
      <c r="E339">
        <f>[1]LISTADO_OTS!D339</f>
        <v>8</v>
      </c>
      <c r="F339">
        <f>[1]LISTADO_OTS!Q339</f>
        <v>5</v>
      </c>
      <c r="G339">
        <f>[1]LISTADO_OTS!R339</f>
        <v>5</v>
      </c>
      <c r="H339" t="str">
        <f>[1]LISTADO_OTS!H339</f>
        <v>Sustitución de contador en Villanañe</v>
      </c>
      <c r="I339" t="str">
        <f>[1]LISTADO_OTS!I339</f>
        <v>Sustitución de contador en Villanañe</v>
      </c>
      <c r="J339" s="1">
        <f>[1]LISTADO_OTS!F339</f>
        <v>45915</v>
      </c>
      <c r="K339" s="1">
        <f>[1]LISTADO_OTS!G339</f>
        <v>45915</v>
      </c>
      <c r="L339">
        <f>[1]LISTADO_OTS!M339</f>
        <v>0</v>
      </c>
      <c r="M339">
        <f>[1]LISTADO_OTS!N339</f>
        <v>0</v>
      </c>
      <c r="U339" t="b">
        <f>[1]LISTADO_OTS!O339</f>
        <v>1</v>
      </c>
      <c r="V339" t="str">
        <f>[1]LISTADO_OTS!J339</f>
        <v>Villanañe</v>
      </c>
      <c r="W339">
        <f>[1]LISTADO_OTS!R339</f>
        <v>5</v>
      </c>
      <c r="X339">
        <f>[1]LISTADO_OTS!P339</f>
        <v>0</v>
      </c>
      <c r="Y339">
        <v>1</v>
      </c>
      <c r="Z339">
        <f>[1]LISTADO_OTS!S339</f>
        <v>0</v>
      </c>
    </row>
    <row r="340" spans="1:26" x14ac:dyDescent="0.4">
      <c r="A340">
        <v>339</v>
      </c>
      <c r="B340" t="str">
        <f>[1]LISTADO_OTS!E340</f>
        <v>TP/0156</v>
      </c>
      <c r="C340">
        <f>VLOOKUP([1]LISTADO_OTS!B340,[1]Redes!$C$1:$E$5,3,FALSE)</f>
        <v>3</v>
      </c>
      <c r="D340">
        <f>[1]LISTADO_OTS!C340</f>
        <v>2</v>
      </c>
      <c r="E340">
        <f>[1]LISTADO_OTS!D340</f>
        <v>8</v>
      </c>
      <c r="F340">
        <f>[1]LISTADO_OTS!Q340</f>
        <v>5</v>
      </c>
      <c r="G340">
        <f>[1]LISTADO_OTS!R340</f>
        <v>5</v>
      </c>
      <c r="H340" t="str">
        <f>[1]LISTADO_OTS!H340</f>
        <v>Sustitución de contador en Antezana de la Ribera</v>
      </c>
      <c r="I340" t="str">
        <f>[1]LISTADO_OTS!I340</f>
        <v>Sustitución de contador en Antezana de la Ribera</v>
      </c>
      <c r="J340" s="1">
        <f>[1]LISTADO_OTS!F340</f>
        <v>45912</v>
      </c>
      <c r="K340" s="1">
        <f>[1]LISTADO_OTS!G340</f>
        <v>45912</v>
      </c>
      <c r="L340">
        <f>[1]LISTADO_OTS!M340</f>
        <v>0</v>
      </c>
      <c r="M340">
        <f>[1]LISTADO_OTS!N340</f>
        <v>0</v>
      </c>
      <c r="U340" t="b">
        <f>[1]LISTADO_OTS!O340</f>
        <v>1</v>
      </c>
      <c r="V340" t="str">
        <f>[1]LISTADO_OTS!J340</f>
        <v>Antezana de la Ribera</v>
      </c>
      <c r="W340">
        <f>[1]LISTADO_OTS!R340</f>
        <v>5</v>
      </c>
      <c r="X340">
        <f>[1]LISTADO_OTS!P340</f>
        <v>0</v>
      </c>
      <c r="Y340">
        <v>1</v>
      </c>
      <c r="Z340">
        <f>[1]LISTADO_OTS!S340</f>
        <v>0</v>
      </c>
    </row>
    <row r="341" spans="1:26" x14ac:dyDescent="0.4">
      <c r="A341">
        <v>340</v>
      </c>
      <c r="B341" t="str">
        <f>[1]LISTADO_OTS!E341</f>
        <v>TP/0157</v>
      </c>
      <c r="C341">
        <f>VLOOKUP([1]LISTADO_OTS!B341,[1]Redes!$C$1:$E$5,3,FALSE)</f>
        <v>3</v>
      </c>
      <c r="D341">
        <f>[1]LISTADO_OTS!C341</f>
        <v>2</v>
      </c>
      <c r="E341">
        <f>[1]LISTADO_OTS!D341</f>
        <v>8</v>
      </c>
      <c r="F341">
        <f>[1]LISTADO_OTS!Q341</f>
        <v>5</v>
      </c>
      <c r="G341">
        <f>[1]LISTADO_OTS!R341</f>
        <v>5</v>
      </c>
      <c r="H341" t="str">
        <f>[1]LISTADO_OTS!H341</f>
        <v>Sustitución de contador en Villanañe</v>
      </c>
      <c r="I341" t="str">
        <f>[1]LISTADO_OTS!I341</f>
        <v>Sustitución de contador en Villanañe</v>
      </c>
      <c r="J341" s="1">
        <f>[1]LISTADO_OTS!F341</f>
        <v>45915</v>
      </c>
      <c r="K341" s="1">
        <f>[1]LISTADO_OTS!G341</f>
        <v>45915</v>
      </c>
      <c r="L341">
        <f>[1]LISTADO_OTS!M341</f>
        <v>0</v>
      </c>
      <c r="M341">
        <f>[1]LISTADO_OTS!N341</f>
        <v>0</v>
      </c>
      <c r="U341" t="b">
        <f>[1]LISTADO_OTS!O341</f>
        <v>1</v>
      </c>
      <c r="V341" t="str">
        <f>[1]LISTADO_OTS!J341</f>
        <v>Villanañe</v>
      </c>
      <c r="W341">
        <f>[1]LISTADO_OTS!R341</f>
        <v>5</v>
      </c>
      <c r="X341">
        <f>[1]LISTADO_OTS!P341</f>
        <v>0</v>
      </c>
      <c r="Y341">
        <v>1</v>
      </c>
      <c r="Z341">
        <f>[1]LISTADO_OTS!S341</f>
        <v>0</v>
      </c>
    </row>
    <row r="342" spans="1:26" x14ac:dyDescent="0.4">
      <c r="A342">
        <v>341</v>
      </c>
      <c r="B342" t="str">
        <f>[1]LISTADO_OTS!E342</f>
        <v>OT/0271</v>
      </c>
      <c r="C342">
        <f>VLOOKUP([1]LISTADO_OTS!B342,[1]Redes!$C$1:$E$5,3,FALSE)</f>
        <v>3</v>
      </c>
      <c r="D342">
        <f>[1]LISTADO_OTS!C342</f>
        <v>1</v>
      </c>
      <c r="E342">
        <f>[1]LISTADO_OTS!D342</f>
        <v>0</v>
      </c>
      <c r="F342">
        <f>[1]LISTADO_OTS!Q342</f>
        <v>5</v>
      </c>
      <c r="G342">
        <f>[1]LISTADO_OTS!R342</f>
        <v>5</v>
      </c>
      <c r="H342" t="str">
        <f>[1]LISTADO_OTS!H342</f>
        <v>Fuga en Espejo</v>
      </c>
      <c r="I342" t="str">
        <f>[1]LISTADO_OTS!I342</f>
        <v>Fuga en Espejo</v>
      </c>
      <c r="J342" s="1">
        <f>[1]LISTADO_OTS!F342</f>
        <v>45909</v>
      </c>
      <c r="K342" s="1">
        <f>[1]LISTADO_OTS!G342</f>
        <v>45909</v>
      </c>
      <c r="L342">
        <f>[1]LISTADO_OTS!M342</f>
        <v>42.807507999999999</v>
      </c>
      <c r="M342">
        <f>[1]LISTADO_OTS!N342</f>
        <v>-3.0481959999999999</v>
      </c>
      <c r="U342" t="b">
        <f>[1]LISTADO_OTS!O342</f>
        <v>1</v>
      </c>
      <c r="V342" t="str">
        <f>[1]LISTADO_OTS!J342</f>
        <v>Espejo</v>
      </c>
      <c r="W342">
        <f>[1]LISTADO_OTS!R342</f>
        <v>5</v>
      </c>
      <c r="X342">
        <f>[1]LISTADO_OTS!P342</f>
        <v>0</v>
      </c>
      <c r="Y342">
        <v>1</v>
      </c>
      <c r="Z342">
        <f>[1]LISTADO_OTS!S342</f>
        <v>1</v>
      </c>
    </row>
    <row r="343" spans="1:26" x14ac:dyDescent="0.4">
      <c r="A343">
        <v>342</v>
      </c>
      <c r="B343" t="str">
        <f>[1]LISTADO_OTS!E343</f>
        <v>OT/0272</v>
      </c>
      <c r="C343">
        <f>VLOOKUP([1]LISTADO_OTS!B343,[1]Redes!$C$1:$E$5,3,FALSE)</f>
        <v>3</v>
      </c>
      <c r="D343">
        <f>[1]LISTADO_OTS!C343</f>
        <v>1</v>
      </c>
      <c r="E343">
        <f>[1]LISTADO_OTS!D343</f>
        <v>0</v>
      </c>
      <c r="F343">
        <f>[1]LISTADO_OTS!Q343</f>
        <v>1</v>
      </c>
      <c r="G343">
        <f>[1]LISTADO_OTS!R343</f>
        <v>1</v>
      </c>
      <c r="H343" t="str">
        <f>[1]LISTADO_OTS!H343</f>
        <v>Fuga en Etxegoien</v>
      </c>
      <c r="I343" t="str">
        <f>[1]LISTADO_OTS!I343</f>
        <v>Fuga en Etxegoien</v>
      </c>
      <c r="J343" s="1">
        <f>[1]LISTADO_OTS!F343</f>
        <v>45908</v>
      </c>
      <c r="K343" s="1">
        <f>[1]LISTADO_OTS!G343</f>
        <v>45908</v>
      </c>
      <c r="L343">
        <f>[1]LISTADO_OTS!M343</f>
        <v>43.043398000000003</v>
      </c>
      <c r="M343">
        <f>[1]LISTADO_OTS!N343</f>
        <v>-3.0213649999999999</v>
      </c>
      <c r="U343" t="b">
        <f>[1]LISTADO_OTS!O343</f>
        <v>1</v>
      </c>
      <c r="V343" t="str">
        <f>[1]LISTADO_OTS!J343</f>
        <v>Etxegoien</v>
      </c>
      <c r="W343">
        <f>[1]LISTADO_OTS!R343</f>
        <v>1</v>
      </c>
      <c r="X343">
        <f>[1]LISTADO_OTS!P343</f>
        <v>0</v>
      </c>
      <c r="Y343">
        <v>1</v>
      </c>
      <c r="Z343">
        <f>[1]LISTADO_OTS!S343</f>
        <v>1</v>
      </c>
    </row>
    <row r="344" spans="1:26" x14ac:dyDescent="0.4">
      <c r="A344">
        <v>343</v>
      </c>
      <c r="B344" t="str">
        <f>[1]LISTADO_OTS!E344</f>
        <v>OT/0273</v>
      </c>
      <c r="C344">
        <f>VLOOKUP([1]LISTADO_OTS!B344,[1]Redes!$C$1:$E$5,3,FALSE)</f>
        <v>3</v>
      </c>
      <c r="D344">
        <f>[1]LISTADO_OTS!C344</f>
        <v>1</v>
      </c>
      <c r="E344">
        <f>[1]LISTADO_OTS!D344</f>
        <v>0</v>
      </c>
      <c r="F344">
        <f>[1]LISTADO_OTS!Q344</f>
        <v>1</v>
      </c>
      <c r="G344">
        <f>[1]LISTADO_OTS!R344</f>
        <v>1</v>
      </c>
      <c r="H344" t="str">
        <f>[1]LISTADO_OTS!H344</f>
        <v>Fuga Larrimbe</v>
      </c>
      <c r="I344" t="str">
        <f>[1]LISTADO_OTS!I344</f>
        <v>Fuga Larrimbe</v>
      </c>
      <c r="J344" s="1">
        <f>[1]LISTADO_OTS!F344</f>
        <v>45908</v>
      </c>
      <c r="K344" s="1">
        <f>[1]LISTADO_OTS!G344</f>
        <v>45908</v>
      </c>
      <c r="L344">
        <f>[1]LISTADO_OTS!M344</f>
        <v>0</v>
      </c>
      <c r="M344">
        <f>[1]LISTADO_OTS!N344</f>
        <v>0</v>
      </c>
      <c r="U344" t="b">
        <f>[1]LISTADO_OTS!O344</f>
        <v>1</v>
      </c>
      <c r="V344" t="str">
        <f>[1]LISTADO_OTS!J344</f>
        <v>Larrinbe</v>
      </c>
      <c r="W344">
        <f>[1]LISTADO_OTS!R344</f>
        <v>1</v>
      </c>
      <c r="X344">
        <f>[1]LISTADO_OTS!P344</f>
        <v>0</v>
      </c>
      <c r="Y344">
        <v>1</v>
      </c>
      <c r="Z344">
        <f>[1]LISTADO_OTS!S344</f>
        <v>1</v>
      </c>
    </row>
    <row r="345" spans="1:26" x14ac:dyDescent="0.4">
      <c r="A345">
        <v>344</v>
      </c>
      <c r="B345" t="str">
        <f>[1]LISTADO_OTS!E345</f>
        <v>OT/0274</v>
      </c>
      <c r="C345">
        <f>VLOOKUP([1]LISTADO_OTS!B345,[1]Redes!$C$1:$E$5,3,FALSE)</f>
        <v>3</v>
      </c>
      <c r="D345">
        <f>[1]LISTADO_OTS!C345</f>
        <v>1</v>
      </c>
      <c r="E345">
        <f>[1]LISTADO_OTS!D345</f>
        <v>0</v>
      </c>
      <c r="F345">
        <f>[1]LISTADO_OTS!Q345</f>
        <v>1</v>
      </c>
      <c r="G345">
        <f>[1]LISTADO_OTS!R345</f>
        <v>1</v>
      </c>
      <c r="H345" t="str">
        <f>[1]LISTADO_OTS!H345</f>
        <v>Fuga en Iperrega en Baranbio</v>
      </c>
      <c r="I345" t="str">
        <f>[1]LISTADO_OTS!I345</f>
        <v>Fuga en Iperrega en Baranbio</v>
      </c>
      <c r="J345" s="1">
        <f>[1]LISTADO_OTS!F345</f>
        <v>45908</v>
      </c>
      <c r="K345" s="1">
        <f>[1]LISTADO_OTS!G345</f>
        <v>45908</v>
      </c>
      <c r="L345">
        <f>[1]LISTADO_OTS!M345</f>
        <v>43.051223999999998</v>
      </c>
      <c r="M345">
        <f>[1]LISTADO_OTS!N345</f>
        <v>-2.922641</v>
      </c>
      <c r="U345" t="b">
        <f>[1]LISTADO_OTS!O345</f>
        <v>1</v>
      </c>
      <c r="V345" t="str">
        <f>[1]LISTADO_OTS!J345</f>
        <v>Iperrega-Baranbio</v>
      </c>
      <c r="W345">
        <f>[1]LISTADO_OTS!R345</f>
        <v>1</v>
      </c>
      <c r="X345">
        <f>[1]LISTADO_OTS!P345</f>
        <v>0</v>
      </c>
      <c r="Y345">
        <v>1</v>
      </c>
      <c r="Z345">
        <f>[1]LISTADO_OTS!S345</f>
        <v>1</v>
      </c>
    </row>
    <row r="346" spans="1:26" x14ac:dyDescent="0.4">
      <c r="A346">
        <v>345</v>
      </c>
      <c r="B346" t="str">
        <f>[1]LISTADO_OTS!E346</f>
        <v>TP/0158</v>
      </c>
      <c r="C346">
        <f>VLOOKUP([1]LISTADO_OTS!B346,[1]Redes!$C$1:$E$5,3,FALSE)</f>
        <v>5</v>
      </c>
      <c r="D346">
        <f>[1]LISTADO_OTS!C346</f>
        <v>2</v>
      </c>
      <c r="E346">
        <f>[1]LISTADO_OTS!D346</f>
        <v>3</v>
      </c>
      <c r="F346">
        <f>[1]LISTADO_OTS!Q346</f>
        <v>1</v>
      </c>
      <c r="G346">
        <f>[1]LISTADO_OTS!R346</f>
        <v>2</v>
      </c>
      <c r="H346" t="str">
        <f>[1]LISTADO_OTS!H346</f>
        <v>Saneamiento en Artziniega</v>
      </c>
      <c r="I346" t="str">
        <f>[1]LISTADO_OTS!I346</f>
        <v>Saneamiento en Artziniega</v>
      </c>
      <c r="J346" s="1">
        <f>[1]LISTADO_OTS!F346</f>
        <v>45909</v>
      </c>
      <c r="K346" s="1">
        <f>[1]LISTADO_OTS!G346</f>
        <v>45909</v>
      </c>
      <c r="L346">
        <f>[1]LISTADO_OTS!M346</f>
        <v>0</v>
      </c>
      <c r="M346">
        <f>[1]LISTADO_OTS!N346</f>
        <v>0</v>
      </c>
      <c r="U346" t="b">
        <f>[1]LISTADO_OTS!O346</f>
        <v>1</v>
      </c>
      <c r="V346" t="str">
        <f>[1]LISTADO_OTS!J346</f>
        <v>Artziniega</v>
      </c>
      <c r="W346">
        <f>[1]LISTADO_OTS!R346</f>
        <v>2</v>
      </c>
      <c r="X346">
        <f>[1]LISTADO_OTS!P346</f>
        <v>0</v>
      </c>
      <c r="Y346">
        <v>1</v>
      </c>
      <c r="Z346">
        <f>[1]LISTADO_OTS!S346</f>
        <v>0</v>
      </c>
    </row>
    <row r="347" spans="1:26" x14ac:dyDescent="0.4">
      <c r="A347">
        <v>346</v>
      </c>
      <c r="B347" t="str">
        <f>[1]LISTADO_OTS!E347</f>
        <v>OT/0275</v>
      </c>
      <c r="C347">
        <f>VLOOKUP([1]LISTADO_OTS!B347,[1]Redes!$C$1:$E$5,3,FALSE)</f>
        <v>3</v>
      </c>
      <c r="D347">
        <f>[1]LISTADO_OTS!C347</f>
        <v>1</v>
      </c>
      <c r="E347">
        <f>[1]LISTADO_OTS!D347</f>
        <v>0</v>
      </c>
      <c r="F347">
        <f>[1]LISTADO_OTS!Q347</f>
        <v>1</v>
      </c>
      <c r="G347">
        <f>[1]LISTADO_OTS!R347</f>
        <v>1</v>
      </c>
      <c r="H347" t="str">
        <f>[1]LISTADO_OTS!H347</f>
        <v>Fuga Quejana</v>
      </c>
      <c r="I347" t="str">
        <f>[1]LISTADO_OTS!I347</f>
        <v>Fuga Quejana</v>
      </c>
      <c r="J347" s="1">
        <f>[1]LISTADO_OTS!F347</f>
        <v>45910</v>
      </c>
      <c r="K347" s="1">
        <f>[1]LISTADO_OTS!G347</f>
        <v>45910</v>
      </c>
      <c r="L347">
        <f>[1]LISTADO_OTS!M347</f>
        <v>0</v>
      </c>
      <c r="M347">
        <f>[1]LISTADO_OTS!N347</f>
        <v>0</v>
      </c>
      <c r="U347" t="b">
        <f>[1]LISTADO_OTS!O347</f>
        <v>1</v>
      </c>
      <c r="V347" t="str">
        <f>[1]LISTADO_OTS!J347</f>
        <v>Quejana</v>
      </c>
      <c r="W347">
        <f>[1]LISTADO_OTS!R347</f>
        <v>1</v>
      </c>
      <c r="X347">
        <f>[1]LISTADO_OTS!P347</f>
        <v>0</v>
      </c>
      <c r="Y347">
        <v>1</v>
      </c>
      <c r="Z347">
        <f>[1]LISTADO_OTS!S347</f>
        <v>1</v>
      </c>
    </row>
    <row r="348" spans="1:26" x14ac:dyDescent="0.4">
      <c r="A348">
        <v>347</v>
      </c>
      <c r="B348" t="str">
        <f>[1]LISTADO_OTS!E348</f>
        <v>OT/0276</v>
      </c>
      <c r="C348">
        <f>VLOOKUP([1]LISTADO_OTS!B348,[1]Redes!$C$1:$E$5,3,FALSE)</f>
        <v>3</v>
      </c>
      <c r="D348">
        <f>[1]LISTADO_OTS!C348</f>
        <v>1</v>
      </c>
      <c r="E348">
        <f>[1]LISTADO_OTS!D348</f>
        <v>0</v>
      </c>
      <c r="F348">
        <f>[1]LISTADO_OTS!Q348</f>
        <v>5</v>
      </c>
      <c r="G348">
        <f>[1]LISTADO_OTS!R348</f>
        <v>5</v>
      </c>
      <c r="H348" t="str">
        <f>[1]LISTADO_OTS!H348</f>
        <v>Fuga en Barrio</v>
      </c>
      <c r="I348" t="str">
        <f>[1]LISTADO_OTS!I348</f>
        <v>Fuga en Barrio</v>
      </c>
      <c r="J348" s="1">
        <f>[1]LISTADO_OTS!F348</f>
        <v>45910</v>
      </c>
      <c r="K348" s="1">
        <f>[1]LISTADO_OTS!G348</f>
        <v>45910</v>
      </c>
      <c r="L348">
        <f>[1]LISTADO_OTS!M348</f>
        <v>0</v>
      </c>
      <c r="M348">
        <f>[1]LISTADO_OTS!N348</f>
        <v>0</v>
      </c>
      <c r="U348" t="b">
        <f>[1]LISTADO_OTS!O348</f>
        <v>1</v>
      </c>
      <c r="V348" t="str">
        <f>[1]LISTADO_OTS!J348</f>
        <v>Barrio</v>
      </c>
      <c r="W348">
        <f>[1]LISTADO_OTS!R348</f>
        <v>5</v>
      </c>
      <c r="X348">
        <f>[1]LISTADO_OTS!P348</f>
        <v>0</v>
      </c>
      <c r="Y348">
        <v>1</v>
      </c>
      <c r="Z348">
        <f>[1]LISTADO_OTS!S348</f>
        <v>1</v>
      </c>
    </row>
    <row r="349" spans="1:26" x14ac:dyDescent="0.4">
      <c r="A349">
        <v>348</v>
      </c>
      <c r="B349" t="str">
        <f>[1]LISTADO_OTS!E349</f>
        <v>OT/0277</v>
      </c>
      <c r="C349">
        <f>VLOOKUP([1]LISTADO_OTS!B349,[1]Redes!$C$1:$E$5,3,FALSE)</f>
        <v>3</v>
      </c>
      <c r="D349">
        <f>[1]LISTADO_OTS!C349</f>
        <v>1</v>
      </c>
      <c r="E349">
        <f>[1]LISTADO_OTS!D349</f>
        <v>0</v>
      </c>
      <c r="F349">
        <f>[1]LISTADO_OTS!Q349</f>
        <v>9</v>
      </c>
      <c r="G349">
        <f>[1]LISTADO_OTS!R349</f>
        <v>9</v>
      </c>
      <c r="H349" t="str">
        <f>[1]LISTADO_OTS!H349</f>
        <v>Fuga en Oreitia</v>
      </c>
      <c r="I349" t="str">
        <f>[1]LISTADO_OTS!I349</f>
        <v>Fuga en Oreitia</v>
      </c>
      <c r="J349" s="1">
        <f>[1]LISTADO_OTS!F349</f>
        <v>45911</v>
      </c>
      <c r="K349" s="1">
        <f>[1]LISTADO_OTS!G349</f>
        <v>45911</v>
      </c>
      <c r="L349">
        <f>[1]LISTADO_OTS!M349</f>
        <v>42.857737</v>
      </c>
      <c r="M349">
        <f>[1]LISTADO_OTS!N349</f>
        <v>-2.55864</v>
      </c>
      <c r="U349" t="b">
        <f>[1]LISTADO_OTS!O349</f>
        <v>1</v>
      </c>
      <c r="V349" t="str">
        <f>[1]LISTADO_OTS!J349</f>
        <v>Oreitia</v>
      </c>
      <c r="W349">
        <f>[1]LISTADO_OTS!R349</f>
        <v>9</v>
      </c>
      <c r="X349">
        <f>[1]LISTADO_OTS!P349</f>
        <v>0</v>
      </c>
      <c r="Y349">
        <v>1</v>
      </c>
      <c r="Z349">
        <f>[1]LISTADO_OTS!S349</f>
        <v>1</v>
      </c>
    </row>
    <row r="350" spans="1:26" x14ac:dyDescent="0.4">
      <c r="A350">
        <v>349</v>
      </c>
      <c r="B350" t="str">
        <f>[1]LISTADO_OTS!E350</f>
        <v>OT/0278</v>
      </c>
      <c r="C350">
        <f>VLOOKUP([1]LISTADO_OTS!B350,[1]Redes!$C$1:$E$5,3,FALSE)</f>
        <v>3</v>
      </c>
      <c r="D350">
        <f>[1]LISTADO_OTS!C350</f>
        <v>1</v>
      </c>
      <c r="E350">
        <f>[1]LISTADO_OTS!D350</f>
        <v>0</v>
      </c>
      <c r="F350">
        <f>[1]LISTADO_OTS!Q350</f>
        <v>1</v>
      </c>
      <c r="G350">
        <f>[1]LISTADO_OTS!R350</f>
        <v>1</v>
      </c>
      <c r="H350" t="str">
        <f>[1]LISTADO_OTS!H350</f>
        <v>Fuga en Respaldiza en Zerrabe Ausoa  n4</v>
      </c>
      <c r="I350" t="str">
        <f>[1]LISTADO_OTS!I350</f>
        <v>Fuga en Respaldiza en Zerrabe Ausoa n4</v>
      </c>
      <c r="J350" s="1">
        <f>[1]LISTADO_OTS!F350</f>
        <v>45911</v>
      </c>
      <c r="K350" s="1">
        <f>[1]LISTADO_OTS!G350</f>
        <v>45911</v>
      </c>
      <c r="L350">
        <f>[1]LISTADO_OTS!M350</f>
        <v>43.106321999999999</v>
      </c>
      <c r="M350">
        <f>[1]LISTADO_OTS!N350</f>
        <v>-3.0451920000000001</v>
      </c>
      <c r="U350" t="b">
        <f>[1]LISTADO_OTS!O350</f>
        <v>1</v>
      </c>
      <c r="V350" t="str">
        <f>[1]LISTADO_OTS!J350</f>
        <v>Respaldiza</v>
      </c>
      <c r="W350">
        <f>[1]LISTADO_OTS!R350</f>
        <v>1</v>
      </c>
      <c r="X350">
        <f>[1]LISTADO_OTS!P350</f>
        <v>0</v>
      </c>
      <c r="Y350">
        <v>1</v>
      </c>
      <c r="Z350">
        <f>[1]LISTADO_OTS!S350</f>
        <v>1</v>
      </c>
    </row>
    <row r="351" spans="1:26" x14ac:dyDescent="0.4">
      <c r="A351">
        <v>350</v>
      </c>
      <c r="B351" t="str">
        <f>[1]LISTADO_OTS!E351</f>
        <v>TP/0159</v>
      </c>
      <c r="C351">
        <f>VLOOKUP([1]LISTADO_OTS!B351,[1]Redes!$C$1:$E$5,3,FALSE)</f>
        <v>3</v>
      </c>
      <c r="D351">
        <f>[1]LISTADO_OTS!C351</f>
        <v>2</v>
      </c>
      <c r="E351">
        <f>[1]LISTADO_OTS!D351</f>
        <v>17</v>
      </c>
      <c r="F351">
        <f>[1]LISTADO_OTS!Q351</f>
        <v>1</v>
      </c>
      <c r="G351">
        <f>[1]LISTADO_OTS!R351</f>
        <v>1</v>
      </c>
      <c r="H351" t="str">
        <f>[1]LISTADO_OTS!H351</f>
        <v>Limpieza de Red en Aresketamendi (Amurrio)</v>
      </c>
      <c r="I351" t="str">
        <f>[1]LISTADO_OTS!I351</f>
        <v>Limpieza de Red en Aresketamendi (Amurrio)</v>
      </c>
      <c r="J351" s="1">
        <f>[1]LISTADO_OTS!F351</f>
        <v>45911</v>
      </c>
      <c r="K351" s="1">
        <f>[1]LISTADO_OTS!G351</f>
        <v>45911</v>
      </c>
      <c r="L351">
        <f>[1]LISTADO_OTS!M351</f>
        <v>0</v>
      </c>
      <c r="M351">
        <f>[1]LISTADO_OTS!N351</f>
        <v>0</v>
      </c>
      <c r="U351" t="b">
        <f>[1]LISTADO_OTS!O351</f>
        <v>1</v>
      </c>
      <c r="V351" t="str">
        <f>[1]LISTADO_OTS!J351</f>
        <v>Amurrio</v>
      </c>
      <c r="W351">
        <f>[1]LISTADO_OTS!R351</f>
        <v>1</v>
      </c>
      <c r="X351">
        <f>[1]LISTADO_OTS!P351</f>
        <v>0</v>
      </c>
      <c r="Y351">
        <v>1</v>
      </c>
      <c r="Z351">
        <f>[1]LISTADO_OTS!S351</f>
        <v>0</v>
      </c>
    </row>
    <row r="352" spans="1:26" x14ac:dyDescent="0.4">
      <c r="A352">
        <v>351</v>
      </c>
      <c r="B352" t="str">
        <f>[1]LISTADO_OTS!E352</f>
        <v>OT/0279</v>
      </c>
      <c r="C352">
        <f>VLOOKUP([1]LISTADO_OTS!B352,[1]Redes!$C$1:$E$5,3,FALSE)</f>
        <v>3</v>
      </c>
      <c r="D352">
        <f>[1]LISTADO_OTS!C352</f>
        <v>1</v>
      </c>
      <c r="E352">
        <f>[1]LISTADO_OTS!D352</f>
        <v>0</v>
      </c>
      <c r="F352">
        <f>[1]LISTADO_OTS!Q352</f>
        <v>1</v>
      </c>
      <c r="G352">
        <f>[1]LISTADO_OTS!R352</f>
        <v>1</v>
      </c>
      <c r="H352" t="str">
        <f>[1]LISTADO_OTS!H352</f>
        <v>Aviso por fuga en montante en Avda.Zumalakarregui n36</v>
      </c>
      <c r="I352" t="str">
        <f>[1]LISTADO_OTS!I352</f>
        <v>Aviso por fuga en montante en Avda.Zumalakarregui 36</v>
      </c>
      <c r="J352" s="1">
        <f>[1]LISTADO_OTS!F352</f>
        <v>45911</v>
      </c>
      <c r="K352" s="1">
        <f>[1]LISTADO_OTS!G352</f>
        <v>45911</v>
      </c>
      <c r="L352">
        <f>[1]LISTADO_OTS!M352</f>
        <v>43.143473999999998</v>
      </c>
      <c r="M352">
        <f>[1]LISTADO_OTS!N352</f>
        <v>-2.9629180000000002</v>
      </c>
      <c r="U352" t="b">
        <f>[1]LISTADO_OTS!O352</f>
        <v>1</v>
      </c>
      <c r="V352" t="str">
        <f>[1]LISTADO_OTS!J352</f>
        <v>Llodio</v>
      </c>
      <c r="W352">
        <f>[1]LISTADO_OTS!R352</f>
        <v>1</v>
      </c>
      <c r="X352">
        <f>[1]LISTADO_OTS!P352</f>
        <v>0</v>
      </c>
      <c r="Y352">
        <v>1</v>
      </c>
      <c r="Z352">
        <f>[1]LISTADO_OTS!S352</f>
        <v>1</v>
      </c>
    </row>
    <row r="353" spans="1:26" x14ac:dyDescent="0.4">
      <c r="A353">
        <v>352</v>
      </c>
      <c r="B353" t="str">
        <f>[1]LISTADO_OTS!E353</f>
        <v>TP/0160</v>
      </c>
      <c r="C353">
        <f>VLOOKUP([1]LISTADO_OTS!B353,[1]Redes!$C$1:$E$5,3,FALSE)</f>
        <v>1</v>
      </c>
      <c r="D353">
        <f>[1]LISTADO_OTS!C353</f>
        <v>2</v>
      </c>
      <c r="E353">
        <f>[1]LISTADO_OTS!D353</f>
        <v>2</v>
      </c>
      <c r="F353">
        <f>[1]LISTADO_OTS!Q353</f>
        <v>3</v>
      </c>
      <c r="G353">
        <f>[1]LISTADO_OTS!R353</f>
        <v>3</v>
      </c>
      <c r="H353" t="str">
        <f>[1]LISTADO_OTS!H353</f>
        <v>Limpieza capataciones en Araia ( Agurain)</v>
      </c>
      <c r="I353" t="str">
        <f>[1]LISTADO_OTS!I353</f>
        <v>Limpieza capataciones</v>
      </c>
      <c r="J353" s="1">
        <f>[1]LISTADO_OTS!F353</f>
        <v>45912</v>
      </c>
      <c r="K353" s="1">
        <f>[1]LISTADO_OTS!G353</f>
        <v>45912</v>
      </c>
      <c r="L353">
        <f>[1]LISTADO_OTS!M353</f>
        <v>0</v>
      </c>
      <c r="M353">
        <f>[1]LISTADO_OTS!N353</f>
        <v>0</v>
      </c>
      <c r="U353" t="b">
        <f>[1]LISTADO_OTS!O353</f>
        <v>1</v>
      </c>
      <c r="V353" t="str">
        <f>[1]LISTADO_OTS!J353</f>
        <v>Araia</v>
      </c>
      <c r="W353">
        <f>[1]LISTADO_OTS!R353</f>
        <v>3</v>
      </c>
      <c r="X353">
        <f>[1]LISTADO_OTS!P353</f>
        <v>0</v>
      </c>
      <c r="Y353">
        <v>1</v>
      </c>
      <c r="Z353">
        <f>[1]LISTADO_OTS!S353</f>
        <v>0</v>
      </c>
    </row>
    <row r="354" spans="1:26" x14ac:dyDescent="0.4">
      <c r="A354">
        <v>353</v>
      </c>
      <c r="B354" t="str">
        <f>[1]LISTADO_OTS!E354</f>
        <v>OT/0280</v>
      </c>
      <c r="C354">
        <f>VLOOKUP([1]LISTADO_OTS!B354,[1]Redes!$C$1:$E$5,3,FALSE)</f>
        <v>3</v>
      </c>
      <c r="D354">
        <f>[1]LISTADO_OTS!C354</f>
        <v>1</v>
      </c>
      <c r="E354">
        <f>[1]LISTADO_OTS!D354</f>
        <v>0</v>
      </c>
      <c r="F354">
        <f>[1]LISTADO_OTS!Q354</f>
        <v>5</v>
      </c>
      <c r="G354">
        <f>[1]LISTADO_OTS!R354</f>
        <v>5</v>
      </c>
      <c r="H354" t="str">
        <f>[1]LISTADO_OTS!H354</f>
        <v>Fuga en Berantevilla</v>
      </c>
      <c r="I354" t="str">
        <f>[1]LISTADO_OTS!I354</f>
        <v>Fuga en Berantevilla</v>
      </c>
      <c r="J354" s="1">
        <f>[1]LISTADO_OTS!F354</f>
        <v>45912</v>
      </c>
      <c r="K354" s="1">
        <f>[1]LISTADO_OTS!G354</f>
        <v>45912</v>
      </c>
      <c r="L354">
        <f>[1]LISTADO_OTS!M354</f>
        <v>42.683407000000003</v>
      </c>
      <c r="M354">
        <f>[1]LISTADO_OTS!N354</f>
        <v>-2.8591500000000001</v>
      </c>
      <c r="U354" t="b">
        <f>[1]LISTADO_OTS!O354</f>
        <v>1</v>
      </c>
      <c r="V354" t="str">
        <f>[1]LISTADO_OTS!J354</f>
        <v>Berantevilla</v>
      </c>
      <c r="W354">
        <f>[1]LISTADO_OTS!R354</f>
        <v>5</v>
      </c>
      <c r="X354">
        <f>[1]LISTADO_OTS!P354</f>
        <v>0</v>
      </c>
      <c r="Y354">
        <v>1</v>
      </c>
      <c r="Z354">
        <f>[1]LISTADO_OTS!S354</f>
        <v>1</v>
      </c>
    </row>
    <row r="355" spans="1:26" x14ac:dyDescent="0.4">
      <c r="A355">
        <v>354</v>
      </c>
      <c r="B355" t="str">
        <f>[1]LISTADO_OTS!E355</f>
        <v>OT/0281</v>
      </c>
      <c r="C355">
        <f>VLOOKUP([1]LISTADO_OTS!B355,[1]Redes!$C$1:$E$5,3,FALSE)</f>
        <v>3</v>
      </c>
      <c r="D355">
        <f>[1]LISTADO_OTS!C355</f>
        <v>1</v>
      </c>
      <c r="E355">
        <f>[1]LISTADO_OTS!D355</f>
        <v>0</v>
      </c>
      <c r="F355">
        <f>[1]LISTADO_OTS!Q355</f>
        <v>5</v>
      </c>
      <c r="G355">
        <f>[1]LISTADO_OTS!R355</f>
        <v>5</v>
      </c>
      <c r="H355" t="str">
        <f>[1]LISTADO_OTS!H355</f>
        <v>Fuga en Zambrana</v>
      </c>
      <c r="I355" t="str">
        <f>[1]LISTADO_OTS!I355</f>
        <v>Fuga en Zambrana</v>
      </c>
      <c r="J355" s="1">
        <f>[1]LISTADO_OTS!F355</f>
        <v>45913</v>
      </c>
      <c r="K355" s="1">
        <f>[1]LISTADO_OTS!G355</f>
        <v>45913</v>
      </c>
      <c r="L355">
        <f>[1]LISTADO_OTS!M355</f>
        <v>42.664059000000002</v>
      </c>
      <c r="M355">
        <f>[1]LISTADO_OTS!N355</f>
        <v>-2.8802940000000001</v>
      </c>
      <c r="U355" t="b">
        <f>[1]LISTADO_OTS!O355</f>
        <v>1</v>
      </c>
      <c r="V355" t="str">
        <f>[1]LISTADO_OTS!J355</f>
        <v>Zambrana</v>
      </c>
      <c r="W355">
        <f>[1]LISTADO_OTS!R355</f>
        <v>5</v>
      </c>
      <c r="X355">
        <f>[1]LISTADO_OTS!P355</f>
        <v>0</v>
      </c>
      <c r="Y355">
        <v>1</v>
      </c>
      <c r="Z355">
        <f>[1]LISTADO_OTS!S355</f>
        <v>1</v>
      </c>
    </row>
    <row r="356" spans="1:26" x14ac:dyDescent="0.4">
      <c r="A356">
        <v>355</v>
      </c>
      <c r="B356" t="str">
        <f>[1]LISTADO_OTS!E356</f>
        <v>OT/0282</v>
      </c>
      <c r="C356">
        <f>VLOOKUP([1]LISTADO_OTS!B356,[1]Redes!$C$1:$E$5,3,FALSE)</f>
        <v>3</v>
      </c>
      <c r="D356">
        <f>[1]LISTADO_OTS!C356</f>
        <v>1</v>
      </c>
      <c r="E356">
        <f>[1]LISTADO_OTS!D356</f>
        <v>0</v>
      </c>
      <c r="F356">
        <f>[1]LISTADO_OTS!Q356</f>
        <v>1</v>
      </c>
      <c r="G356">
        <f>[1]LISTADO_OTS!R356</f>
        <v>1</v>
      </c>
      <c r="H356" t="str">
        <f>[1]LISTADO_OTS!H356</f>
        <v>Fuga Erbi</v>
      </c>
      <c r="I356" t="str">
        <f>[1]LISTADO_OTS!I356</f>
        <v>Fuga Erbi</v>
      </c>
      <c r="J356" s="1">
        <f>[1]LISTADO_OTS!F356</f>
        <v>45913</v>
      </c>
      <c r="K356" s="1">
        <f>[1]LISTADO_OTS!G356</f>
        <v>45913</v>
      </c>
      <c r="L356">
        <f>[1]LISTADO_OTS!M356</f>
        <v>43.07443</v>
      </c>
      <c r="M356">
        <f>[1]LISTADO_OTS!N356</f>
        <v>-3.112962</v>
      </c>
      <c r="U356" t="b">
        <f>[1]LISTADO_OTS!O356</f>
        <v>1</v>
      </c>
      <c r="V356" t="str">
        <f>[1]LISTADO_OTS!J356</f>
        <v>Erbi-Ayala</v>
      </c>
      <c r="W356">
        <f>[1]LISTADO_OTS!R356</f>
        <v>1</v>
      </c>
      <c r="X356">
        <f>[1]LISTADO_OTS!P356</f>
        <v>0</v>
      </c>
      <c r="Y356">
        <v>1</v>
      </c>
      <c r="Z356">
        <f>[1]LISTADO_OTS!S356</f>
        <v>1</v>
      </c>
    </row>
    <row r="357" spans="1:26" x14ac:dyDescent="0.4">
      <c r="A357">
        <v>356</v>
      </c>
      <c r="B357" t="str">
        <f>[1]LISTADO_OTS!E357</f>
        <v>OT/0283</v>
      </c>
      <c r="C357">
        <f>VLOOKUP([1]LISTADO_OTS!B357,[1]Redes!$C$1:$E$5,3,FALSE)</f>
        <v>5</v>
      </c>
      <c r="D357">
        <f>[1]LISTADO_OTS!C357</f>
        <v>1</v>
      </c>
      <c r="E357">
        <f>[1]LISTADO_OTS!D357</f>
        <v>0</v>
      </c>
      <c r="F357">
        <f>[1]LISTADO_OTS!Q357</f>
        <v>3</v>
      </c>
      <c r="G357">
        <f>[1]LISTADO_OTS!R357</f>
        <v>26</v>
      </c>
      <c r="H357" t="str">
        <f>[1]LISTADO_OTS!H357</f>
        <v>Atasco en Agurain</v>
      </c>
      <c r="I357" t="str">
        <f>[1]LISTADO_OTS!I357</f>
        <v>Atasco en Agurain</v>
      </c>
      <c r="J357" s="1">
        <f>[1]LISTADO_OTS!F357</f>
        <v>45913</v>
      </c>
      <c r="K357" s="1">
        <f>[1]LISTADO_OTS!G357</f>
        <v>45913</v>
      </c>
      <c r="L357">
        <f>[1]LISTADO_OTS!M357</f>
        <v>42.847745000000003</v>
      </c>
      <c r="M357">
        <f>[1]LISTADO_OTS!N357</f>
        <v>-2.3949020000000001</v>
      </c>
      <c r="U357" t="b">
        <f>[1]LISTADO_OTS!O357</f>
        <v>1</v>
      </c>
      <c r="V357" t="str">
        <f>[1]LISTADO_OTS!J357</f>
        <v>Agurain</v>
      </c>
      <c r="W357">
        <f>[1]LISTADO_OTS!R357</f>
        <v>26</v>
      </c>
      <c r="X357">
        <f>[1]LISTADO_OTS!P357</f>
        <v>0</v>
      </c>
      <c r="Y357">
        <v>1</v>
      </c>
      <c r="Z357">
        <f>[1]LISTADO_OTS!S357</f>
        <v>2</v>
      </c>
    </row>
    <row r="358" spans="1:26" x14ac:dyDescent="0.4">
      <c r="A358">
        <v>357</v>
      </c>
      <c r="B358" t="str">
        <f>[1]LISTADO_OTS!E358</f>
        <v>OT/0284</v>
      </c>
      <c r="C358">
        <f>VLOOKUP([1]LISTADO_OTS!B358,[1]Redes!$C$1:$E$5,3,FALSE)</f>
        <v>3</v>
      </c>
      <c r="D358">
        <f>[1]LISTADO_OTS!C358</f>
        <v>1</v>
      </c>
      <c r="E358">
        <f>[1]LISTADO_OTS!D358</f>
        <v>0</v>
      </c>
      <c r="F358">
        <f>[1]LISTADO_OTS!Q358</f>
        <v>1</v>
      </c>
      <c r="G358">
        <f>[1]LISTADO_OTS!R358</f>
        <v>1</v>
      </c>
      <c r="H358" t="str">
        <f>[1]LISTADO_OTS!H358</f>
        <v>Abonado sin agua en C/Virgen del carmen n27</v>
      </c>
      <c r="I358" t="str">
        <f>[1]LISTADO_OTS!I358</f>
        <v>Abonado sin agua en C/Virgen del carmen n27</v>
      </c>
      <c r="J358" s="1">
        <f>[1]LISTADO_OTS!F358</f>
        <v>45913</v>
      </c>
      <c r="K358" s="1">
        <f>[1]LISTADO_OTS!G358</f>
        <v>45913</v>
      </c>
      <c r="L358">
        <f>[1]LISTADO_OTS!M358</f>
        <v>43.145232</v>
      </c>
      <c r="M358">
        <f>[1]LISTADO_OTS!N358</f>
        <v>-2.9590049999999999</v>
      </c>
      <c r="U358" t="b">
        <f>[1]LISTADO_OTS!O358</f>
        <v>1</v>
      </c>
      <c r="V358" t="str">
        <f>[1]LISTADO_OTS!J358</f>
        <v>Llodio</v>
      </c>
      <c r="W358">
        <f>[1]LISTADO_OTS!R358</f>
        <v>1</v>
      </c>
      <c r="X358">
        <f>[1]LISTADO_OTS!P358</f>
        <v>0</v>
      </c>
      <c r="Y358">
        <v>1</v>
      </c>
      <c r="Z358">
        <f>[1]LISTADO_OTS!S358</f>
        <v>3</v>
      </c>
    </row>
    <row r="359" spans="1:26" x14ac:dyDescent="0.4">
      <c r="A359">
        <v>358</v>
      </c>
      <c r="B359" t="str">
        <f>[1]LISTADO_OTS!E359</f>
        <v>OT/0285</v>
      </c>
      <c r="C359">
        <f>VLOOKUP([1]LISTADO_OTS!B359,[1]Redes!$C$1:$E$5,3,FALSE)</f>
        <v>5</v>
      </c>
      <c r="D359">
        <f>[1]LISTADO_OTS!C359</f>
        <v>1</v>
      </c>
      <c r="E359">
        <f>[1]LISTADO_OTS!D359</f>
        <v>0</v>
      </c>
      <c r="F359">
        <f>[1]LISTADO_OTS!Q359</f>
        <v>1</v>
      </c>
      <c r="G359">
        <f>[1]LISTADO_OTS!R359</f>
        <v>2</v>
      </c>
      <c r="H359" t="str">
        <f>[1]LISTADO_OTS!H359</f>
        <v>Atasco en Artziniega en Bajada Resbalon</v>
      </c>
      <c r="I359" t="str">
        <f>[1]LISTADO_OTS!I359</f>
        <v>Atasco en Artziniega en Bajada Resbalon</v>
      </c>
      <c r="J359" s="1">
        <f>[1]LISTADO_OTS!F359</f>
        <v>45914</v>
      </c>
      <c r="K359" s="1">
        <f>[1]LISTADO_OTS!G359</f>
        <v>45914</v>
      </c>
      <c r="L359">
        <f>[1]LISTADO_OTS!M359</f>
        <v>43.121208000000003</v>
      </c>
      <c r="M359">
        <f>[1]LISTADO_OTS!N359</f>
        <v>-3.1301480000000002</v>
      </c>
      <c r="U359" t="b">
        <f>[1]LISTADO_OTS!O359</f>
        <v>1</v>
      </c>
      <c r="V359" t="str">
        <f>[1]LISTADO_OTS!J359</f>
        <v>Artziniega</v>
      </c>
      <c r="W359">
        <f>[1]LISTADO_OTS!R359</f>
        <v>2</v>
      </c>
      <c r="X359">
        <f>[1]LISTADO_OTS!P359</f>
        <v>0</v>
      </c>
      <c r="Y359">
        <v>1</v>
      </c>
      <c r="Z359">
        <f>[1]LISTADO_OTS!S359</f>
        <v>2</v>
      </c>
    </row>
    <row r="360" spans="1:26" x14ac:dyDescent="0.4">
      <c r="A360">
        <v>359</v>
      </c>
      <c r="B360" t="str">
        <f>[1]LISTADO_OTS!E360</f>
        <v>OT/0286</v>
      </c>
      <c r="C360">
        <f>VLOOKUP([1]LISTADO_OTS!B360,[1]Redes!$C$1:$E$5,3,FALSE)</f>
        <v>3</v>
      </c>
      <c r="D360">
        <f>[1]LISTADO_OTS!C360</f>
        <v>1</v>
      </c>
      <c r="E360">
        <f>[1]LISTADO_OTS!D360</f>
        <v>0</v>
      </c>
      <c r="F360">
        <f>[1]LISTADO_OTS!Q360</f>
        <v>3</v>
      </c>
      <c r="G360">
        <f>[1]LISTADO_OTS!R360</f>
        <v>3</v>
      </c>
      <c r="H360" t="str">
        <f>[1]LISTADO_OTS!H360</f>
        <v>Abonado sin agua en Agurain</v>
      </c>
      <c r="I360" t="str">
        <f>[1]LISTADO_OTS!I360</f>
        <v>Abonado sin agua en Agurain</v>
      </c>
      <c r="J360" s="1">
        <f>[1]LISTADO_OTS!F360</f>
        <v>45914</v>
      </c>
      <c r="K360" s="1">
        <f>[1]LISTADO_OTS!G360</f>
        <v>45914</v>
      </c>
      <c r="L360">
        <f>[1]LISTADO_OTS!M360</f>
        <v>42.849446999999998</v>
      </c>
      <c r="M360">
        <f>[1]LISTADO_OTS!N360</f>
        <v>-2.38856</v>
      </c>
      <c r="U360" t="b">
        <f>[1]LISTADO_OTS!O360</f>
        <v>1</v>
      </c>
      <c r="V360" t="str">
        <f>[1]LISTADO_OTS!J360</f>
        <v>Agurain</v>
      </c>
      <c r="W360">
        <f>[1]LISTADO_OTS!R360</f>
        <v>3</v>
      </c>
      <c r="X360">
        <f>[1]LISTADO_OTS!P360</f>
        <v>0</v>
      </c>
      <c r="Y360">
        <v>1</v>
      </c>
      <c r="Z360">
        <f>[1]LISTADO_OTS!S360</f>
        <v>3</v>
      </c>
    </row>
    <row r="361" spans="1:26" x14ac:dyDescent="0.4">
      <c r="A361">
        <v>360</v>
      </c>
      <c r="B361" t="str">
        <f>[1]LISTADO_OTS!E361</f>
        <v>OT/0287</v>
      </c>
      <c r="C361">
        <f>VLOOKUP([1]LISTADO_OTS!B361,[1]Redes!$C$1:$E$5,3,FALSE)</f>
        <v>3</v>
      </c>
      <c r="D361">
        <f>[1]LISTADO_OTS!C361</f>
        <v>1</v>
      </c>
      <c r="E361">
        <f>[1]LISTADO_OTS!D361</f>
        <v>0</v>
      </c>
      <c r="F361">
        <f>[1]LISTADO_OTS!Q361</f>
        <v>1</v>
      </c>
      <c r="G361">
        <f>[1]LISTADO_OTS!R361</f>
        <v>1</v>
      </c>
      <c r="H361" t="str">
        <f>[1]LISTADO_OTS!H361</f>
        <v>Reparación de Fuga en C/Maskuribai</v>
      </c>
      <c r="I361" t="str">
        <f>[1]LISTADO_OTS!I361</f>
        <v>Reparación de Fuga en C/Maskuribai</v>
      </c>
      <c r="J361" s="1">
        <f>[1]LISTADO_OTS!F361</f>
        <v>45916</v>
      </c>
      <c r="K361" s="1">
        <f>[1]LISTADO_OTS!G361</f>
        <v>45926</v>
      </c>
      <c r="L361">
        <f>[1]LISTADO_OTS!M361</f>
        <v>43.050845000000002</v>
      </c>
      <c r="M361">
        <f>[1]LISTADO_OTS!N361</f>
        <v>-2.9999449999999999</v>
      </c>
      <c r="U361" t="b">
        <f>[1]LISTADO_OTS!O361</f>
        <v>1</v>
      </c>
      <c r="V361" t="str">
        <f>[1]LISTADO_OTS!J361</f>
        <v>Amurrio</v>
      </c>
      <c r="W361">
        <f>[1]LISTADO_OTS!R361</f>
        <v>1</v>
      </c>
      <c r="X361">
        <f>[1]LISTADO_OTS!P361</f>
        <v>0</v>
      </c>
      <c r="Y361">
        <v>1</v>
      </c>
      <c r="Z361">
        <f>[1]LISTADO_OTS!S361</f>
        <v>1</v>
      </c>
    </row>
    <row r="362" spans="1:26" x14ac:dyDescent="0.4">
      <c r="A362">
        <v>361</v>
      </c>
      <c r="B362" t="str">
        <f>[1]LISTADO_OTS!E362</f>
        <v>OT/0288</v>
      </c>
      <c r="C362">
        <f>VLOOKUP([1]LISTADO_OTS!B362,[1]Redes!$C$1:$E$5,3,FALSE)</f>
        <v>3</v>
      </c>
      <c r="D362">
        <f>[1]LISTADO_OTS!C362</f>
        <v>1</v>
      </c>
      <c r="E362">
        <f>[1]LISTADO_OTS!D362</f>
        <v>0</v>
      </c>
      <c r="F362">
        <f>[1]LISTADO_OTS!Q362</f>
        <v>1</v>
      </c>
      <c r="G362">
        <f>[1]LISTADO_OTS!R362</f>
        <v>1</v>
      </c>
      <c r="H362" t="str">
        <f>[1]LISTADO_OTS!H362</f>
        <v>Reparación de Fuga en Menoio</v>
      </c>
      <c r="I362" t="str">
        <f>[1]LISTADO_OTS!I362</f>
        <v>Reparación de Fuga en Menoio</v>
      </c>
      <c r="J362" s="1">
        <f>[1]LISTADO_OTS!F362</f>
        <v>45916</v>
      </c>
      <c r="K362" s="1">
        <f>[1]LISTADO_OTS!G362</f>
        <v>45916</v>
      </c>
      <c r="L362">
        <f>[1]LISTADO_OTS!M362</f>
        <v>43.069093000000002</v>
      </c>
      <c r="M362">
        <f>[1]LISTADO_OTS!N362</f>
        <v>-3.073315</v>
      </c>
      <c r="U362" t="b">
        <f>[1]LISTADO_OTS!O362</f>
        <v>1</v>
      </c>
      <c r="V362" t="str">
        <f>[1]LISTADO_OTS!J362</f>
        <v>Menoio</v>
      </c>
      <c r="W362">
        <f>[1]LISTADO_OTS!R362</f>
        <v>1</v>
      </c>
      <c r="X362">
        <f>[1]LISTADO_OTS!P362</f>
        <v>0</v>
      </c>
      <c r="Y362">
        <v>1</v>
      </c>
      <c r="Z362">
        <f>[1]LISTADO_OTS!S362</f>
        <v>1</v>
      </c>
    </row>
    <row r="363" spans="1:26" x14ac:dyDescent="0.4">
      <c r="A363">
        <v>362</v>
      </c>
      <c r="B363" t="str">
        <f>[1]LISTADO_OTS!E363</f>
        <v>OT/0289</v>
      </c>
      <c r="C363">
        <f>VLOOKUP([1]LISTADO_OTS!B363,[1]Redes!$C$1:$E$5,3,FALSE)</f>
        <v>5</v>
      </c>
      <c r="D363">
        <f>[1]LISTADO_OTS!C363</f>
        <v>1</v>
      </c>
      <c r="E363">
        <f>[1]LISTADO_OTS!D363</f>
        <v>0</v>
      </c>
      <c r="F363">
        <f>[1]LISTADO_OTS!Q363</f>
        <v>1</v>
      </c>
      <c r="G363">
        <f>[1]LISTADO_OTS!R363</f>
        <v>3</v>
      </c>
      <c r="H363" t="str">
        <f>[1]LISTADO_OTS!H363</f>
        <v>Desatasco en Luiando C/Padura n7</v>
      </c>
      <c r="I363" t="str">
        <f>[1]LISTADO_OTS!I363</f>
        <v>Desatasco en Luiando C/Padura n7</v>
      </c>
      <c r="J363" s="1">
        <f>[1]LISTADO_OTS!F363</f>
        <v>45916</v>
      </c>
      <c r="K363" s="1">
        <f>[1]LISTADO_OTS!G363</f>
        <v>45916</v>
      </c>
      <c r="L363">
        <f>[1]LISTADO_OTS!M363</f>
        <v>43.093139999999998</v>
      </c>
      <c r="M363">
        <f>[1]LISTADO_OTS!N363</f>
        <v>-3.0023629999999999</v>
      </c>
      <c r="U363" t="b">
        <f>[1]LISTADO_OTS!O363</f>
        <v>1</v>
      </c>
      <c r="V363" t="str">
        <f>[1]LISTADO_OTS!J363</f>
        <v>Luiando</v>
      </c>
      <c r="W363">
        <f>[1]LISTADO_OTS!R363</f>
        <v>3</v>
      </c>
      <c r="X363">
        <f>[1]LISTADO_OTS!P363</f>
        <v>0</v>
      </c>
      <c r="Y363">
        <v>1</v>
      </c>
      <c r="Z363">
        <f>[1]LISTADO_OTS!S363</f>
        <v>2</v>
      </c>
    </row>
    <row r="364" spans="1:26" x14ac:dyDescent="0.4">
      <c r="A364">
        <v>363</v>
      </c>
      <c r="B364" t="str">
        <f>[1]LISTADO_OTS!E364</f>
        <v>OT/0290</v>
      </c>
      <c r="C364">
        <f>VLOOKUP([1]LISTADO_OTS!B364,[1]Redes!$C$1:$E$5,3,FALSE)</f>
        <v>5</v>
      </c>
      <c r="D364">
        <f>[1]LISTADO_OTS!C364</f>
        <v>1</v>
      </c>
      <c r="E364">
        <f>[1]LISTADO_OTS!D364</f>
        <v>0</v>
      </c>
      <c r="F364">
        <f>[1]LISTADO_OTS!Q364</f>
        <v>5</v>
      </c>
      <c r="G364">
        <f>[1]LISTADO_OTS!R364</f>
        <v>41</v>
      </c>
      <c r="H364" t="str">
        <f>[1]LISTADO_OTS!H364</f>
        <v>Reparación saneamiento en Anucita</v>
      </c>
      <c r="I364" t="str">
        <f>[1]LISTADO_OTS!I364</f>
        <v>Reparación saneamiento en Anucita</v>
      </c>
      <c r="J364" s="1">
        <f>[1]LISTADO_OTS!F364</f>
        <v>45916</v>
      </c>
      <c r="K364" s="1">
        <f>[1]LISTADO_OTS!G364</f>
        <v>45917</v>
      </c>
      <c r="L364">
        <f>[1]LISTADO_OTS!M364</f>
        <v>42.801546000000002</v>
      </c>
      <c r="M364">
        <f>[1]LISTADO_OTS!N364</f>
        <v>-2.8993639999999998</v>
      </c>
      <c r="U364" t="b">
        <f>[1]LISTADO_OTS!O364</f>
        <v>1</v>
      </c>
      <c r="V364" t="str">
        <f>[1]LISTADO_OTS!J364</f>
        <v>Anucita</v>
      </c>
      <c r="W364">
        <f>[1]LISTADO_OTS!R364</f>
        <v>41</v>
      </c>
      <c r="X364">
        <f>[1]LISTADO_OTS!P364</f>
        <v>0</v>
      </c>
      <c r="Y364">
        <v>1</v>
      </c>
      <c r="Z364">
        <f>[1]LISTADO_OTS!S364</f>
        <v>3</v>
      </c>
    </row>
    <row r="365" spans="1:26" x14ac:dyDescent="0.4">
      <c r="A365">
        <v>364</v>
      </c>
      <c r="B365" t="str">
        <f>[1]LISTADO_OTS!E365</f>
        <v>OT/0370</v>
      </c>
      <c r="C365">
        <f>VLOOKUP([1]LISTADO_OTS!B365,[1]Redes!$C$1:$E$5,3,FALSE)</f>
        <v>5</v>
      </c>
      <c r="D365">
        <f>[1]LISTADO_OTS!C365</f>
        <v>1</v>
      </c>
      <c r="E365">
        <f>[1]LISTADO_OTS!D365</f>
        <v>0</v>
      </c>
      <c r="F365">
        <f>[1]LISTADO_OTS!Q365</f>
        <v>5</v>
      </c>
      <c r="G365">
        <f>[1]LISTADO_OTS!R365</f>
        <v>41</v>
      </c>
      <c r="H365" t="str">
        <f>[1]LISTADO_OTS!H365</f>
        <v>Desatasco en fabrica de Ribabellosa</v>
      </c>
      <c r="I365" t="str">
        <f>[1]LISTADO_OTS!I365</f>
        <v>Desatasco en fabrica de Ribabellosa</v>
      </c>
      <c r="J365" s="1">
        <f>[1]LISTADO_OTS!F365</f>
        <v>45915</v>
      </c>
      <c r="K365" s="1">
        <f>[1]LISTADO_OTS!G365</f>
        <v>45916</v>
      </c>
      <c r="L365">
        <f>[1]LISTADO_OTS!M365</f>
        <v>0</v>
      </c>
      <c r="M365">
        <f>[1]LISTADO_OTS!N365</f>
        <v>0</v>
      </c>
      <c r="U365" t="b">
        <f>[1]LISTADO_OTS!O365</f>
        <v>1</v>
      </c>
      <c r="V365" t="str">
        <f>[1]LISTADO_OTS!J365</f>
        <v>Ribabellosa</v>
      </c>
      <c r="W365">
        <f>[1]LISTADO_OTS!R365</f>
        <v>41</v>
      </c>
      <c r="X365">
        <f>[1]LISTADO_OTS!P365</f>
        <v>0</v>
      </c>
      <c r="Y365">
        <v>1</v>
      </c>
      <c r="Z365">
        <f>[1]LISTADO_OTS!S365</f>
        <v>2</v>
      </c>
    </row>
    <row r="366" spans="1:26" x14ac:dyDescent="0.4">
      <c r="A366">
        <v>365</v>
      </c>
      <c r="B366" t="str">
        <f>[1]LISTADO_OTS!E366</f>
        <v>TP/0161</v>
      </c>
      <c r="C366">
        <f>VLOOKUP([1]LISTADO_OTS!B366,[1]Redes!$C$1:$E$5,3,FALSE)</f>
        <v>3</v>
      </c>
      <c r="D366">
        <f>[1]LISTADO_OTS!C366</f>
        <v>2</v>
      </c>
      <c r="E366">
        <f>[1]LISTADO_OTS!D366</f>
        <v>8</v>
      </c>
      <c r="F366">
        <f>[1]LISTADO_OTS!Q366</f>
        <v>3</v>
      </c>
      <c r="G366">
        <f>[1]LISTADO_OTS!R366</f>
        <v>3</v>
      </c>
      <c r="H366" t="str">
        <f>[1]LISTADO_OTS!H366</f>
        <v>Instalación de contador en Agurain</v>
      </c>
      <c r="I366" t="str">
        <f>[1]LISTADO_OTS!I366</f>
        <v>Instalación de contador en Agurain</v>
      </c>
      <c r="J366" s="1">
        <f>[1]LISTADO_OTS!F366</f>
        <v>45912</v>
      </c>
      <c r="K366" s="1">
        <f>[1]LISTADO_OTS!G366</f>
        <v>45912</v>
      </c>
      <c r="L366">
        <f>[1]LISTADO_OTS!M366</f>
        <v>0</v>
      </c>
      <c r="M366">
        <f>[1]LISTADO_OTS!N366</f>
        <v>0</v>
      </c>
      <c r="U366" t="b">
        <f>[1]LISTADO_OTS!O366</f>
        <v>1</v>
      </c>
      <c r="V366" t="str">
        <f>[1]LISTADO_OTS!J366</f>
        <v>Agurain</v>
      </c>
      <c r="W366">
        <f>[1]LISTADO_OTS!R366</f>
        <v>3</v>
      </c>
      <c r="X366">
        <f>[1]LISTADO_OTS!P366</f>
        <v>0</v>
      </c>
      <c r="Y366">
        <v>1</v>
      </c>
      <c r="Z366">
        <f>[1]LISTADO_OTS!S366</f>
        <v>0</v>
      </c>
    </row>
    <row r="367" spans="1:26" x14ac:dyDescent="0.4">
      <c r="A367">
        <v>366</v>
      </c>
      <c r="B367" t="str">
        <f>[1]LISTADO_OTS!E367</f>
        <v>TP/0162</v>
      </c>
      <c r="C367">
        <f>VLOOKUP([1]LISTADO_OTS!B367,[1]Redes!$C$1:$E$5,3,FALSE)</f>
        <v>3</v>
      </c>
      <c r="D367">
        <f>[1]LISTADO_OTS!C367</f>
        <v>2</v>
      </c>
      <c r="E367">
        <f>[1]LISTADO_OTS!D367</f>
        <v>9</v>
      </c>
      <c r="F367">
        <f>[1]LISTADO_OTS!Q367</f>
        <v>1</v>
      </c>
      <c r="G367">
        <f>[1]LISTADO_OTS!R367</f>
        <v>1</v>
      </c>
      <c r="H367" t="str">
        <f>[1]LISTADO_OTS!H367</f>
        <v>Retirada de contador en Amurrio</v>
      </c>
      <c r="I367" t="str">
        <f>[1]LISTADO_OTS!I367</f>
        <v>Retirada de contador en Amurrio</v>
      </c>
      <c r="J367" s="1">
        <f>[1]LISTADO_OTS!F367</f>
        <v>45912</v>
      </c>
      <c r="K367" s="1">
        <f>[1]LISTADO_OTS!G367</f>
        <v>45912</v>
      </c>
      <c r="L367">
        <f>[1]LISTADO_OTS!M367</f>
        <v>0</v>
      </c>
      <c r="M367">
        <f>[1]LISTADO_OTS!N367</f>
        <v>0</v>
      </c>
      <c r="U367" t="b">
        <f>[1]LISTADO_OTS!O367</f>
        <v>1</v>
      </c>
      <c r="V367" t="str">
        <f>[1]LISTADO_OTS!J367</f>
        <v>Amurrio</v>
      </c>
      <c r="W367">
        <f>[1]LISTADO_OTS!R367</f>
        <v>1</v>
      </c>
      <c r="X367">
        <f>[1]LISTADO_OTS!P367</f>
        <v>0</v>
      </c>
      <c r="Y367">
        <v>1</v>
      </c>
      <c r="Z367">
        <f>[1]LISTADO_OTS!S367</f>
        <v>0</v>
      </c>
    </row>
    <row r="368" spans="1:26" x14ac:dyDescent="0.4">
      <c r="A368">
        <v>367</v>
      </c>
      <c r="B368" t="str">
        <f>[1]LISTADO_OTS!E368</f>
        <v>TP/0163</v>
      </c>
      <c r="C368">
        <f>VLOOKUP([1]LISTADO_OTS!B368,[1]Redes!$C$1:$E$5,3,FALSE)</f>
        <v>3</v>
      </c>
      <c r="D368">
        <f>[1]LISTADO_OTS!C368</f>
        <v>2</v>
      </c>
      <c r="E368">
        <f>[1]LISTADO_OTS!D368</f>
        <v>10</v>
      </c>
      <c r="F368">
        <f>[1]LISTADO_OTS!Q368</f>
        <v>3</v>
      </c>
      <c r="G368">
        <f>[1]LISTADO_OTS!R368</f>
        <v>3</v>
      </c>
      <c r="H368" t="str">
        <f>[1]LISTADO_OTS!H368</f>
        <v>Sustitución de contador en Alegria</v>
      </c>
      <c r="I368" t="str">
        <f>[1]LISTADO_OTS!I368</f>
        <v>Sustitución de contador en Alegria</v>
      </c>
      <c r="J368" s="1">
        <f>[1]LISTADO_OTS!F368</f>
        <v>45912</v>
      </c>
      <c r="K368" s="1">
        <f>[1]LISTADO_OTS!G368</f>
        <v>45912</v>
      </c>
      <c r="L368">
        <f>[1]LISTADO_OTS!M368</f>
        <v>0</v>
      </c>
      <c r="M368">
        <f>[1]LISTADO_OTS!N368</f>
        <v>0</v>
      </c>
      <c r="U368" t="b">
        <f>[1]LISTADO_OTS!O368</f>
        <v>1</v>
      </c>
      <c r="V368" t="str">
        <f>[1]LISTADO_OTS!J368</f>
        <v>Alegría</v>
      </c>
      <c r="W368">
        <f>[1]LISTADO_OTS!R368</f>
        <v>3</v>
      </c>
      <c r="X368">
        <f>[1]LISTADO_OTS!P368</f>
        <v>0</v>
      </c>
      <c r="Y368">
        <v>1</v>
      </c>
      <c r="Z368">
        <f>[1]LISTADO_OTS!S368</f>
        <v>0</v>
      </c>
    </row>
    <row r="369" spans="1:26" x14ac:dyDescent="0.4">
      <c r="A369">
        <v>368</v>
      </c>
      <c r="B369" t="str">
        <f>[1]LISTADO_OTS!E369</f>
        <v>TP/0164</v>
      </c>
      <c r="C369">
        <f>VLOOKUP([1]LISTADO_OTS!B369,[1]Redes!$C$1:$E$5,3,FALSE)</f>
        <v>3</v>
      </c>
      <c r="D369">
        <f>[1]LISTADO_OTS!C369</f>
        <v>2</v>
      </c>
      <c r="E369">
        <f>[1]LISTADO_OTS!D369</f>
        <v>8</v>
      </c>
      <c r="F369">
        <f>[1]LISTADO_OTS!Q369</f>
        <v>1</v>
      </c>
      <c r="G369">
        <f>[1]LISTADO_OTS!R369</f>
        <v>1</v>
      </c>
      <c r="H369" t="str">
        <f>[1]LISTADO_OTS!H369</f>
        <v>Instalación contador en Anuntzibai N5 (Llodio)</v>
      </c>
      <c r="I369" t="str">
        <f>[1]LISTADO_OTS!I369</f>
        <v>Instalación contador en Anuntzibai N5 (Llodio)</v>
      </c>
      <c r="J369" s="1">
        <f>[1]LISTADO_OTS!F369</f>
        <v>45915</v>
      </c>
      <c r="K369" s="1">
        <f>[1]LISTADO_OTS!G369</f>
        <v>45915</v>
      </c>
      <c r="L369">
        <f>[1]LISTADO_OTS!M369</f>
        <v>0</v>
      </c>
      <c r="M369">
        <f>[1]LISTADO_OTS!N369</f>
        <v>0</v>
      </c>
      <c r="U369" t="b">
        <f>[1]LISTADO_OTS!O369</f>
        <v>1</v>
      </c>
      <c r="V369" t="str">
        <f>[1]LISTADO_OTS!J369</f>
        <v>Llodio</v>
      </c>
      <c r="W369">
        <f>[1]LISTADO_OTS!R369</f>
        <v>1</v>
      </c>
      <c r="X369">
        <f>[1]LISTADO_OTS!P369</f>
        <v>0</v>
      </c>
      <c r="Y369">
        <v>1</v>
      </c>
      <c r="Z369">
        <f>[1]LISTADO_OTS!S369</f>
        <v>0</v>
      </c>
    </row>
    <row r="370" spans="1:26" x14ac:dyDescent="0.4">
      <c r="A370">
        <v>369</v>
      </c>
      <c r="B370" t="str">
        <f>[1]LISTADO_OTS!E370</f>
        <v>TP/0165</v>
      </c>
      <c r="C370">
        <f>VLOOKUP([1]LISTADO_OTS!B370,[1]Redes!$C$1:$E$5,3,FALSE)</f>
        <v>3</v>
      </c>
      <c r="D370">
        <f>[1]LISTADO_OTS!C370</f>
        <v>2</v>
      </c>
      <c r="E370">
        <f>[1]LISTADO_OTS!D370</f>
        <v>10</v>
      </c>
      <c r="F370">
        <f>[1]LISTADO_OTS!Q370</f>
        <v>5</v>
      </c>
      <c r="G370">
        <f>[1]LISTADO_OTS!R370</f>
        <v>5</v>
      </c>
      <c r="H370" t="str">
        <f>[1]LISTADO_OTS!H370</f>
        <v>Sustitución de contadores en Ribabellosa</v>
      </c>
      <c r="I370" t="str">
        <f>[1]LISTADO_OTS!I370</f>
        <v>Sustitución de contador en Ribabellosa</v>
      </c>
      <c r="J370" s="1">
        <f>[1]LISTADO_OTS!F370</f>
        <v>45911</v>
      </c>
      <c r="K370" s="1">
        <f>[1]LISTADO_OTS!G370</f>
        <v>45911</v>
      </c>
      <c r="L370">
        <f>[1]LISTADO_OTS!M370</f>
        <v>0</v>
      </c>
      <c r="M370">
        <f>[1]LISTADO_OTS!N370</f>
        <v>0</v>
      </c>
      <c r="U370" t="b">
        <f>[1]LISTADO_OTS!O370</f>
        <v>1</v>
      </c>
      <c r="V370" t="str">
        <f>[1]LISTADO_OTS!J370</f>
        <v>Ribabellosa</v>
      </c>
      <c r="W370">
        <f>[1]LISTADO_OTS!R370</f>
        <v>5</v>
      </c>
      <c r="X370">
        <f>[1]LISTADO_OTS!P370</f>
        <v>0</v>
      </c>
      <c r="Y370">
        <v>1</v>
      </c>
      <c r="Z370">
        <f>[1]LISTADO_OTS!S370</f>
        <v>0</v>
      </c>
    </row>
    <row r="371" spans="1:26" x14ac:dyDescent="0.4">
      <c r="A371">
        <v>370</v>
      </c>
      <c r="B371" t="str">
        <f>[1]LISTADO_OTS!E371</f>
        <v>TP/0166</v>
      </c>
      <c r="C371">
        <f>VLOOKUP([1]LISTADO_OTS!B371,[1]Redes!$C$1:$E$5,3,FALSE)</f>
        <v>3</v>
      </c>
      <c r="D371">
        <f>[1]LISTADO_OTS!C371</f>
        <v>2</v>
      </c>
      <c r="E371">
        <f>[1]LISTADO_OTS!D371</f>
        <v>10</v>
      </c>
      <c r="F371">
        <f>[1]LISTADO_OTS!Q371</f>
        <v>5</v>
      </c>
      <c r="G371">
        <f>[1]LISTADO_OTS!R371</f>
        <v>5</v>
      </c>
      <c r="H371" t="str">
        <f>[1]LISTADO_OTS!H371</f>
        <v>Sustitución de contador en Espejo C/Las arenas n8</v>
      </c>
      <c r="I371" t="str">
        <f>[1]LISTADO_OTS!I371</f>
        <v>Sustitución de contador en Espejo C/Las arenas n8</v>
      </c>
      <c r="J371" s="1">
        <f>[1]LISTADO_OTS!F371</f>
        <v>45915</v>
      </c>
      <c r="K371" s="1">
        <f>[1]LISTADO_OTS!G371</f>
        <v>45915</v>
      </c>
      <c r="L371">
        <f>[1]LISTADO_OTS!M371</f>
        <v>0</v>
      </c>
      <c r="M371">
        <f>[1]LISTADO_OTS!N371</f>
        <v>0</v>
      </c>
      <c r="U371" t="b">
        <f>[1]LISTADO_OTS!O371</f>
        <v>1</v>
      </c>
      <c r="V371" t="str">
        <f>[1]LISTADO_OTS!J371</f>
        <v>Espejo</v>
      </c>
      <c r="W371">
        <f>[1]LISTADO_OTS!R371</f>
        <v>5</v>
      </c>
      <c r="X371">
        <f>[1]LISTADO_OTS!P371</f>
        <v>0</v>
      </c>
      <c r="Y371">
        <v>1</v>
      </c>
      <c r="Z371">
        <f>[1]LISTADO_OTS!S371</f>
        <v>0</v>
      </c>
    </row>
    <row r="372" spans="1:26" x14ac:dyDescent="0.4">
      <c r="A372">
        <v>371</v>
      </c>
      <c r="B372" t="str">
        <f>[1]LISTADO_OTS!E372</f>
        <v>TP/0167</v>
      </c>
      <c r="C372">
        <f>VLOOKUP([1]LISTADO_OTS!B372,[1]Redes!$C$1:$E$5,3,FALSE)</f>
        <v>3</v>
      </c>
      <c r="D372">
        <f>[1]LISTADO_OTS!C372</f>
        <v>2</v>
      </c>
      <c r="E372">
        <f>[1]LISTADO_OTS!D372</f>
        <v>8</v>
      </c>
      <c r="F372">
        <f>[1]LISTADO_OTS!Q372</f>
        <v>3</v>
      </c>
      <c r="G372">
        <f>[1]LISTADO_OTS!R372</f>
        <v>3</v>
      </c>
      <c r="H372" t="str">
        <f>[1]LISTADO_OTS!H372</f>
        <v>Instalación de contador en Agurain</v>
      </c>
      <c r="I372" t="str">
        <f>[1]LISTADO_OTS!I372</f>
        <v>Instalación de contador en Agurain</v>
      </c>
      <c r="J372" s="1">
        <f>[1]LISTADO_OTS!F372</f>
        <v>45915</v>
      </c>
      <c r="K372" s="1">
        <f>[1]LISTADO_OTS!G372</f>
        <v>45915</v>
      </c>
      <c r="L372">
        <f>[1]LISTADO_OTS!M372</f>
        <v>0</v>
      </c>
      <c r="M372">
        <f>[1]LISTADO_OTS!N372</f>
        <v>0</v>
      </c>
      <c r="U372" t="b">
        <f>[1]LISTADO_OTS!O372</f>
        <v>1</v>
      </c>
      <c r="V372" t="str">
        <f>[1]LISTADO_OTS!J372</f>
        <v>Agurain</v>
      </c>
      <c r="W372">
        <f>[1]LISTADO_OTS!R372</f>
        <v>3</v>
      </c>
      <c r="X372">
        <f>[1]LISTADO_OTS!P372</f>
        <v>0</v>
      </c>
      <c r="Y372">
        <v>1</v>
      </c>
      <c r="Z372">
        <f>[1]LISTADO_OTS!S372</f>
        <v>0</v>
      </c>
    </row>
    <row r="373" spans="1:26" x14ac:dyDescent="0.4">
      <c r="A373">
        <v>372</v>
      </c>
      <c r="B373" t="str">
        <f>[1]LISTADO_OTS!E373</f>
        <v>TP/0168</v>
      </c>
      <c r="C373">
        <f>VLOOKUP([1]LISTADO_OTS!B373,[1]Redes!$C$1:$E$5,3,FALSE)</f>
        <v>3</v>
      </c>
      <c r="D373">
        <f>[1]LISTADO_OTS!C373</f>
        <v>2</v>
      </c>
      <c r="E373">
        <f>[1]LISTADO_OTS!D373</f>
        <v>8</v>
      </c>
      <c r="F373">
        <f>[1]LISTADO_OTS!Q373</f>
        <v>1</v>
      </c>
      <c r="G373">
        <f>[1]LISTADO_OTS!R373</f>
        <v>1</v>
      </c>
      <c r="H373" t="str">
        <f>[1]LISTADO_OTS!H373</f>
        <v>Instalación de contador en Llodio C/Plaza Ostagieta n7</v>
      </c>
      <c r="I373" t="str">
        <f>[1]LISTADO_OTS!I373</f>
        <v>Instalación de contador en Llodio C/Plaza Ostagieta n7</v>
      </c>
      <c r="J373" s="1">
        <f>[1]LISTADO_OTS!F373</f>
        <v>45915</v>
      </c>
      <c r="K373" s="1">
        <f>[1]LISTADO_OTS!G373</f>
        <v>45915</v>
      </c>
      <c r="L373">
        <f>[1]LISTADO_OTS!M373</f>
        <v>0</v>
      </c>
      <c r="M373">
        <f>[1]LISTADO_OTS!N373</f>
        <v>0</v>
      </c>
      <c r="U373" t="b">
        <f>[1]LISTADO_OTS!O373</f>
        <v>1</v>
      </c>
      <c r="V373" t="str">
        <f>[1]LISTADO_OTS!J373</f>
        <v>Llodio</v>
      </c>
      <c r="W373">
        <f>[1]LISTADO_OTS!R373</f>
        <v>1</v>
      </c>
      <c r="X373">
        <f>[1]LISTADO_OTS!P373</f>
        <v>0</v>
      </c>
      <c r="Y373">
        <v>1</v>
      </c>
      <c r="Z373">
        <f>[1]LISTADO_OTS!S373</f>
        <v>0</v>
      </c>
    </row>
    <row r="374" spans="1:26" x14ac:dyDescent="0.4">
      <c r="A374">
        <v>373</v>
      </c>
      <c r="B374" t="str">
        <f>[1]LISTADO_OTS!E374</f>
        <v>TP/0169</v>
      </c>
      <c r="C374">
        <f>VLOOKUP([1]LISTADO_OTS!B374,[1]Redes!$C$1:$E$5,3,FALSE)</f>
        <v>3</v>
      </c>
      <c r="D374">
        <f>[1]LISTADO_OTS!C374</f>
        <v>2</v>
      </c>
      <c r="E374">
        <f>[1]LISTADO_OTS!D374</f>
        <v>10</v>
      </c>
      <c r="F374">
        <f>[1]LISTADO_OTS!Q374</f>
        <v>1</v>
      </c>
      <c r="G374">
        <f>[1]LISTADO_OTS!R374</f>
        <v>1</v>
      </c>
      <c r="H374" t="str">
        <f>[1]LISTADO_OTS!H374</f>
        <v>Sustitución de contador en Menoio</v>
      </c>
      <c r="I374" t="str">
        <f>[1]LISTADO_OTS!I374</f>
        <v>Sustitución de contador en Menoio</v>
      </c>
      <c r="J374" s="1">
        <f>[1]LISTADO_OTS!F374</f>
        <v>45915</v>
      </c>
      <c r="K374" s="1">
        <f>[1]LISTADO_OTS!G374</f>
        <v>45915</v>
      </c>
      <c r="L374">
        <f>[1]LISTADO_OTS!M374</f>
        <v>0</v>
      </c>
      <c r="M374">
        <f>[1]LISTADO_OTS!N374</f>
        <v>0</v>
      </c>
      <c r="U374" t="b">
        <f>[1]LISTADO_OTS!O374</f>
        <v>1</v>
      </c>
      <c r="V374" t="str">
        <f>[1]LISTADO_OTS!J374</f>
        <v>Menoio</v>
      </c>
      <c r="W374">
        <f>[1]LISTADO_OTS!R374</f>
        <v>1</v>
      </c>
      <c r="X374">
        <f>[1]LISTADO_OTS!P374</f>
        <v>0</v>
      </c>
      <c r="Y374">
        <v>1</v>
      </c>
      <c r="Z374">
        <f>[1]LISTADO_OTS!S374</f>
        <v>0</v>
      </c>
    </row>
    <row r="375" spans="1:26" x14ac:dyDescent="0.4">
      <c r="A375">
        <v>374</v>
      </c>
      <c r="B375" t="str">
        <f>[1]LISTADO_OTS!E375</f>
        <v>TP/0170</v>
      </c>
      <c r="C375">
        <f>VLOOKUP([1]LISTADO_OTS!B375,[1]Redes!$C$1:$E$5,3,FALSE)</f>
        <v>3</v>
      </c>
      <c r="D375">
        <f>[1]LISTADO_OTS!C375</f>
        <v>2</v>
      </c>
      <c r="E375">
        <f>[1]LISTADO_OTS!D375</f>
        <v>8</v>
      </c>
      <c r="F375">
        <f>[1]LISTADO_OTS!Q375</f>
        <v>6</v>
      </c>
      <c r="G375">
        <f>[1]LISTADO_OTS!R375</f>
        <v>6</v>
      </c>
      <c r="H375" t="str">
        <f>[1]LISTADO_OTS!H375</f>
        <v>Instalación de contador en Maestu C/Corres n2</v>
      </c>
      <c r="I375" t="str">
        <f>[1]LISTADO_OTS!I375</f>
        <v>Instalación de contador en Maestu C/Corres n2</v>
      </c>
      <c r="J375" s="1">
        <f>[1]LISTADO_OTS!F375</f>
        <v>45915</v>
      </c>
      <c r="K375" s="1">
        <f>[1]LISTADO_OTS!G375</f>
        <v>45915</v>
      </c>
      <c r="L375">
        <f>[1]LISTADO_OTS!M375</f>
        <v>0</v>
      </c>
      <c r="M375">
        <f>[1]LISTADO_OTS!N375</f>
        <v>0</v>
      </c>
      <c r="U375" t="b">
        <f>[1]LISTADO_OTS!O375</f>
        <v>1</v>
      </c>
      <c r="V375" t="str">
        <f>[1]LISTADO_OTS!J375</f>
        <v>Maeztu</v>
      </c>
      <c r="W375">
        <f>[1]LISTADO_OTS!R375</f>
        <v>6</v>
      </c>
      <c r="X375">
        <f>[1]LISTADO_OTS!P375</f>
        <v>0</v>
      </c>
      <c r="Y375">
        <v>1</v>
      </c>
      <c r="Z375">
        <f>[1]LISTADO_OTS!S375</f>
        <v>0</v>
      </c>
    </row>
    <row r="376" spans="1:26" x14ac:dyDescent="0.4">
      <c r="A376">
        <v>375</v>
      </c>
      <c r="B376" t="str">
        <f>[1]LISTADO_OTS!E376</f>
        <v>TP/0171</v>
      </c>
      <c r="C376">
        <f>VLOOKUP([1]LISTADO_OTS!B376,[1]Redes!$C$1:$E$5,3,FALSE)</f>
        <v>3</v>
      </c>
      <c r="D376">
        <f>[1]LISTADO_OTS!C376</f>
        <v>2</v>
      </c>
      <c r="E376">
        <f>[1]LISTADO_OTS!D376</f>
        <v>10</v>
      </c>
      <c r="F376">
        <f>[1]LISTADO_OTS!Q376</f>
        <v>1</v>
      </c>
      <c r="G376">
        <f>[1]LISTADO_OTS!R376</f>
        <v>1</v>
      </c>
      <c r="H376" t="str">
        <f>[1]LISTADO_OTS!H376</f>
        <v>Sustitución de contador en Respaldiza</v>
      </c>
      <c r="I376" t="str">
        <f>[1]LISTADO_OTS!I376</f>
        <v>Sustitución de contador en Respaldiza</v>
      </c>
      <c r="J376" s="1">
        <f>[1]LISTADO_OTS!F376</f>
        <v>45915</v>
      </c>
      <c r="K376" s="1">
        <f>[1]LISTADO_OTS!G376</f>
        <v>45915</v>
      </c>
      <c r="L376">
        <f>[1]LISTADO_OTS!M376</f>
        <v>0</v>
      </c>
      <c r="M376">
        <f>[1]LISTADO_OTS!N376</f>
        <v>0</v>
      </c>
      <c r="U376" t="b">
        <f>[1]LISTADO_OTS!O376</f>
        <v>1</v>
      </c>
      <c r="V376" t="str">
        <f>[1]LISTADO_OTS!J376</f>
        <v>Respaldiza</v>
      </c>
      <c r="W376">
        <f>[1]LISTADO_OTS!R376</f>
        <v>1</v>
      </c>
      <c r="X376">
        <f>[1]LISTADO_OTS!P376</f>
        <v>0</v>
      </c>
      <c r="Y376">
        <v>1</v>
      </c>
      <c r="Z376">
        <f>[1]LISTADO_OTS!S376</f>
        <v>0</v>
      </c>
    </row>
    <row r="377" spans="1:26" x14ac:dyDescent="0.4">
      <c r="A377">
        <v>376</v>
      </c>
      <c r="B377" t="str">
        <f>[1]LISTADO_OTS!E377</f>
        <v>TP/0172</v>
      </c>
      <c r="C377">
        <f>VLOOKUP([1]LISTADO_OTS!B377,[1]Redes!$C$1:$E$5,3,FALSE)</f>
        <v>3</v>
      </c>
      <c r="D377">
        <f>[1]LISTADO_OTS!C377</f>
        <v>2</v>
      </c>
      <c r="E377">
        <f>[1]LISTADO_OTS!D377</f>
        <v>10</v>
      </c>
      <c r="F377">
        <f>[1]LISTADO_OTS!Q377</f>
        <v>5</v>
      </c>
      <c r="G377">
        <f>[1]LISTADO_OTS!R377</f>
        <v>5</v>
      </c>
      <c r="H377" t="str">
        <f>[1]LISTADO_OTS!H377</f>
        <v>Sustitución de contador en Villanañe</v>
      </c>
      <c r="I377" t="str">
        <f>[1]LISTADO_OTS!I377</f>
        <v>Sustitución de contador en Villanañe (varios contadores)</v>
      </c>
      <c r="J377" s="1">
        <f>[1]LISTADO_OTS!F377</f>
        <v>45915</v>
      </c>
      <c r="K377" s="1">
        <f>[1]LISTADO_OTS!G377</f>
        <v>45915</v>
      </c>
      <c r="L377">
        <f>[1]LISTADO_OTS!M377</f>
        <v>0</v>
      </c>
      <c r="M377">
        <f>[1]LISTADO_OTS!N377</f>
        <v>0</v>
      </c>
      <c r="U377" t="b">
        <f>[1]LISTADO_OTS!O377</f>
        <v>1</v>
      </c>
      <c r="V377" t="str">
        <f>[1]LISTADO_OTS!J377</f>
        <v>Villanañe</v>
      </c>
      <c r="W377">
        <f>[1]LISTADO_OTS!R377</f>
        <v>5</v>
      </c>
      <c r="X377">
        <f>[1]LISTADO_OTS!P377</f>
        <v>0</v>
      </c>
      <c r="Y377">
        <v>1</v>
      </c>
      <c r="Z377">
        <f>[1]LISTADO_OTS!S377</f>
        <v>0</v>
      </c>
    </row>
    <row r="378" spans="1:26" x14ac:dyDescent="0.4">
      <c r="A378">
        <v>377</v>
      </c>
      <c r="B378" t="str">
        <f>[1]LISTADO_OTS!E378</f>
        <v>OT/0300</v>
      </c>
      <c r="C378">
        <f>VLOOKUP([1]LISTADO_OTS!B378,[1]Redes!$C$1:$E$5,3,FALSE)</f>
        <v>3</v>
      </c>
      <c r="D378">
        <f>[1]LISTADO_OTS!C378</f>
        <v>1</v>
      </c>
      <c r="E378">
        <f>[1]LISTADO_OTS!D378</f>
        <v>0</v>
      </c>
      <c r="F378">
        <f>[1]LISTADO_OTS!Q378</f>
        <v>1</v>
      </c>
      <c r="G378">
        <f>[1]LISTADO_OTS!R378</f>
        <v>1</v>
      </c>
      <c r="H378" t="str">
        <f>[1]LISTADO_OTS!H378</f>
        <v>Reparación de Fuga en Maroño</v>
      </c>
      <c r="I378" t="str">
        <f>[1]LISTADO_OTS!I378</f>
        <v>Reparación de Fuga en Maroño</v>
      </c>
      <c r="J378" s="1">
        <f>[1]LISTADO_OTS!F378</f>
        <v>45917</v>
      </c>
      <c r="K378" s="1">
        <f>[1]LISTADO_OTS!G378</f>
        <v>45917</v>
      </c>
      <c r="L378">
        <f>[1]LISTADO_OTS!M378</f>
        <v>43.035575000000001</v>
      </c>
      <c r="M378">
        <f>[1]LISTADO_OTS!N378</f>
        <v>-3.072336</v>
      </c>
      <c r="U378" t="b">
        <f>[1]LISTADO_OTS!O378</f>
        <v>1</v>
      </c>
      <c r="V378" t="str">
        <f>[1]LISTADO_OTS!J378</f>
        <v>Maroño</v>
      </c>
      <c r="W378">
        <f>[1]LISTADO_OTS!R378</f>
        <v>1</v>
      </c>
      <c r="X378">
        <f>[1]LISTADO_OTS!P378</f>
        <v>0</v>
      </c>
      <c r="Y378">
        <v>1</v>
      </c>
      <c r="Z378">
        <f>[1]LISTADO_OTS!S378</f>
        <v>1</v>
      </c>
    </row>
    <row r="379" spans="1:26" x14ac:dyDescent="0.4">
      <c r="A379">
        <v>378</v>
      </c>
      <c r="B379" t="str">
        <f>[1]LISTADO_OTS!E379</f>
        <v>OT/0301</v>
      </c>
      <c r="C379">
        <f>VLOOKUP([1]LISTADO_OTS!B379,[1]Redes!$C$1:$E$5,3,FALSE)</f>
        <v>3</v>
      </c>
      <c r="D379">
        <f>[1]LISTADO_OTS!C379</f>
        <v>1</v>
      </c>
      <c r="E379">
        <f>[1]LISTADO_OTS!D379</f>
        <v>0</v>
      </c>
      <c r="F379">
        <f>[1]LISTADO_OTS!Q379</f>
        <v>1</v>
      </c>
      <c r="G379">
        <f>[1]LISTADO_OTS!R379</f>
        <v>1</v>
      </c>
      <c r="H379" t="str">
        <f>[1]LISTADO_OTS!H379</f>
        <v>Reparación de Fuga en Esquina de Abajo/Respaldiza</v>
      </c>
      <c r="I379" t="str">
        <f>[1]LISTADO_OTS!I379</f>
        <v>Reparación de Fuga en Esquina de Abajo/Respaldiza</v>
      </c>
      <c r="J379" s="1">
        <f>[1]LISTADO_OTS!F379</f>
        <v>45917</v>
      </c>
      <c r="K379" s="1">
        <f>[1]LISTADO_OTS!G379</f>
        <v>45917</v>
      </c>
      <c r="L379">
        <f>[1]LISTADO_OTS!M379</f>
        <v>43.087997000000001</v>
      </c>
      <c r="M379">
        <f>[1]LISTADO_OTS!N379</f>
        <v>-3.044206</v>
      </c>
      <c r="U379" t="b">
        <f>[1]LISTADO_OTS!O379</f>
        <v>1</v>
      </c>
      <c r="V379" t="str">
        <f>[1]LISTADO_OTS!J379</f>
        <v>Esquina Abajo/Respaldiza</v>
      </c>
      <c r="W379">
        <f>[1]LISTADO_OTS!R379</f>
        <v>1</v>
      </c>
      <c r="X379">
        <f>[1]LISTADO_OTS!P379</f>
        <v>0</v>
      </c>
      <c r="Y379">
        <v>1</v>
      </c>
      <c r="Z379">
        <f>[1]LISTADO_OTS!S379</f>
        <v>1</v>
      </c>
    </row>
    <row r="380" spans="1:26" x14ac:dyDescent="0.4">
      <c r="A380">
        <v>379</v>
      </c>
      <c r="B380" t="str">
        <f>[1]LISTADO_OTS!E380</f>
        <v>OT/0302</v>
      </c>
      <c r="C380">
        <f>VLOOKUP([1]LISTADO_OTS!B380,[1]Redes!$C$1:$E$5,3,FALSE)</f>
        <v>3</v>
      </c>
      <c r="D380">
        <f>[1]LISTADO_OTS!C380</f>
        <v>1</v>
      </c>
      <c r="E380">
        <f>[1]LISTADO_OTS!D380</f>
        <v>0</v>
      </c>
      <c r="F380">
        <f>[1]LISTADO_OTS!Q380</f>
        <v>5</v>
      </c>
      <c r="G380">
        <f>[1]LISTADO_OTS!R380</f>
        <v>5</v>
      </c>
      <c r="H380" t="str">
        <f>[1]LISTADO_OTS!H380</f>
        <v>Reparación de albañilería y catas por fuga Facsa (Salinas de Añana)</v>
      </c>
      <c r="I380" t="str">
        <f>[1]LISTADO_OTS!I380</f>
        <v>Reparación de albañilería y catas por fuga Facsa (Salinas de Añana)</v>
      </c>
      <c r="J380" s="1">
        <f>[1]LISTADO_OTS!F380</f>
        <v>45917</v>
      </c>
      <c r="K380" s="1">
        <f>[1]LISTADO_OTS!G380</f>
        <v>45917</v>
      </c>
      <c r="L380">
        <f>[1]LISTADO_OTS!M380</f>
        <v>0</v>
      </c>
      <c r="M380">
        <f>[1]LISTADO_OTS!N380</f>
        <v>0</v>
      </c>
      <c r="U380" t="b">
        <f>[1]LISTADO_OTS!O380</f>
        <v>1</v>
      </c>
      <c r="V380" t="str">
        <f>[1]LISTADO_OTS!J380</f>
        <v>Salinas de Añana</v>
      </c>
      <c r="W380">
        <f>[1]LISTADO_OTS!R380</f>
        <v>5</v>
      </c>
      <c r="X380">
        <f>[1]LISTADO_OTS!P380</f>
        <v>0</v>
      </c>
      <c r="Y380">
        <v>1</v>
      </c>
      <c r="Z380">
        <f>[1]LISTADO_OTS!S380</f>
        <v>1</v>
      </c>
    </row>
    <row r="381" spans="1:26" x14ac:dyDescent="0.4">
      <c r="A381">
        <v>380</v>
      </c>
      <c r="B381" t="str">
        <f>[1]LISTADO_OTS!E381</f>
        <v>TP/0176</v>
      </c>
      <c r="C381">
        <f>VLOOKUP([1]LISTADO_OTS!B381,[1]Redes!$C$1:$E$5,3,FALSE)</f>
        <v>3</v>
      </c>
      <c r="D381">
        <f>[1]LISTADO_OTS!C381</f>
        <v>2</v>
      </c>
      <c r="E381">
        <f>[1]LISTADO_OTS!D381</f>
        <v>18</v>
      </c>
      <c r="F381">
        <f>[1]LISTADO_OTS!Q381</f>
        <v>1</v>
      </c>
      <c r="G381">
        <f>[1]LISTADO_OTS!R381</f>
        <v>1</v>
      </c>
      <c r="H381" t="str">
        <f>[1]LISTADO_OTS!H381</f>
        <v>Ejecución de nueva acometida Inausa (Amurrio)</v>
      </c>
      <c r="I381" t="str">
        <f>[1]LISTADO_OTS!I381</f>
        <v>Ejecución de nueva acometida INAUSA (Amurrio)</v>
      </c>
      <c r="J381" s="1">
        <f>[1]LISTADO_OTS!F381</f>
        <v>45917</v>
      </c>
      <c r="K381" s="1">
        <f>[1]LISTADO_OTS!G381</f>
        <v>45917</v>
      </c>
      <c r="L381">
        <f>[1]LISTADO_OTS!M381</f>
        <v>0</v>
      </c>
      <c r="M381">
        <f>[1]LISTADO_OTS!N381</f>
        <v>0</v>
      </c>
      <c r="U381" t="b">
        <f>[1]LISTADO_OTS!O381</f>
        <v>1</v>
      </c>
      <c r="V381" t="str">
        <f>[1]LISTADO_OTS!J381</f>
        <v>Amurrio</v>
      </c>
      <c r="W381">
        <f>[1]LISTADO_OTS!R381</f>
        <v>1</v>
      </c>
      <c r="X381">
        <f>[1]LISTADO_OTS!P381</f>
        <v>0</v>
      </c>
      <c r="Y381">
        <v>1</v>
      </c>
      <c r="Z381">
        <f>[1]LISTADO_OTS!S381</f>
        <v>0</v>
      </c>
    </row>
    <row r="382" spans="1:26" x14ac:dyDescent="0.4">
      <c r="A382">
        <v>381</v>
      </c>
      <c r="B382" t="str">
        <f>[1]LISTADO_OTS!E382</f>
        <v>OT/0304</v>
      </c>
      <c r="C382" t="e">
        <f>VLOOKUP([1]LISTADO_OTS!B382,[1]Redes!$C$1:$E$5,3,FALSE)</f>
        <v>#N/A</v>
      </c>
      <c r="D382">
        <f>[1]LISTADO_OTS!C382</f>
        <v>0</v>
      </c>
      <c r="E382">
        <f>[1]LISTADO_OTS!D382</f>
        <v>0</v>
      </c>
      <c r="F382">
        <f>[1]LISTADO_OTS!Q382</f>
        <v>10</v>
      </c>
      <c r="G382">
        <f>[1]LISTADO_OTS!R382</f>
        <v>10</v>
      </c>
      <c r="H382">
        <f>[1]LISTADO_OTS!H382</f>
        <v>0</v>
      </c>
      <c r="I382">
        <f>[1]LISTADO_OTS!I382</f>
        <v>0</v>
      </c>
      <c r="J382" s="1">
        <f>[1]LISTADO_OTS!F382</f>
        <v>0</v>
      </c>
      <c r="K382" s="1">
        <f>[1]LISTADO_OTS!G382</f>
        <v>0</v>
      </c>
      <c r="L382">
        <f>[1]LISTADO_OTS!M382</f>
        <v>0</v>
      </c>
      <c r="M382">
        <f>[1]LISTADO_OTS!N382</f>
        <v>0</v>
      </c>
      <c r="U382" t="b">
        <f>[1]LISTADO_OTS!O382</f>
        <v>1</v>
      </c>
      <c r="V382">
        <f>[1]LISTADO_OTS!J382</f>
        <v>0</v>
      </c>
      <c r="W382">
        <f>[1]LISTADO_OTS!R382</f>
        <v>10</v>
      </c>
      <c r="X382">
        <f>[1]LISTADO_OTS!P382</f>
        <v>0</v>
      </c>
      <c r="Y382">
        <v>1</v>
      </c>
      <c r="Z382">
        <f>[1]LISTADO_OTS!S382</f>
        <v>3</v>
      </c>
    </row>
    <row r="383" spans="1:26" x14ac:dyDescent="0.4">
      <c r="A383">
        <v>382</v>
      </c>
      <c r="B383" t="str">
        <f>[1]LISTADO_OTS!E383</f>
        <v>TP/0173</v>
      </c>
      <c r="C383">
        <f>VLOOKUP([1]LISTADO_OTS!B383,[1]Redes!$C$1:$E$5,3,FALSE)</f>
        <v>3</v>
      </c>
      <c r="D383">
        <f>[1]LISTADO_OTS!C383</f>
        <v>2</v>
      </c>
      <c r="E383">
        <f>[1]LISTADO_OTS!D383</f>
        <v>10</v>
      </c>
      <c r="F383">
        <f>[1]LISTADO_OTS!Q383</f>
        <v>3</v>
      </c>
      <c r="G383">
        <f>[1]LISTADO_OTS!R383</f>
        <v>3</v>
      </c>
      <c r="H383" t="str">
        <f>[1]LISTADO_OTS!H383</f>
        <v>Sustitución de contadores en Opacua</v>
      </c>
      <c r="I383" t="str">
        <f>[1]LISTADO_OTS!I383</f>
        <v>Sustitución de contadores en Opacua</v>
      </c>
      <c r="J383" s="1">
        <f>[1]LISTADO_OTS!F383</f>
        <v>45917</v>
      </c>
      <c r="K383" s="1">
        <f>[1]LISTADO_OTS!G383</f>
        <v>45917</v>
      </c>
      <c r="L383">
        <f>[1]LISTADO_OTS!M383</f>
        <v>0</v>
      </c>
      <c r="M383">
        <f>[1]LISTADO_OTS!N383</f>
        <v>0</v>
      </c>
      <c r="U383" t="b">
        <f>[1]LISTADO_OTS!O383</f>
        <v>1</v>
      </c>
      <c r="V383" t="str">
        <f>[1]LISTADO_OTS!J383</f>
        <v>Opacua</v>
      </c>
      <c r="W383">
        <f>[1]LISTADO_OTS!R383</f>
        <v>3</v>
      </c>
      <c r="X383">
        <f>[1]LISTADO_OTS!P383</f>
        <v>0</v>
      </c>
      <c r="Y383">
        <v>1</v>
      </c>
      <c r="Z383">
        <f>[1]LISTADO_OTS!S383</f>
        <v>0</v>
      </c>
    </row>
    <row r="384" spans="1:26" x14ac:dyDescent="0.4">
      <c r="A384">
        <v>383</v>
      </c>
      <c r="B384" t="str">
        <f>[1]LISTADO_OTS!E384</f>
        <v>TP/0174</v>
      </c>
      <c r="C384">
        <f>VLOOKUP([1]LISTADO_OTS!B384,[1]Redes!$C$1:$E$5,3,FALSE)</f>
        <v>3</v>
      </c>
      <c r="D384">
        <f>[1]LISTADO_OTS!C384</f>
        <v>2</v>
      </c>
      <c r="E384">
        <f>[1]LISTADO_OTS!D384</f>
        <v>8</v>
      </c>
      <c r="F384">
        <f>[1]LISTADO_OTS!Q384</f>
        <v>1</v>
      </c>
      <c r="G384">
        <f>[1]LISTADO_OTS!R384</f>
        <v>1</v>
      </c>
      <c r="H384" t="str">
        <f>[1]LISTADO_OTS!H384</f>
        <v>Instalación de contador en riego en Llodio</v>
      </c>
      <c r="I384" t="str">
        <f>[1]LISTADO_OTS!I384</f>
        <v>Instalación de contador en riego en Llodio</v>
      </c>
      <c r="J384" s="1">
        <f>[1]LISTADO_OTS!F384</f>
        <v>45917</v>
      </c>
      <c r="K384" s="1">
        <f>[1]LISTADO_OTS!G384</f>
        <v>45917</v>
      </c>
      <c r="L384">
        <f>[1]LISTADO_OTS!M384</f>
        <v>0</v>
      </c>
      <c r="M384">
        <f>[1]LISTADO_OTS!N384</f>
        <v>0</v>
      </c>
      <c r="U384" t="b">
        <f>[1]LISTADO_OTS!O384</f>
        <v>1</v>
      </c>
      <c r="V384" t="str">
        <f>[1]LISTADO_OTS!J384</f>
        <v>Llodio</v>
      </c>
      <c r="W384">
        <f>[1]LISTADO_OTS!R384</f>
        <v>1</v>
      </c>
      <c r="X384">
        <f>[1]LISTADO_OTS!P384</f>
        <v>0</v>
      </c>
      <c r="Y384">
        <v>1</v>
      </c>
      <c r="Z384">
        <f>[1]LISTADO_OTS!S384</f>
        <v>0</v>
      </c>
    </row>
    <row r="385" spans="1:26" x14ac:dyDescent="0.4">
      <c r="A385">
        <v>384</v>
      </c>
      <c r="B385" t="str">
        <f>[1]LISTADO_OTS!E385</f>
        <v>TP/0175</v>
      </c>
      <c r="C385">
        <f>VLOOKUP([1]LISTADO_OTS!B385,[1]Redes!$C$1:$E$5,3,FALSE)</f>
        <v>5</v>
      </c>
      <c r="D385">
        <f>[1]LISTADO_OTS!C385</f>
        <v>2</v>
      </c>
      <c r="E385">
        <f>[1]LISTADO_OTS!D385</f>
        <v>3</v>
      </c>
      <c r="F385">
        <f>[1]LISTADO_OTS!Q385</f>
        <v>3</v>
      </c>
      <c r="G385">
        <f>[1]LISTADO_OTS!R385</f>
        <v>26</v>
      </c>
      <c r="H385" t="str">
        <f>[1]LISTADO_OTS!H385</f>
        <v>Mantenimiento preventivo saneamiento en Agurain</v>
      </c>
      <c r="I385" t="str">
        <f>[1]LISTADO_OTS!I385</f>
        <v>Mangtenimiento preventivo saneamiento en Agurain</v>
      </c>
      <c r="J385" s="1">
        <f>[1]LISTADO_OTS!F385</f>
        <v>45917</v>
      </c>
      <c r="K385" s="1">
        <f>[1]LISTADO_OTS!G385</f>
        <v>45917</v>
      </c>
      <c r="L385">
        <f>[1]LISTADO_OTS!M385</f>
        <v>0</v>
      </c>
      <c r="M385">
        <f>[1]LISTADO_OTS!N385</f>
        <v>0</v>
      </c>
      <c r="U385" t="b">
        <f>[1]LISTADO_OTS!O385</f>
        <v>1</v>
      </c>
      <c r="V385" t="str">
        <f>[1]LISTADO_OTS!J385</f>
        <v>Agurain</v>
      </c>
      <c r="W385">
        <f>[1]LISTADO_OTS!R385</f>
        <v>26</v>
      </c>
      <c r="X385">
        <f>[1]LISTADO_OTS!P385</f>
        <v>0</v>
      </c>
      <c r="Y385">
        <v>1</v>
      </c>
      <c r="Z385">
        <f>[1]LISTADO_OTS!S385</f>
        <v>0</v>
      </c>
    </row>
    <row r="386" spans="1:26" x14ac:dyDescent="0.4">
      <c r="A386">
        <v>385</v>
      </c>
      <c r="B386" t="str">
        <f>[1]LISTADO_OTS!E386</f>
        <v>OT/0303</v>
      </c>
      <c r="C386">
        <f>VLOOKUP([1]LISTADO_OTS!B386,[1]Redes!$C$1:$E$5,3,FALSE)</f>
        <v>3</v>
      </c>
      <c r="D386">
        <f>[1]LISTADO_OTS!C386</f>
        <v>1</v>
      </c>
      <c r="E386">
        <f>[1]LISTADO_OTS!D386</f>
        <v>0</v>
      </c>
      <c r="F386">
        <f>[1]LISTADO_OTS!Q386</f>
        <v>1</v>
      </c>
      <c r="G386">
        <f>[1]LISTADO_OTS!R386</f>
        <v>1</v>
      </c>
      <c r="H386" t="str">
        <f>[1]LISTADO_OTS!H386</f>
        <v>Reparación de fuga en Areta (Llodio)</v>
      </c>
      <c r="I386" t="str">
        <f>[1]LISTADO_OTS!I386</f>
        <v>Reparación de fuga en Areta (Llodio)</v>
      </c>
      <c r="J386" s="1">
        <f>[1]LISTADO_OTS!F386</f>
        <v>45917</v>
      </c>
      <c r="K386" s="1">
        <f>[1]LISTADO_OTS!G386</f>
        <v>45917</v>
      </c>
      <c r="L386">
        <f>[1]LISTADO_OTS!M386</f>
        <v>43.146928000000003</v>
      </c>
      <c r="M386">
        <f>[1]LISTADO_OTS!N386</f>
        <v>-2.9433020000000001</v>
      </c>
      <c r="U386" t="b">
        <f>[1]LISTADO_OTS!O386</f>
        <v>1</v>
      </c>
      <c r="V386" t="str">
        <f>[1]LISTADO_OTS!J386</f>
        <v>Llodio</v>
      </c>
      <c r="W386">
        <f>[1]LISTADO_OTS!R386</f>
        <v>1</v>
      </c>
      <c r="X386">
        <f>[1]LISTADO_OTS!P386</f>
        <v>0</v>
      </c>
      <c r="Y386">
        <v>1</v>
      </c>
      <c r="Z386">
        <f>[1]LISTADO_OTS!S386</f>
        <v>1</v>
      </c>
    </row>
    <row r="387" spans="1:26" x14ac:dyDescent="0.4">
      <c r="A387">
        <v>386</v>
      </c>
      <c r="B387" t="str">
        <f>[1]LISTADO_OTS!E387</f>
        <v>OT/0305</v>
      </c>
      <c r="C387">
        <f>VLOOKUP([1]LISTADO_OTS!B387,[1]Redes!$C$1:$E$5,3,FALSE)</f>
        <v>3</v>
      </c>
      <c r="D387">
        <f>[1]LISTADO_OTS!C387</f>
        <v>1</v>
      </c>
      <c r="E387">
        <f>[1]LISTADO_OTS!D387</f>
        <v>0</v>
      </c>
      <c r="F387">
        <f>[1]LISTADO_OTS!Q387</f>
        <v>1</v>
      </c>
      <c r="G387">
        <f>[1]LISTADO_OTS!R387</f>
        <v>1</v>
      </c>
      <c r="H387" t="str">
        <f>[1]LISTADO_OTS!H387</f>
        <v>Reparación de fuga en Izoria</v>
      </c>
      <c r="I387" t="str">
        <f>[1]LISTADO_OTS!I387</f>
        <v>Reparación de fuga en Izoria</v>
      </c>
      <c r="J387" s="1">
        <f>[1]LISTADO_OTS!F387</f>
        <v>45918</v>
      </c>
      <c r="K387" s="1">
        <f>[1]LISTADO_OTS!G387</f>
        <v>45918</v>
      </c>
      <c r="L387">
        <f>[1]LISTADO_OTS!M387</f>
        <v>43.145001000000001</v>
      </c>
      <c r="M387">
        <f>[1]LISTADO_OTS!N387</f>
        <v>-2.9599709999999999</v>
      </c>
      <c r="U387" t="b">
        <f>[1]LISTADO_OTS!O387</f>
        <v>1</v>
      </c>
      <c r="V387" t="str">
        <f>[1]LISTADO_OTS!J387</f>
        <v>Llodio</v>
      </c>
      <c r="W387">
        <f>[1]LISTADO_OTS!R387</f>
        <v>1</v>
      </c>
      <c r="X387">
        <f>[1]LISTADO_OTS!P387</f>
        <v>0</v>
      </c>
      <c r="Y387">
        <v>1</v>
      </c>
      <c r="Z387">
        <f>[1]LISTADO_OTS!S387</f>
        <v>1</v>
      </c>
    </row>
    <row r="388" spans="1:26" x14ac:dyDescent="0.4">
      <c r="A388">
        <v>387</v>
      </c>
      <c r="B388" t="str">
        <f>[1]LISTADO_OTS!E388</f>
        <v>OT/0306</v>
      </c>
      <c r="C388">
        <f>VLOOKUP([1]LISTADO_OTS!B388,[1]Redes!$C$1:$E$5,3,FALSE)</f>
        <v>3</v>
      </c>
      <c r="D388">
        <f>[1]LISTADO_OTS!C388</f>
        <v>1</v>
      </c>
      <c r="E388">
        <f>[1]LISTADO_OTS!D388</f>
        <v>0</v>
      </c>
      <c r="F388">
        <f>[1]LISTADO_OTS!Q388</f>
        <v>1</v>
      </c>
      <c r="G388">
        <f>[1]LISTADO_OTS!R388</f>
        <v>1</v>
      </c>
      <c r="H388" t="str">
        <f>[1]LISTADO_OTS!H388</f>
        <v>Reparación de fuga en el Parque Lamuza (Llodio)</v>
      </c>
      <c r="I388" t="str">
        <f>[1]LISTADO_OTS!I388</f>
        <v>Reparación de fuga en el Parque Lamuza</v>
      </c>
      <c r="J388" s="1">
        <f>[1]LISTADO_OTS!F388</f>
        <v>45918</v>
      </c>
      <c r="K388" s="1">
        <f>[1]LISTADO_OTS!G388</f>
        <v>45918</v>
      </c>
      <c r="L388">
        <f>[1]LISTADO_OTS!M388</f>
        <v>43.144979999999997</v>
      </c>
      <c r="M388">
        <f>[1]LISTADO_OTS!N388</f>
        <v>-2.965023</v>
      </c>
      <c r="U388" t="b">
        <f>[1]LISTADO_OTS!O388</f>
        <v>1</v>
      </c>
      <c r="V388" t="str">
        <f>[1]LISTADO_OTS!J388</f>
        <v>Llodio</v>
      </c>
      <c r="W388">
        <f>[1]LISTADO_OTS!R388</f>
        <v>1</v>
      </c>
      <c r="X388">
        <f>[1]LISTADO_OTS!P388</f>
        <v>0</v>
      </c>
      <c r="Y388">
        <v>1</v>
      </c>
      <c r="Z388">
        <f>[1]LISTADO_OTS!S388</f>
        <v>1</v>
      </c>
    </row>
    <row r="389" spans="1:26" x14ac:dyDescent="0.4">
      <c r="A389">
        <v>388</v>
      </c>
      <c r="B389" t="str">
        <f>[1]LISTADO_OTS!E389</f>
        <v>OT/0307</v>
      </c>
      <c r="C389">
        <f>VLOOKUP([1]LISTADO_OTS!B389,[1]Redes!$C$1:$E$5,3,FALSE)</f>
        <v>1</v>
      </c>
      <c r="D389">
        <f>[1]LISTADO_OTS!C389</f>
        <v>1</v>
      </c>
      <c r="E389">
        <f>[1]LISTADO_OTS!D389</f>
        <v>0</v>
      </c>
      <c r="F389">
        <f>[1]LISTADO_OTS!Q389</f>
        <v>1</v>
      </c>
      <c r="G389">
        <f>[1]LISTADO_OTS!R389</f>
        <v>1</v>
      </c>
      <c r="H389" t="str">
        <f>[1]LISTADO_OTS!H389</f>
        <v>Reparar fuga VRP de Arbaiza</v>
      </c>
      <c r="I389" t="str">
        <f>[1]LISTADO_OTS!I389</f>
        <v>Reparar fuga VRP de Arbaiza</v>
      </c>
      <c r="J389" s="1">
        <f>[1]LISTADO_OTS!F389</f>
        <v>45918</v>
      </c>
      <c r="K389" s="1">
        <f>[1]LISTADO_OTS!G389</f>
        <v>45918</v>
      </c>
      <c r="L389">
        <f>[1]LISTADO_OTS!M389</f>
        <v>0</v>
      </c>
      <c r="M389">
        <f>[1]LISTADO_OTS!N389</f>
        <v>0</v>
      </c>
      <c r="U389" t="b">
        <f>[1]LISTADO_OTS!O389</f>
        <v>1</v>
      </c>
      <c r="V389" t="str">
        <f>[1]LISTADO_OTS!J389</f>
        <v>Amurrio</v>
      </c>
      <c r="W389">
        <f>[1]LISTADO_OTS!R389</f>
        <v>1</v>
      </c>
      <c r="X389">
        <f>[1]LISTADO_OTS!P389</f>
        <v>0</v>
      </c>
      <c r="Y389">
        <v>1</v>
      </c>
      <c r="Z389">
        <f>[1]LISTADO_OTS!S389</f>
        <v>1</v>
      </c>
    </row>
    <row r="390" spans="1:26" x14ac:dyDescent="0.4">
      <c r="A390">
        <v>389</v>
      </c>
      <c r="B390" t="str">
        <f>[1]LISTADO_OTS!E390</f>
        <v>OT/0308</v>
      </c>
      <c r="C390">
        <f>VLOOKUP([1]LISTADO_OTS!B390,[1]Redes!$C$1:$E$5,3,FALSE)</f>
        <v>3</v>
      </c>
      <c r="D390">
        <f>[1]LISTADO_OTS!C390</f>
        <v>1</v>
      </c>
      <c r="E390">
        <f>[1]LISTADO_OTS!D390</f>
        <v>0</v>
      </c>
      <c r="F390">
        <f>[1]LISTADO_OTS!Q390</f>
        <v>3</v>
      </c>
      <c r="G390">
        <f>[1]LISTADO_OTS!R390</f>
        <v>3</v>
      </c>
      <c r="H390" t="str">
        <f>[1]LISTADO_OTS!H390</f>
        <v>Reparación de fuga en Elburgo</v>
      </c>
      <c r="I390" t="str">
        <f>[1]LISTADO_OTS!I390</f>
        <v>Reparación de fuga en Elburgo</v>
      </c>
      <c r="J390" s="1">
        <f>[1]LISTADO_OTS!F390</f>
        <v>45918</v>
      </c>
      <c r="K390" s="1">
        <f>[1]LISTADO_OTS!G390</f>
        <v>45918</v>
      </c>
      <c r="L390">
        <f>[1]LISTADO_OTS!M390</f>
        <v>42.850552</v>
      </c>
      <c r="M390">
        <f>[1]LISTADO_OTS!N390</f>
        <v>-2.5389360000000001</v>
      </c>
      <c r="U390" t="b">
        <f>[1]LISTADO_OTS!O390</f>
        <v>1</v>
      </c>
      <c r="V390" t="str">
        <f>[1]LISTADO_OTS!J390</f>
        <v>Elburgo</v>
      </c>
      <c r="W390">
        <f>[1]LISTADO_OTS!R390</f>
        <v>3</v>
      </c>
      <c r="X390">
        <f>[1]LISTADO_OTS!P390</f>
        <v>0</v>
      </c>
      <c r="Y390">
        <v>1</v>
      </c>
      <c r="Z390">
        <f>[1]LISTADO_OTS!S390</f>
        <v>1</v>
      </c>
    </row>
    <row r="391" spans="1:26" x14ac:dyDescent="0.4">
      <c r="A391">
        <v>390</v>
      </c>
      <c r="B391" t="str">
        <f>[1]LISTADO_OTS!E391</f>
        <v>TP/0177</v>
      </c>
      <c r="C391">
        <f>VLOOKUP([1]LISTADO_OTS!B391,[1]Redes!$C$1:$E$5,3,FALSE)</f>
        <v>5</v>
      </c>
      <c r="D391">
        <f>[1]LISTADO_OTS!C391</f>
        <v>2</v>
      </c>
      <c r="E391">
        <f>[1]LISTADO_OTS!D391</f>
        <v>3</v>
      </c>
      <c r="F391">
        <f>[1]LISTADO_OTS!Q391</f>
        <v>3</v>
      </c>
      <c r="G391">
        <f>[1]LISTADO_OTS!R391</f>
        <v>26</v>
      </c>
      <c r="H391" t="str">
        <f>[1]LISTADO_OTS!H391</f>
        <v>Mantenimiento de saneamiento en Agurain</v>
      </c>
      <c r="I391" t="str">
        <f>[1]LISTADO_OTS!I391</f>
        <v>Mantenimiento de saneamiento en Agurain</v>
      </c>
      <c r="J391" s="1">
        <f>[1]LISTADO_OTS!F391</f>
        <v>45918</v>
      </c>
      <c r="K391" s="1">
        <f>[1]LISTADO_OTS!G391</f>
        <v>45918</v>
      </c>
      <c r="L391">
        <f>[1]LISTADO_OTS!M391</f>
        <v>0</v>
      </c>
      <c r="M391">
        <f>[1]LISTADO_OTS!N391</f>
        <v>0</v>
      </c>
      <c r="U391" t="b">
        <f>[1]LISTADO_OTS!O391</f>
        <v>1</v>
      </c>
      <c r="V391" t="str">
        <f>[1]LISTADO_OTS!J391</f>
        <v>Agurain</v>
      </c>
      <c r="W391">
        <f>[1]LISTADO_OTS!R391</f>
        <v>26</v>
      </c>
      <c r="X391">
        <f>[1]LISTADO_OTS!P391</f>
        <v>0</v>
      </c>
      <c r="Y391">
        <v>1</v>
      </c>
      <c r="Z391">
        <f>[1]LISTADO_OTS!S391</f>
        <v>0</v>
      </c>
    </row>
    <row r="392" spans="1:26" x14ac:dyDescent="0.4">
      <c r="A392">
        <v>391</v>
      </c>
      <c r="B392" t="str">
        <f>[1]LISTADO_OTS!E392</f>
        <v>TP/0178</v>
      </c>
      <c r="C392">
        <f>VLOOKUP([1]LISTADO_OTS!B392,[1]Redes!$C$1:$E$5,3,FALSE)</f>
        <v>3</v>
      </c>
      <c r="D392">
        <f>[1]LISTADO_OTS!C392</f>
        <v>2</v>
      </c>
      <c r="E392">
        <f>[1]LISTADO_OTS!D392</f>
        <v>10</v>
      </c>
      <c r="F392">
        <f>[1]LISTADO_OTS!Q392</f>
        <v>3</v>
      </c>
      <c r="G392">
        <f>[1]LISTADO_OTS!R392</f>
        <v>3</v>
      </c>
      <c r="H392" t="str">
        <f>[1]LISTADO_OTS!H392</f>
        <v>Sustitución contadores en Alegria</v>
      </c>
      <c r="I392" t="str">
        <f>[1]LISTADO_OTS!I392</f>
        <v>Sustitución contadores en Alegria</v>
      </c>
      <c r="J392" s="1">
        <f>[1]LISTADO_OTS!F392</f>
        <v>45918</v>
      </c>
      <c r="K392" s="1">
        <f>[1]LISTADO_OTS!G392</f>
        <v>45918</v>
      </c>
      <c r="L392">
        <f>[1]LISTADO_OTS!M392</f>
        <v>0</v>
      </c>
      <c r="M392">
        <f>[1]LISTADO_OTS!N392</f>
        <v>0</v>
      </c>
      <c r="U392" t="b">
        <f>[1]LISTADO_OTS!O392</f>
        <v>1</v>
      </c>
      <c r="V392" t="str">
        <f>[1]LISTADO_OTS!J392</f>
        <v>Alegría</v>
      </c>
      <c r="W392">
        <f>[1]LISTADO_OTS!R392</f>
        <v>3</v>
      </c>
      <c r="X392">
        <f>[1]LISTADO_OTS!P392</f>
        <v>0</v>
      </c>
      <c r="Y392">
        <v>1</v>
      </c>
      <c r="Z392">
        <f>[1]LISTADO_OTS!S392</f>
        <v>0</v>
      </c>
    </row>
    <row r="393" spans="1:26" x14ac:dyDescent="0.4">
      <c r="A393">
        <v>392</v>
      </c>
      <c r="B393" t="str">
        <f>[1]LISTADO_OTS!E393</f>
        <v>TP/0179</v>
      </c>
      <c r="C393">
        <f>VLOOKUP([1]LISTADO_OTS!B393,[1]Redes!$C$1:$E$5,3,FALSE)</f>
        <v>3</v>
      </c>
      <c r="D393">
        <f>[1]LISTADO_OTS!C393</f>
        <v>2</v>
      </c>
      <c r="E393">
        <f>[1]LISTADO_OTS!D393</f>
        <v>12</v>
      </c>
      <c r="F393">
        <f>[1]LISTADO_OTS!Q393</f>
        <v>1</v>
      </c>
      <c r="G393">
        <f>[1]LISTADO_OTS!R393</f>
        <v>1</v>
      </c>
      <c r="H393" t="str">
        <f>[1]LISTADO_OTS!H393</f>
        <v>Corte de Agua en Urumea n4 (Llodio)</v>
      </c>
      <c r="I393" t="str">
        <f>[1]LISTADO_OTS!I393</f>
        <v>Corte de Agua en Urumea n4 (Llodio)</v>
      </c>
      <c r="J393" s="1">
        <f>[1]LISTADO_OTS!F393</f>
        <v>45912</v>
      </c>
      <c r="K393" s="1">
        <f>[1]LISTADO_OTS!G393</f>
        <v>45912</v>
      </c>
      <c r="L393">
        <f>[1]LISTADO_OTS!M393</f>
        <v>0</v>
      </c>
      <c r="M393">
        <f>[1]LISTADO_OTS!N393</f>
        <v>0</v>
      </c>
      <c r="U393" t="b">
        <f>[1]LISTADO_OTS!O393</f>
        <v>1</v>
      </c>
      <c r="V393" t="str">
        <f>[1]LISTADO_OTS!J393</f>
        <v>Llodio</v>
      </c>
      <c r="W393">
        <f>[1]LISTADO_OTS!R393</f>
        <v>1</v>
      </c>
      <c r="X393">
        <f>[1]LISTADO_OTS!P393</f>
        <v>0</v>
      </c>
      <c r="Y393">
        <v>1</v>
      </c>
      <c r="Z393">
        <f>[1]LISTADO_OTS!S393</f>
        <v>0</v>
      </c>
    </row>
    <row r="394" spans="1:26" x14ac:dyDescent="0.4">
      <c r="A394">
        <v>393</v>
      </c>
      <c r="B394" t="str">
        <f>[1]LISTADO_OTS!E394</f>
        <v>OT/0309</v>
      </c>
      <c r="C394">
        <f>VLOOKUP([1]LISTADO_OTS!B394,[1]Redes!$C$1:$E$5,3,FALSE)</f>
        <v>3</v>
      </c>
      <c r="D394">
        <f>[1]LISTADO_OTS!C394</f>
        <v>1</v>
      </c>
      <c r="E394">
        <f>[1]LISTADO_OTS!D394</f>
        <v>0</v>
      </c>
      <c r="F394">
        <f>[1]LISTADO_OTS!Q394</f>
        <v>1</v>
      </c>
      <c r="G394">
        <f>[1]LISTADO_OTS!R394</f>
        <v>1</v>
      </c>
      <c r="H394" t="str">
        <f>[1]LISTADO_OTS!H394</f>
        <v>Aviso de Fuga en la estación de Amurrio</v>
      </c>
      <c r="I394" t="str">
        <f>[1]LISTADO_OTS!I394</f>
        <v>Aviso de Fuga en la estación de Amurrio</v>
      </c>
      <c r="J394" s="1">
        <f>[1]LISTADO_OTS!F394</f>
        <v>45916</v>
      </c>
      <c r="K394" s="1">
        <f>[1]LISTADO_OTS!G394</f>
        <v>45916</v>
      </c>
      <c r="L394">
        <f>[1]LISTADO_OTS!M394</f>
        <v>43.049000999999997</v>
      </c>
      <c r="M394">
        <f>[1]LISTADO_OTS!N394</f>
        <v>-3.002075</v>
      </c>
      <c r="U394" t="b">
        <f>[1]LISTADO_OTS!O394</f>
        <v>1</v>
      </c>
      <c r="V394" t="str">
        <f>[1]LISTADO_OTS!J394</f>
        <v>Amurrio</v>
      </c>
      <c r="W394">
        <f>[1]LISTADO_OTS!R394</f>
        <v>1</v>
      </c>
      <c r="X394">
        <f>[1]LISTADO_OTS!P394</f>
        <v>0</v>
      </c>
      <c r="Y394">
        <v>1</v>
      </c>
      <c r="Z394">
        <f>[1]LISTADO_OTS!S394</f>
        <v>1</v>
      </c>
    </row>
    <row r="395" spans="1:26" x14ac:dyDescent="0.4">
      <c r="A395">
        <v>394</v>
      </c>
      <c r="B395" t="str">
        <f>[1]LISTADO_OTS!E395</f>
        <v>OT/0310</v>
      </c>
      <c r="C395">
        <f>VLOOKUP([1]LISTADO_OTS!B395,[1]Redes!$C$1:$E$5,3,FALSE)</f>
        <v>5</v>
      </c>
      <c r="D395">
        <f>[1]LISTADO_OTS!C395</f>
        <v>1</v>
      </c>
      <c r="E395">
        <f>[1]LISTADO_OTS!D395</f>
        <v>0</v>
      </c>
      <c r="F395">
        <f>[1]LISTADO_OTS!Q395</f>
        <v>1</v>
      </c>
      <c r="G395">
        <f>[1]LISTADO_OTS!R395</f>
        <v>2</v>
      </c>
      <c r="H395" t="str">
        <f>[1]LISTADO_OTS!H395</f>
        <v>Desatasco en Artziniega</v>
      </c>
      <c r="I395" t="str">
        <f>[1]LISTADO_OTS!I395</f>
        <v>Desatasco en Artziniega</v>
      </c>
      <c r="J395" s="1">
        <f>[1]LISTADO_OTS!F395</f>
        <v>45918</v>
      </c>
      <c r="K395" s="1">
        <f>[1]LISTADO_OTS!G395</f>
        <v>45919</v>
      </c>
      <c r="L395">
        <f>[1]LISTADO_OTS!M395</f>
        <v>43.121026999999998</v>
      </c>
      <c r="M395">
        <f>[1]LISTADO_OTS!N395</f>
        <v>-3.1297959999999998</v>
      </c>
      <c r="U395" t="b">
        <f>[1]LISTADO_OTS!O395</f>
        <v>1</v>
      </c>
      <c r="V395" t="str">
        <f>[1]LISTADO_OTS!J395</f>
        <v>Artziniega</v>
      </c>
      <c r="W395">
        <f>[1]LISTADO_OTS!R395</f>
        <v>2</v>
      </c>
      <c r="X395">
        <f>[1]LISTADO_OTS!P395</f>
        <v>0</v>
      </c>
      <c r="Y395">
        <v>1</v>
      </c>
      <c r="Z395">
        <f>[1]LISTADO_OTS!S395</f>
        <v>2</v>
      </c>
    </row>
    <row r="396" spans="1:26" x14ac:dyDescent="0.4">
      <c r="A396">
        <v>395</v>
      </c>
      <c r="B396" t="str">
        <f>[1]LISTADO_OTS!E396</f>
        <v>OT/0311</v>
      </c>
      <c r="C396">
        <f>VLOOKUP([1]LISTADO_OTS!B396,[1]Redes!$C$1:$E$5,3,FALSE)</f>
        <v>3</v>
      </c>
      <c r="D396">
        <f>[1]LISTADO_OTS!C396</f>
        <v>1</v>
      </c>
      <c r="E396">
        <f>[1]LISTADO_OTS!D396</f>
        <v>0</v>
      </c>
      <c r="F396">
        <f>[1]LISTADO_OTS!Q396</f>
        <v>3</v>
      </c>
      <c r="G396">
        <f>[1]LISTADO_OTS!R396</f>
        <v>3</v>
      </c>
      <c r="H396" t="str">
        <f>[1]LISTADO_OTS!H396</f>
        <v>Fuga en Elburgo</v>
      </c>
      <c r="I396" t="str">
        <f>[1]LISTADO_OTS!I396</f>
        <v>Fuga en Elburgo</v>
      </c>
      <c r="J396" s="1">
        <f>[1]LISTADO_OTS!F396</f>
        <v>45908</v>
      </c>
      <c r="K396" s="1">
        <f>[1]LISTADO_OTS!G396</f>
        <v>45908</v>
      </c>
      <c r="L396">
        <f>[1]LISTADO_OTS!M396</f>
        <v>42.849178000000002</v>
      </c>
      <c r="M396">
        <f>[1]LISTADO_OTS!N396</f>
        <v>-2.5460240000000001</v>
      </c>
      <c r="U396" t="b">
        <f>[1]LISTADO_OTS!O396</f>
        <v>1</v>
      </c>
      <c r="V396" t="str">
        <f>[1]LISTADO_OTS!J396</f>
        <v>Elburgo</v>
      </c>
      <c r="W396">
        <f>[1]LISTADO_OTS!R396</f>
        <v>3</v>
      </c>
      <c r="X396">
        <f>[1]LISTADO_OTS!P396</f>
        <v>0</v>
      </c>
      <c r="Y396">
        <v>1</v>
      </c>
      <c r="Z396">
        <f>[1]LISTADO_OTS!S396</f>
        <v>1</v>
      </c>
    </row>
    <row r="397" spans="1:26" x14ac:dyDescent="0.4">
      <c r="A397">
        <v>396</v>
      </c>
      <c r="B397" t="str">
        <f>[1]LISTADO_OTS!E397</f>
        <v>OT/0312</v>
      </c>
      <c r="C397">
        <f>VLOOKUP([1]LISTADO_OTS!B397,[1]Redes!$C$1:$E$5,3,FALSE)</f>
        <v>3</v>
      </c>
      <c r="D397">
        <f>[1]LISTADO_OTS!C397</f>
        <v>1</v>
      </c>
      <c r="E397">
        <f>[1]LISTADO_OTS!D397</f>
        <v>0</v>
      </c>
      <c r="F397">
        <f>[1]LISTADO_OTS!Q397</f>
        <v>1</v>
      </c>
      <c r="G397">
        <f>[1]LISTADO_OTS!R397</f>
        <v>1</v>
      </c>
      <c r="H397" t="str">
        <f>[1]LISTADO_OTS!H397</f>
        <v>Reparacion de fuga en Larrimbe</v>
      </c>
      <c r="I397" t="str">
        <f>[1]LISTADO_OTS!I397</f>
        <v>Reparacion de fuga en Larrimbe</v>
      </c>
      <c r="J397" s="1">
        <f>[1]LISTADO_OTS!F397</f>
        <v>45915</v>
      </c>
      <c r="K397" s="1">
        <f>[1]LISTADO_OTS!G397</f>
        <v>45915</v>
      </c>
      <c r="L397">
        <f>[1]LISTADO_OTS!M397</f>
        <v>0</v>
      </c>
      <c r="M397">
        <f>[1]LISTADO_OTS!N397</f>
        <v>0</v>
      </c>
      <c r="U397" t="b">
        <f>[1]LISTADO_OTS!O397</f>
        <v>1</v>
      </c>
      <c r="V397" t="str">
        <f>[1]LISTADO_OTS!J397</f>
        <v>Larrinbe</v>
      </c>
      <c r="W397">
        <f>[1]LISTADO_OTS!R397</f>
        <v>1</v>
      </c>
      <c r="X397">
        <f>[1]LISTADO_OTS!P397</f>
        <v>0</v>
      </c>
      <c r="Y397">
        <v>1</v>
      </c>
      <c r="Z397">
        <f>[1]LISTADO_OTS!S397</f>
        <v>1</v>
      </c>
    </row>
    <row r="398" spans="1:26" x14ac:dyDescent="0.4">
      <c r="A398">
        <v>397</v>
      </c>
      <c r="B398" t="str">
        <f>[1]LISTADO_OTS!E398</f>
        <v>OT/0313</v>
      </c>
      <c r="C398">
        <f>VLOOKUP([1]LISTADO_OTS!B398,[1]Redes!$C$1:$E$5,3,FALSE)</f>
        <v>5</v>
      </c>
      <c r="D398">
        <f>[1]LISTADO_OTS!C398</f>
        <v>1</v>
      </c>
      <c r="E398">
        <f>[1]LISTADO_OTS!D398</f>
        <v>0</v>
      </c>
      <c r="F398">
        <f>[1]LISTADO_OTS!Q398</f>
        <v>5</v>
      </c>
      <c r="G398">
        <f>[1]LISTADO_OTS!R398</f>
        <v>41</v>
      </c>
      <c r="H398" t="str">
        <f>[1]LISTADO_OTS!H398</f>
        <v>Desatasco en Anucita</v>
      </c>
      <c r="I398" t="str">
        <f>[1]LISTADO_OTS!I398</f>
        <v>Desatasco en Anucita</v>
      </c>
      <c r="J398" s="1">
        <f>[1]LISTADO_OTS!F398</f>
        <v>45915</v>
      </c>
      <c r="K398" s="1">
        <f>[1]LISTADO_OTS!G398</f>
        <v>45915</v>
      </c>
      <c r="L398">
        <f>[1]LISTADO_OTS!M398</f>
        <v>0</v>
      </c>
      <c r="M398">
        <f>[1]LISTADO_OTS!N398</f>
        <v>0</v>
      </c>
      <c r="U398" t="b">
        <f>[1]LISTADO_OTS!O398</f>
        <v>1</v>
      </c>
      <c r="V398" t="str">
        <f>[1]LISTADO_OTS!J398</f>
        <v>Anucita</v>
      </c>
      <c r="W398">
        <f>[1]LISTADO_OTS!R398</f>
        <v>41</v>
      </c>
      <c r="X398">
        <f>[1]LISTADO_OTS!P398</f>
        <v>0</v>
      </c>
      <c r="Y398">
        <v>1</v>
      </c>
      <c r="Z398">
        <f>[1]LISTADO_OTS!S398</f>
        <v>2</v>
      </c>
    </row>
    <row r="399" spans="1:26" x14ac:dyDescent="0.4">
      <c r="A399">
        <v>398</v>
      </c>
      <c r="B399" t="str">
        <f>[1]LISTADO_OTS!E399</f>
        <v>OT/0314</v>
      </c>
      <c r="C399">
        <f>VLOOKUP([1]LISTADO_OTS!B399,[1]Redes!$C$1:$E$5,3,FALSE)</f>
        <v>3</v>
      </c>
      <c r="D399">
        <f>[1]LISTADO_OTS!C399</f>
        <v>1</v>
      </c>
      <c r="E399">
        <f>[1]LISTADO_OTS!D399</f>
        <v>0</v>
      </c>
      <c r="F399">
        <f>[1]LISTADO_OTS!Q399</f>
        <v>1</v>
      </c>
      <c r="G399">
        <f>[1]LISTADO_OTS!R399</f>
        <v>1</v>
      </c>
      <c r="H399" t="str">
        <f>[1]LISTADO_OTS!H399</f>
        <v>Fuga en Llodio</v>
      </c>
      <c r="I399" t="str">
        <f>[1]LISTADO_OTS!I399</f>
        <v>Fuga en Llodio</v>
      </c>
      <c r="J399" s="1">
        <f>[1]LISTADO_OTS!F399</f>
        <v>45915</v>
      </c>
      <c r="K399" s="1">
        <f>[1]LISTADO_OTS!G399</f>
        <v>45915</v>
      </c>
      <c r="L399">
        <f>[1]LISTADO_OTS!M399</f>
        <v>0</v>
      </c>
      <c r="M399">
        <f>[1]LISTADO_OTS!N399</f>
        <v>0</v>
      </c>
      <c r="U399" t="b">
        <f>[1]LISTADO_OTS!O399</f>
        <v>1</v>
      </c>
      <c r="V399" t="str">
        <f>[1]LISTADO_OTS!J399</f>
        <v>Llodio</v>
      </c>
      <c r="W399">
        <f>[1]LISTADO_OTS!R399</f>
        <v>1</v>
      </c>
      <c r="X399">
        <f>[1]LISTADO_OTS!P399</f>
        <v>0</v>
      </c>
      <c r="Y399">
        <v>1</v>
      </c>
      <c r="Z399">
        <f>[1]LISTADO_OTS!S399</f>
        <v>1</v>
      </c>
    </row>
    <row r="400" spans="1:26" x14ac:dyDescent="0.4">
      <c r="A400">
        <v>399</v>
      </c>
      <c r="B400" t="str">
        <f>[1]LISTADO_OTS!E400</f>
        <v>OT/0315</v>
      </c>
      <c r="C400">
        <f>VLOOKUP([1]LISTADO_OTS!B400,[1]Redes!$C$1:$E$5,3,FALSE)</f>
        <v>1</v>
      </c>
      <c r="D400">
        <f>[1]LISTADO_OTS!C400</f>
        <v>1</v>
      </c>
      <c r="E400">
        <f>[1]LISTADO_OTS!D400</f>
        <v>0</v>
      </c>
      <c r="F400">
        <f>[1]LISTADO_OTS!Q400</f>
        <v>1</v>
      </c>
      <c r="G400">
        <f>[1]LISTADO_OTS!R400</f>
        <v>1</v>
      </c>
      <c r="H400" t="str">
        <f>[1]LISTADO_OTS!H400</f>
        <v>Fuga de Iperrega (Amurrio)</v>
      </c>
      <c r="I400" t="str">
        <f>[1]LISTADO_OTS!I400</f>
        <v>Fuga de Iperrega</v>
      </c>
      <c r="J400" s="1">
        <f>[1]LISTADO_OTS!F400</f>
        <v>45916</v>
      </c>
      <c r="K400" s="1">
        <f>[1]LISTADO_OTS!G400</f>
        <v>45916</v>
      </c>
      <c r="L400">
        <f>[1]LISTADO_OTS!M400</f>
        <v>0</v>
      </c>
      <c r="M400">
        <f>[1]LISTADO_OTS!N400</f>
        <v>0</v>
      </c>
      <c r="U400" t="b">
        <f>[1]LISTADO_OTS!O400</f>
        <v>1</v>
      </c>
      <c r="V400" t="str">
        <f>[1]LISTADO_OTS!J400</f>
        <v>Iperrega-Baranbio</v>
      </c>
      <c r="W400">
        <f>[1]LISTADO_OTS!R400</f>
        <v>1</v>
      </c>
      <c r="X400">
        <f>[1]LISTADO_OTS!P400</f>
        <v>0</v>
      </c>
      <c r="Y400">
        <v>1</v>
      </c>
      <c r="Z400">
        <f>[1]LISTADO_OTS!S400</f>
        <v>1</v>
      </c>
    </row>
    <row r="401" spans="1:26" x14ac:dyDescent="0.4">
      <c r="A401">
        <v>400</v>
      </c>
      <c r="B401" t="str">
        <f>[1]LISTADO_OTS!E401</f>
        <v>OT/0317</v>
      </c>
      <c r="C401">
        <f>VLOOKUP([1]LISTADO_OTS!B401,[1]Redes!$C$1:$E$5,3,FALSE)</f>
        <v>5</v>
      </c>
      <c r="D401">
        <f>[1]LISTADO_OTS!C401</f>
        <v>1</v>
      </c>
      <c r="E401">
        <f>[1]LISTADO_OTS!D401</f>
        <v>0</v>
      </c>
      <c r="F401">
        <f>[1]LISTADO_OTS!Q401</f>
        <v>1</v>
      </c>
      <c r="G401">
        <f>[1]LISTADO_OTS!R401</f>
        <v>3</v>
      </c>
      <c r="H401" t="str">
        <f>[1]LISTADO_OTS!H401</f>
        <v>Desatasco en Zuaza (Campa)</v>
      </c>
      <c r="I401" t="str">
        <f>[1]LISTADO_OTS!I401</f>
        <v>Desatasco en Zuaza (Campa)</v>
      </c>
      <c r="J401" s="1">
        <f>[1]LISTADO_OTS!F401</f>
        <v>45918</v>
      </c>
      <c r="K401" s="1">
        <f>[1]LISTADO_OTS!G401</f>
        <v>45918</v>
      </c>
      <c r="L401">
        <f>[1]LISTADO_OTS!M401</f>
        <v>0</v>
      </c>
      <c r="M401">
        <f>[1]LISTADO_OTS!N401</f>
        <v>0</v>
      </c>
      <c r="U401" t="b">
        <f>[1]LISTADO_OTS!O401</f>
        <v>1</v>
      </c>
      <c r="V401" t="str">
        <f>[1]LISTADO_OTS!J401</f>
        <v>Zuaza</v>
      </c>
      <c r="W401">
        <f>[1]LISTADO_OTS!R401</f>
        <v>3</v>
      </c>
      <c r="X401">
        <f>[1]LISTADO_OTS!P401</f>
        <v>0</v>
      </c>
      <c r="Y401">
        <v>1</v>
      </c>
      <c r="Z401">
        <f>[1]LISTADO_OTS!S401</f>
        <v>2</v>
      </c>
    </row>
    <row r="402" spans="1:26" x14ac:dyDescent="0.4">
      <c r="A402">
        <v>401</v>
      </c>
      <c r="B402" t="str">
        <f>[1]LISTADO_OTS!E402</f>
        <v>OT/0318</v>
      </c>
      <c r="C402">
        <f>VLOOKUP([1]LISTADO_OTS!B402,[1]Redes!$C$1:$E$5,3,FALSE)</f>
        <v>3</v>
      </c>
      <c r="D402">
        <f>[1]LISTADO_OTS!C402</f>
        <v>1</v>
      </c>
      <c r="E402">
        <f>[1]LISTADO_OTS!D402</f>
        <v>0</v>
      </c>
      <c r="F402">
        <f>[1]LISTADO_OTS!Q402</f>
        <v>3</v>
      </c>
      <c r="G402">
        <f>[1]LISTADO_OTS!R402</f>
        <v>3</v>
      </c>
      <c r="H402" t="str">
        <f>[1]LISTADO_OTS!H402</f>
        <v>Reparacion de fuga en la calle Galburu (Alegria)</v>
      </c>
      <c r="I402" t="str">
        <f>[1]LISTADO_OTS!I402</f>
        <v>Reparacion de fuga en la calle Galburu (Alegria)</v>
      </c>
      <c r="J402" s="1">
        <f>[1]LISTADO_OTS!F402</f>
        <v>45918</v>
      </c>
      <c r="K402" s="1">
        <f>[1]LISTADO_OTS!G402</f>
        <v>45919</v>
      </c>
      <c r="L402">
        <f>[1]LISTADO_OTS!M402</f>
        <v>0</v>
      </c>
      <c r="M402">
        <f>[1]LISTADO_OTS!N402</f>
        <v>0</v>
      </c>
      <c r="U402" t="b">
        <f>[1]LISTADO_OTS!O402</f>
        <v>1</v>
      </c>
      <c r="V402" t="str">
        <f>[1]LISTADO_OTS!J402</f>
        <v>Alegría</v>
      </c>
      <c r="W402">
        <f>[1]LISTADO_OTS!R402</f>
        <v>3</v>
      </c>
      <c r="X402">
        <f>[1]LISTADO_OTS!P402</f>
        <v>0</v>
      </c>
      <c r="Y402">
        <v>1</v>
      </c>
      <c r="Z402">
        <f>[1]LISTADO_OTS!S402</f>
        <v>1</v>
      </c>
    </row>
    <row r="403" spans="1:26" x14ac:dyDescent="0.4">
      <c r="A403">
        <v>402</v>
      </c>
      <c r="B403" t="str">
        <f>[1]LISTADO_OTS!E403</f>
        <v>OT/0319</v>
      </c>
      <c r="C403">
        <f>VLOOKUP([1]LISTADO_OTS!B403,[1]Redes!$C$1:$E$5,3,FALSE)</f>
        <v>1</v>
      </c>
      <c r="D403">
        <f>[1]LISTADO_OTS!C403</f>
        <v>1</v>
      </c>
      <c r="E403">
        <f>[1]LISTADO_OTS!D403</f>
        <v>0</v>
      </c>
      <c r="F403">
        <f>[1]LISTADO_OTS!Q403</f>
        <v>1</v>
      </c>
      <c r="G403">
        <f>[1]LISTADO_OTS!R403</f>
        <v>1</v>
      </c>
      <c r="H403" t="str">
        <f>[1]LISTADO_OTS!H403</f>
        <v>Reparacion de fuga en Iperrega (Baranbio)</v>
      </c>
      <c r="I403" t="str">
        <f>[1]LISTADO_OTS!I403</f>
        <v>Reparacion de fuga en Iperrega (Baranbio)</v>
      </c>
      <c r="J403" s="1">
        <f>[1]LISTADO_OTS!F403</f>
        <v>45918</v>
      </c>
      <c r="K403" s="1">
        <f>[1]LISTADO_OTS!G403</f>
        <v>45919</v>
      </c>
      <c r="L403">
        <f>[1]LISTADO_OTS!M403</f>
        <v>0</v>
      </c>
      <c r="M403">
        <f>[1]LISTADO_OTS!N403</f>
        <v>0</v>
      </c>
      <c r="U403" t="b">
        <f>[1]LISTADO_OTS!O403</f>
        <v>1</v>
      </c>
      <c r="V403" t="str">
        <f>[1]LISTADO_OTS!J403</f>
        <v>Iperrega-Baranbio</v>
      </c>
      <c r="W403">
        <f>[1]LISTADO_OTS!R403</f>
        <v>1</v>
      </c>
      <c r="X403">
        <f>[1]LISTADO_OTS!P403</f>
        <v>0</v>
      </c>
      <c r="Y403">
        <v>1</v>
      </c>
      <c r="Z403">
        <f>[1]LISTADO_OTS!S403</f>
        <v>1</v>
      </c>
    </row>
    <row r="404" spans="1:26" x14ac:dyDescent="0.4">
      <c r="A404">
        <v>403</v>
      </c>
      <c r="B404" t="str">
        <f>[1]LISTADO_OTS!E404</f>
        <v>TP/0180</v>
      </c>
      <c r="C404">
        <f>VLOOKUP([1]LISTADO_OTS!B404,[1]Redes!$C$1:$E$5,3,FALSE)</f>
        <v>1</v>
      </c>
      <c r="D404">
        <f>[1]LISTADO_OTS!C404</f>
        <v>2</v>
      </c>
      <c r="E404">
        <f>[1]LISTADO_OTS!D404</f>
        <v>2</v>
      </c>
      <c r="F404">
        <f>[1]LISTADO_OTS!Q404</f>
        <v>1</v>
      </c>
      <c r="G404">
        <f>[1]LISTADO_OTS!R404</f>
        <v>1</v>
      </c>
      <c r="H404" t="str">
        <f>[1]LISTADO_OTS!H404</f>
        <v>Limpieza de captaciones en Aiara</v>
      </c>
      <c r="I404" t="str">
        <f>[1]LISTADO_OTS!I404</f>
        <v>Limpieza de captaciones en Aiara</v>
      </c>
      <c r="J404" s="1">
        <f>[1]LISTADO_OTS!F404</f>
        <v>45919</v>
      </c>
      <c r="K404" s="1">
        <f>[1]LISTADO_OTS!G404</f>
        <v>45919</v>
      </c>
      <c r="L404">
        <f>[1]LISTADO_OTS!M404</f>
        <v>0</v>
      </c>
      <c r="M404">
        <f>[1]LISTADO_OTS!N404</f>
        <v>0</v>
      </c>
      <c r="U404" t="b">
        <f>[1]LISTADO_OTS!O404</f>
        <v>1</v>
      </c>
      <c r="V404" t="str">
        <f>[1]LISTADO_OTS!J404</f>
        <v>Aiaraldea</v>
      </c>
      <c r="W404">
        <f>[1]LISTADO_OTS!R404</f>
        <v>1</v>
      </c>
      <c r="X404">
        <f>[1]LISTADO_OTS!P404</f>
        <v>0</v>
      </c>
      <c r="Y404">
        <v>1</v>
      </c>
      <c r="Z404">
        <f>[1]LISTADO_OTS!S404</f>
        <v>0</v>
      </c>
    </row>
    <row r="405" spans="1:26" x14ac:dyDescent="0.4">
      <c r="A405">
        <v>404</v>
      </c>
      <c r="B405" t="str">
        <f>[1]LISTADO_OTS!E405</f>
        <v>OT/0320</v>
      </c>
      <c r="C405">
        <f>VLOOKUP([1]LISTADO_OTS!B405,[1]Redes!$C$1:$E$5,3,FALSE)</f>
        <v>3</v>
      </c>
      <c r="D405">
        <f>[1]LISTADO_OTS!C405</f>
        <v>1</v>
      </c>
      <c r="E405">
        <f>[1]LISTADO_OTS!D405</f>
        <v>0</v>
      </c>
      <c r="F405">
        <f>[1]LISTADO_OTS!Q405</f>
        <v>3</v>
      </c>
      <c r="G405">
        <f>[1]LISTADO_OTS!R405</f>
        <v>3</v>
      </c>
      <c r="H405" t="str">
        <f>[1]LISTADO_OTS!H405</f>
        <v>Reparacion fuga acometida Agurain</v>
      </c>
      <c r="I405" t="str">
        <f>[1]LISTADO_OTS!I405</f>
        <v>Reparacion fuga acometida Agurain</v>
      </c>
      <c r="J405" s="1">
        <f>[1]LISTADO_OTS!F405</f>
        <v>45919</v>
      </c>
      <c r="K405" s="1">
        <f>[1]LISTADO_OTS!G405</f>
        <v>45925</v>
      </c>
      <c r="L405">
        <f>[1]LISTADO_OTS!M405</f>
        <v>0</v>
      </c>
      <c r="M405">
        <f>[1]LISTADO_OTS!N405</f>
        <v>0</v>
      </c>
      <c r="U405" t="b">
        <f>[1]LISTADO_OTS!O405</f>
        <v>1</v>
      </c>
      <c r="V405" t="str">
        <f>[1]LISTADO_OTS!J405</f>
        <v>Agurain</v>
      </c>
      <c r="W405">
        <f>[1]LISTADO_OTS!R405</f>
        <v>3</v>
      </c>
      <c r="X405">
        <f>[1]LISTADO_OTS!P405</f>
        <v>0</v>
      </c>
      <c r="Y405">
        <v>1</v>
      </c>
      <c r="Z405">
        <f>[1]LISTADO_OTS!S405</f>
        <v>1</v>
      </c>
    </row>
    <row r="406" spans="1:26" x14ac:dyDescent="0.4">
      <c r="A406">
        <v>405</v>
      </c>
      <c r="B406" t="str">
        <f>[1]LISTADO_OTS!E406</f>
        <v>OT/0321</v>
      </c>
      <c r="C406">
        <f>VLOOKUP([1]LISTADO_OTS!B406,[1]Redes!$C$1:$E$5,3,FALSE)</f>
        <v>3</v>
      </c>
      <c r="D406">
        <f>[1]LISTADO_OTS!C406</f>
        <v>1</v>
      </c>
      <c r="E406">
        <f>[1]LISTADO_OTS!D406</f>
        <v>0</v>
      </c>
      <c r="F406">
        <f>[1]LISTADO_OTS!Q406</f>
        <v>1</v>
      </c>
      <c r="G406">
        <f>[1]LISTADO_OTS!R406</f>
        <v>1</v>
      </c>
      <c r="H406" t="str">
        <f>[1]LISTADO_OTS!H406</f>
        <v>Fuga en Erbi</v>
      </c>
      <c r="I406" t="str">
        <f>[1]LISTADO_OTS!I406</f>
        <v>Fuga en Erbi</v>
      </c>
      <c r="J406" s="1">
        <f>[1]LISTADO_OTS!F406</f>
        <v>45920</v>
      </c>
      <c r="K406" s="1">
        <f>[1]LISTADO_OTS!G406</f>
        <v>45920</v>
      </c>
      <c r="L406">
        <f>[1]LISTADO_OTS!M406</f>
        <v>0</v>
      </c>
      <c r="M406">
        <f>[1]LISTADO_OTS!N406</f>
        <v>0</v>
      </c>
      <c r="U406" t="b">
        <f>[1]LISTADO_OTS!O406</f>
        <v>1</v>
      </c>
      <c r="V406" t="str">
        <f>[1]LISTADO_OTS!J406</f>
        <v>Erbi</v>
      </c>
      <c r="W406">
        <f>[1]LISTADO_OTS!R406</f>
        <v>1</v>
      </c>
      <c r="X406">
        <f>[1]LISTADO_OTS!P406</f>
        <v>0</v>
      </c>
      <c r="Y406">
        <v>1</v>
      </c>
      <c r="Z406">
        <f>[1]LISTADO_OTS!S406</f>
        <v>1</v>
      </c>
    </row>
    <row r="407" spans="1:26" x14ac:dyDescent="0.4">
      <c r="A407">
        <v>406</v>
      </c>
      <c r="B407" t="str">
        <f>[1]LISTADO_OTS!E407</f>
        <v>OT/0322</v>
      </c>
      <c r="C407">
        <f>VLOOKUP([1]LISTADO_OTS!B407,[1]Redes!$C$1:$E$5,3,FALSE)</f>
        <v>3</v>
      </c>
      <c r="D407">
        <f>[1]LISTADO_OTS!C407</f>
        <v>1</v>
      </c>
      <c r="E407">
        <f>[1]LISTADO_OTS!D407</f>
        <v>0</v>
      </c>
      <c r="F407">
        <f>[1]LISTADO_OTS!Q407</f>
        <v>5</v>
      </c>
      <c r="G407">
        <f>[1]LISTADO_OTS!R407</f>
        <v>5</v>
      </c>
      <c r="H407" t="str">
        <f>[1]LISTADO_OTS!H407</f>
        <v>Abonado sin agua en Estabillo</v>
      </c>
      <c r="I407" t="str">
        <f>[1]LISTADO_OTS!I407</f>
        <v>Abonado sin agua en Estabillo</v>
      </c>
      <c r="J407" s="1">
        <f>[1]LISTADO_OTS!F407</f>
        <v>45920</v>
      </c>
      <c r="K407" s="1">
        <f>[1]LISTADO_OTS!G407</f>
        <v>45920</v>
      </c>
      <c r="L407">
        <f>[1]LISTADO_OTS!M407</f>
        <v>0</v>
      </c>
      <c r="M407">
        <f>[1]LISTADO_OTS!N407</f>
        <v>0</v>
      </c>
      <c r="U407" t="b">
        <f>[1]LISTADO_OTS!O407</f>
        <v>1</v>
      </c>
      <c r="V407" t="str">
        <f>[1]LISTADO_OTS!J407</f>
        <v>Estabillo</v>
      </c>
      <c r="W407">
        <f>[1]LISTADO_OTS!R407</f>
        <v>5</v>
      </c>
      <c r="X407">
        <f>[1]LISTADO_OTS!P407</f>
        <v>0</v>
      </c>
      <c r="Y407">
        <v>1</v>
      </c>
      <c r="Z407">
        <f>[1]LISTADO_OTS!S407</f>
        <v>3</v>
      </c>
    </row>
    <row r="408" spans="1:26" x14ac:dyDescent="0.4">
      <c r="A408">
        <v>407</v>
      </c>
      <c r="B408" t="str">
        <f>[1]LISTADO_OTS!E408</f>
        <v>OT/0323</v>
      </c>
      <c r="C408">
        <f>VLOOKUP([1]LISTADO_OTS!B408,[1]Redes!$C$1:$E$5,3,FALSE)</f>
        <v>5</v>
      </c>
      <c r="D408">
        <f>[1]LISTADO_OTS!C408</f>
        <v>1</v>
      </c>
      <c r="E408">
        <f>[1]LISTADO_OTS!D408</f>
        <v>0</v>
      </c>
      <c r="F408">
        <f>[1]LISTADO_OTS!Q408</f>
        <v>3</v>
      </c>
      <c r="G408">
        <f>[1]LISTADO_OTS!R408</f>
        <v>21</v>
      </c>
      <c r="H408" t="str">
        <f>[1]LISTADO_OTS!H408</f>
        <v>Atasco en Alegria C/Larrainza</v>
      </c>
      <c r="I408" t="str">
        <f>[1]LISTADO_OTS!I408</f>
        <v>Atasco en Alegria C/Larrainza</v>
      </c>
      <c r="J408" s="1">
        <f>[1]LISTADO_OTS!F408</f>
        <v>45920</v>
      </c>
      <c r="K408" s="1">
        <f>[1]LISTADO_OTS!G408</f>
        <v>45920</v>
      </c>
      <c r="L408">
        <f>[1]LISTADO_OTS!M408</f>
        <v>0</v>
      </c>
      <c r="M408">
        <f>[1]LISTADO_OTS!N408</f>
        <v>0</v>
      </c>
      <c r="U408" t="b">
        <f>[1]LISTADO_OTS!O408</f>
        <v>1</v>
      </c>
      <c r="V408" t="str">
        <f>[1]LISTADO_OTS!J408</f>
        <v>Alegría</v>
      </c>
      <c r="W408">
        <f>[1]LISTADO_OTS!R408</f>
        <v>21</v>
      </c>
      <c r="X408">
        <f>[1]LISTADO_OTS!P408</f>
        <v>0</v>
      </c>
      <c r="Y408">
        <v>1</v>
      </c>
      <c r="Z408">
        <f>[1]LISTADO_OTS!S408</f>
        <v>2</v>
      </c>
    </row>
    <row r="409" spans="1:26" x14ac:dyDescent="0.4">
      <c r="A409">
        <v>408</v>
      </c>
      <c r="B409" t="str">
        <f>[1]LISTADO_OTS!E409</f>
        <v>OT/0324</v>
      </c>
      <c r="C409">
        <f>VLOOKUP([1]LISTADO_OTS!B409,[1]Redes!$C$1:$E$5,3,FALSE)</f>
        <v>5</v>
      </c>
      <c r="D409">
        <f>[1]LISTADO_OTS!C409</f>
        <v>1</v>
      </c>
      <c r="E409">
        <f>[1]LISTADO_OTS!D409</f>
        <v>0</v>
      </c>
      <c r="F409">
        <f>[1]LISTADO_OTS!Q409</f>
        <v>1</v>
      </c>
      <c r="G409">
        <f>[1]LISTADO_OTS!R409</f>
        <v>2</v>
      </c>
      <c r="H409" t="str">
        <f>[1]LISTADO_OTS!H409</f>
        <v>Atasco en Artziniega (Calle Abajo)</v>
      </c>
      <c r="I409" t="str">
        <f>[1]LISTADO_OTS!I409</f>
        <v>Atasco en Artziniega (Calle Abajo)</v>
      </c>
      <c r="J409" s="1">
        <f>[1]LISTADO_OTS!F409</f>
        <v>45920</v>
      </c>
      <c r="K409" s="1">
        <f>[1]LISTADO_OTS!G409</f>
        <v>45920</v>
      </c>
      <c r="L409">
        <f>[1]LISTADO_OTS!M409</f>
        <v>0</v>
      </c>
      <c r="M409">
        <f>[1]LISTADO_OTS!N409</f>
        <v>0</v>
      </c>
      <c r="U409" t="b">
        <f>[1]LISTADO_OTS!O409</f>
        <v>1</v>
      </c>
      <c r="V409" t="str">
        <f>[1]LISTADO_OTS!J409</f>
        <v>Artziniega</v>
      </c>
      <c r="W409">
        <f>[1]LISTADO_OTS!R409</f>
        <v>2</v>
      </c>
      <c r="X409">
        <f>[1]LISTADO_OTS!P409</f>
        <v>0</v>
      </c>
      <c r="Y409">
        <v>1</v>
      </c>
      <c r="Z409">
        <f>[1]LISTADO_OTS!S409</f>
        <v>2</v>
      </c>
    </row>
    <row r="410" spans="1:26" x14ac:dyDescent="0.4">
      <c r="A410">
        <v>409</v>
      </c>
      <c r="B410" t="str">
        <f>[1]LISTADO_OTS!E410</f>
        <v>OT/0325</v>
      </c>
      <c r="C410">
        <f>VLOOKUP([1]LISTADO_OTS!B410,[1]Redes!$C$1:$E$5,3,FALSE)</f>
        <v>3</v>
      </c>
      <c r="D410">
        <f>[1]LISTADO_OTS!C410</f>
        <v>1</v>
      </c>
      <c r="E410">
        <f>[1]LISTADO_OTS!D410</f>
        <v>0</v>
      </c>
      <c r="F410">
        <f>[1]LISTADO_OTS!Q410</f>
        <v>1</v>
      </c>
      <c r="G410">
        <f>[1]LISTADO_OTS!R410</f>
        <v>1</v>
      </c>
      <c r="H410" t="str">
        <f>[1]LISTADO_OTS!H410</f>
        <v>Fuga en Murga</v>
      </c>
      <c r="I410" t="str">
        <f>[1]LISTADO_OTS!I410</f>
        <v>Fuga en Murga</v>
      </c>
      <c r="J410" s="1">
        <f>[1]LISTADO_OTS!F410</f>
        <v>45920</v>
      </c>
      <c r="K410" s="1">
        <f>[1]LISTADO_OTS!G410</f>
        <v>45920</v>
      </c>
      <c r="L410">
        <f>[1]LISTADO_OTS!M410</f>
        <v>0</v>
      </c>
      <c r="M410">
        <f>[1]LISTADO_OTS!N410</f>
        <v>0</v>
      </c>
      <c r="U410" t="b">
        <f>[1]LISTADO_OTS!O410</f>
        <v>1</v>
      </c>
      <c r="V410" t="str">
        <f>[1]LISTADO_OTS!J410</f>
        <v>Murga</v>
      </c>
      <c r="W410">
        <f>[1]LISTADO_OTS!R410</f>
        <v>1</v>
      </c>
      <c r="X410">
        <f>[1]LISTADO_OTS!P410</f>
        <v>0</v>
      </c>
      <c r="Y410">
        <v>1</v>
      </c>
      <c r="Z410">
        <f>[1]LISTADO_OTS!S410</f>
        <v>1</v>
      </c>
    </row>
    <row r="411" spans="1:26" x14ac:dyDescent="0.4">
      <c r="A411">
        <v>410</v>
      </c>
      <c r="B411" t="str">
        <f>[1]LISTADO_OTS!E411</f>
        <v>OT/0326</v>
      </c>
      <c r="C411">
        <f>VLOOKUP([1]LISTADO_OTS!B411,[1]Redes!$C$1:$E$5,3,FALSE)</f>
        <v>3</v>
      </c>
      <c r="D411">
        <f>[1]LISTADO_OTS!C411</f>
        <v>1</v>
      </c>
      <c r="E411">
        <f>[1]LISTADO_OTS!D411</f>
        <v>0</v>
      </c>
      <c r="F411">
        <f>[1]LISTADO_OTS!Q411</f>
        <v>6</v>
      </c>
      <c r="G411">
        <f>[1]LISTADO_OTS!R411</f>
        <v>6</v>
      </c>
      <c r="H411" t="str">
        <f>[1]LISTADO_OTS!H411</f>
        <v>Fuga en Quintana</v>
      </c>
      <c r="I411" t="str">
        <f>[1]LISTADO_OTS!I411</f>
        <v>Fuga en Quintana</v>
      </c>
      <c r="J411" s="1">
        <f>[1]LISTADO_OTS!F411</f>
        <v>45921</v>
      </c>
      <c r="K411" s="1">
        <f>[1]LISTADO_OTS!G411</f>
        <v>45921</v>
      </c>
      <c r="L411">
        <f>[1]LISTADO_OTS!M411</f>
        <v>0</v>
      </c>
      <c r="M411">
        <f>[1]LISTADO_OTS!N411</f>
        <v>0</v>
      </c>
      <c r="U411" t="b">
        <f>[1]LISTADO_OTS!O411</f>
        <v>1</v>
      </c>
      <c r="V411" t="str">
        <f>[1]LISTADO_OTS!J411</f>
        <v>Quintana</v>
      </c>
      <c r="W411">
        <f>[1]LISTADO_OTS!R411</f>
        <v>6</v>
      </c>
      <c r="X411">
        <f>[1]LISTADO_OTS!P411</f>
        <v>0</v>
      </c>
      <c r="Y411">
        <v>1</v>
      </c>
      <c r="Z411">
        <f>[1]LISTADO_OTS!S411</f>
        <v>1</v>
      </c>
    </row>
    <row r="412" spans="1:26" x14ac:dyDescent="0.4">
      <c r="A412">
        <v>411</v>
      </c>
      <c r="B412" t="str">
        <f>[1]LISTADO_OTS!E412</f>
        <v>OT/0327</v>
      </c>
      <c r="C412">
        <f>VLOOKUP([1]LISTADO_OTS!B412,[1]Redes!$C$1:$E$5,3,FALSE)</f>
        <v>5</v>
      </c>
      <c r="D412">
        <f>[1]LISTADO_OTS!C412</f>
        <v>1</v>
      </c>
      <c r="E412">
        <f>[1]LISTADO_OTS!D412</f>
        <v>0</v>
      </c>
      <c r="F412">
        <f>[1]LISTADO_OTS!Q412</f>
        <v>1</v>
      </c>
      <c r="G412">
        <f>[1]LISTADO_OTS!R412</f>
        <v>1</v>
      </c>
      <c r="H412" t="str">
        <f>[1]LISTADO_OTS!H412</f>
        <v>Atasco en Goikolarra(Amurrio)</v>
      </c>
      <c r="I412" t="str">
        <f>[1]LISTADO_OTS!I412</f>
        <v>Atasco en Goikolarra(Amurrio)</v>
      </c>
      <c r="J412" s="1">
        <f>[1]LISTADO_OTS!F412</f>
        <v>45921</v>
      </c>
      <c r="K412" s="1">
        <f>[1]LISTADO_OTS!G412</f>
        <v>45921</v>
      </c>
      <c r="L412">
        <f>[1]LISTADO_OTS!M412</f>
        <v>0</v>
      </c>
      <c r="M412">
        <f>[1]LISTADO_OTS!N412</f>
        <v>0</v>
      </c>
      <c r="U412" t="b">
        <f>[1]LISTADO_OTS!O412</f>
        <v>1</v>
      </c>
      <c r="V412" t="str">
        <f>[1]LISTADO_OTS!J412</f>
        <v>Amurrio</v>
      </c>
      <c r="W412">
        <f>[1]LISTADO_OTS!R412</f>
        <v>1</v>
      </c>
      <c r="X412">
        <f>[1]LISTADO_OTS!P412</f>
        <v>0</v>
      </c>
      <c r="Y412">
        <v>1</v>
      </c>
      <c r="Z412">
        <f>[1]LISTADO_OTS!S412</f>
        <v>2</v>
      </c>
    </row>
    <row r="413" spans="1:26" x14ac:dyDescent="0.4">
      <c r="A413">
        <v>412</v>
      </c>
      <c r="B413" t="str">
        <f>[1]LISTADO_OTS!E413</f>
        <v>TP/0181</v>
      </c>
      <c r="C413">
        <f>VLOOKUP([1]LISTADO_OTS!B413,[1]Redes!$C$1:$E$5,3,FALSE)</f>
        <v>3</v>
      </c>
      <c r="D413">
        <f>[1]LISTADO_OTS!C413</f>
        <v>2</v>
      </c>
      <c r="E413">
        <f>[1]LISTADO_OTS!D413</f>
        <v>8</v>
      </c>
      <c r="F413">
        <f>[1]LISTADO_OTS!Q413</f>
        <v>1</v>
      </c>
      <c r="G413">
        <f>[1]LISTADO_OTS!R413</f>
        <v>1</v>
      </c>
      <c r="H413" t="str">
        <f>[1]LISTADO_OTS!H413</f>
        <v>Instalación de contadores Plaza de Abastos (Llodio)</v>
      </c>
      <c r="I413" t="str">
        <f>[1]LISTADO_OTS!I413</f>
        <v>Instalación de contadores Plaza de Abastos (Llodio)</v>
      </c>
      <c r="J413" s="1">
        <f>[1]LISTADO_OTS!F413</f>
        <v>45912</v>
      </c>
      <c r="K413" s="1">
        <f>[1]LISTADO_OTS!G413</f>
        <v>45912</v>
      </c>
      <c r="L413">
        <f>[1]LISTADO_OTS!M413</f>
        <v>0</v>
      </c>
      <c r="M413">
        <f>[1]LISTADO_OTS!N413</f>
        <v>0</v>
      </c>
      <c r="U413" t="b">
        <f>[1]LISTADO_OTS!O413</f>
        <v>1</v>
      </c>
      <c r="V413" t="str">
        <f>[1]LISTADO_OTS!J413</f>
        <v>Llodio</v>
      </c>
      <c r="W413">
        <f>[1]LISTADO_OTS!R413</f>
        <v>1</v>
      </c>
      <c r="X413">
        <f>[1]LISTADO_OTS!P413</f>
        <v>0</v>
      </c>
      <c r="Y413">
        <v>1</v>
      </c>
      <c r="Z413">
        <f>[1]LISTADO_OTS!S413</f>
        <v>0</v>
      </c>
    </row>
    <row r="414" spans="1:26" x14ac:dyDescent="0.4">
      <c r="A414">
        <v>413</v>
      </c>
      <c r="B414" t="str">
        <f>[1]LISTADO_OTS!E414</f>
        <v>OT/0328</v>
      </c>
      <c r="C414">
        <f>VLOOKUP([1]LISTADO_OTS!B414,[1]Redes!$C$1:$E$5,3,FALSE)</f>
        <v>3</v>
      </c>
      <c r="D414">
        <f>[1]LISTADO_OTS!C414</f>
        <v>1</v>
      </c>
      <c r="E414">
        <f>[1]LISTADO_OTS!D414</f>
        <v>0</v>
      </c>
      <c r="F414">
        <f>[1]LISTADO_OTS!Q414</f>
        <v>1</v>
      </c>
      <c r="G414">
        <f>[1]LISTADO_OTS!R414</f>
        <v>1</v>
      </c>
      <c r="H414" t="str">
        <f>[1]LISTADO_OTS!H414</f>
        <v>Reparaciones de Fuga en Ugarte (Llodio)</v>
      </c>
      <c r="I414" t="str">
        <f>[1]LISTADO_OTS!I414</f>
        <v>Reparaciones de Fuga en Ugarte (Llodio)</v>
      </c>
      <c r="J414" s="1">
        <f>[1]LISTADO_OTS!F414</f>
        <v>45921</v>
      </c>
      <c r="K414" s="1">
        <f>[1]LISTADO_OTS!G414</f>
        <v>45924</v>
      </c>
      <c r="L414">
        <f>[1]LISTADO_OTS!M414</f>
        <v>0</v>
      </c>
      <c r="M414">
        <f>[1]LISTADO_OTS!N414</f>
        <v>0</v>
      </c>
      <c r="U414" t="b">
        <f>[1]LISTADO_OTS!O414</f>
        <v>1</v>
      </c>
      <c r="V414" t="str">
        <f>[1]LISTADO_OTS!J414</f>
        <v>Llodio</v>
      </c>
      <c r="W414">
        <f>[1]LISTADO_OTS!R414</f>
        <v>1</v>
      </c>
      <c r="X414">
        <f>[1]LISTADO_OTS!P414</f>
        <v>0</v>
      </c>
      <c r="Y414">
        <v>1</v>
      </c>
      <c r="Z414">
        <f>[1]LISTADO_OTS!S414</f>
        <v>1</v>
      </c>
    </row>
    <row r="415" spans="1:26" x14ac:dyDescent="0.4">
      <c r="A415">
        <v>414</v>
      </c>
      <c r="B415" t="str">
        <f>[1]LISTADO_OTS!E415</f>
        <v>OT/0329</v>
      </c>
      <c r="C415">
        <f>VLOOKUP([1]LISTADO_OTS!B415,[1]Redes!$C$1:$E$5,3,FALSE)</f>
        <v>3</v>
      </c>
      <c r="D415">
        <f>[1]LISTADO_OTS!C415</f>
        <v>1</v>
      </c>
      <c r="E415">
        <f>[1]LISTADO_OTS!D415</f>
        <v>0</v>
      </c>
      <c r="F415">
        <f>[1]LISTADO_OTS!Q415</f>
        <v>1</v>
      </c>
      <c r="G415">
        <f>[1]LISTADO_OTS!R415</f>
        <v>1</v>
      </c>
      <c r="H415" t="str">
        <f>[1]LISTADO_OTS!H415</f>
        <v>Reparación de fuga en Pozoportillo</v>
      </c>
      <c r="I415" t="str">
        <f>[1]LISTADO_OTS!I415</f>
        <v>Reparación de fuga en Pozoportillo</v>
      </c>
      <c r="J415" s="1">
        <f>[1]LISTADO_OTS!F415</f>
        <v>45919</v>
      </c>
      <c r="K415" s="1">
        <f>[1]LISTADO_OTS!G415</f>
        <v>45919</v>
      </c>
      <c r="L415">
        <f>[1]LISTADO_OTS!M415</f>
        <v>43.067357000000001</v>
      </c>
      <c r="M415">
        <f>[1]LISTADO_OTS!N415</f>
        <v>-3.0980099999999999</v>
      </c>
      <c r="U415" t="b">
        <f>[1]LISTADO_OTS!O415</f>
        <v>1</v>
      </c>
      <c r="V415" t="str">
        <f>[1]LISTADO_OTS!J415</f>
        <v>Pozoportillo-Ozeka</v>
      </c>
      <c r="W415">
        <f>[1]LISTADO_OTS!R415</f>
        <v>1</v>
      </c>
      <c r="X415">
        <f>[1]LISTADO_OTS!P415</f>
        <v>0</v>
      </c>
      <c r="Y415">
        <v>1</v>
      </c>
      <c r="Z415">
        <f>[1]LISTADO_OTS!S415</f>
        <v>1</v>
      </c>
    </row>
    <row r="416" spans="1:26" x14ac:dyDescent="0.4">
      <c r="A416">
        <v>415</v>
      </c>
      <c r="B416" t="str">
        <f>[1]LISTADO_OTS!E416</f>
        <v>TP/0182</v>
      </c>
      <c r="C416">
        <f>VLOOKUP([1]LISTADO_OTS!B416,[1]Redes!$C$1:$E$5,3,FALSE)</f>
        <v>3</v>
      </c>
      <c r="D416">
        <f>[1]LISTADO_OTS!C416</f>
        <v>2</v>
      </c>
      <c r="E416">
        <f>[1]LISTADO_OTS!D416</f>
        <v>8</v>
      </c>
      <c r="F416">
        <f>[1]LISTADO_OTS!Q416</f>
        <v>1</v>
      </c>
      <c r="G416">
        <f>[1]LISTADO_OTS!R416</f>
        <v>1</v>
      </c>
      <c r="H416" t="str">
        <f>[1]LISTADO_OTS!H416</f>
        <v>Instalación de contador en Luiando</v>
      </c>
      <c r="I416" t="str">
        <f>[1]LISTADO_OTS!I416</f>
        <v>Instalación de contador en Luiando</v>
      </c>
      <c r="J416" s="1">
        <f>[1]LISTADO_OTS!F416</f>
        <v>45919</v>
      </c>
      <c r="K416" s="1">
        <f>[1]LISTADO_OTS!G416</f>
        <v>45919</v>
      </c>
      <c r="L416">
        <f>[1]LISTADO_OTS!M416</f>
        <v>0</v>
      </c>
      <c r="M416">
        <f>[1]LISTADO_OTS!N416</f>
        <v>0</v>
      </c>
      <c r="U416" t="b">
        <f>[1]LISTADO_OTS!O416</f>
        <v>1</v>
      </c>
      <c r="V416" t="str">
        <f>[1]LISTADO_OTS!J416</f>
        <v>Luiando</v>
      </c>
      <c r="W416">
        <f>[1]LISTADO_OTS!R416</f>
        <v>1</v>
      </c>
      <c r="X416">
        <f>[1]LISTADO_OTS!P416</f>
        <v>0</v>
      </c>
      <c r="Y416">
        <v>1</v>
      </c>
      <c r="Z416">
        <f>[1]LISTADO_OTS!S416</f>
        <v>0</v>
      </c>
    </row>
    <row r="417" spans="1:26" x14ac:dyDescent="0.4">
      <c r="A417">
        <v>416</v>
      </c>
      <c r="B417" t="str">
        <f>[1]LISTADO_OTS!E417</f>
        <v>OT/0330</v>
      </c>
      <c r="C417">
        <f>VLOOKUP([1]LISTADO_OTS!B417,[1]Redes!$C$1:$E$5,3,FALSE)</f>
        <v>3</v>
      </c>
      <c r="D417">
        <f>[1]LISTADO_OTS!C417</f>
        <v>1</v>
      </c>
      <c r="E417">
        <f>[1]LISTADO_OTS!D417</f>
        <v>0</v>
      </c>
      <c r="F417">
        <f>[1]LISTADO_OTS!Q417</f>
        <v>1</v>
      </c>
      <c r="G417">
        <f>[1]LISTADO_OTS!R417</f>
        <v>1</v>
      </c>
      <c r="H417" t="str">
        <f>[1]LISTADO_OTS!H417</f>
        <v>Aviso poca presión en Zuaza</v>
      </c>
      <c r="I417" t="str">
        <f>[1]LISTADO_OTS!I417</f>
        <v>Aviso poca presión en Zuaza (Panaderia)(esta en mal estado)</v>
      </c>
      <c r="J417" s="1">
        <f>[1]LISTADO_OTS!F417</f>
        <v>45919</v>
      </c>
      <c r="K417" s="1">
        <f>[1]LISTADO_OTS!G417</f>
        <v>45925</v>
      </c>
      <c r="L417">
        <f>[1]LISTADO_OTS!M417</f>
        <v>0</v>
      </c>
      <c r="M417">
        <f>[1]LISTADO_OTS!N417</f>
        <v>0</v>
      </c>
      <c r="U417" t="b">
        <f>[1]LISTADO_OTS!O417</f>
        <v>1</v>
      </c>
      <c r="V417" t="str">
        <f>[1]LISTADO_OTS!J417</f>
        <v>Zuaza</v>
      </c>
      <c r="W417">
        <f>[1]LISTADO_OTS!R417</f>
        <v>1</v>
      </c>
      <c r="X417">
        <f>[1]LISTADO_OTS!P417</f>
        <v>0</v>
      </c>
      <c r="Y417">
        <v>1</v>
      </c>
      <c r="Z417">
        <f>[1]LISTADO_OTS!S417</f>
        <v>3</v>
      </c>
    </row>
    <row r="418" spans="1:26" x14ac:dyDescent="0.4">
      <c r="A418">
        <v>417</v>
      </c>
      <c r="B418" t="str">
        <f>[1]LISTADO_OTS!E418</f>
        <v>OT/0331</v>
      </c>
      <c r="C418">
        <f>VLOOKUP([1]LISTADO_OTS!B418,[1]Redes!$C$1:$E$5,3,FALSE)</f>
        <v>3</v>
      </c>
      <c r="D418">
        <f>[1]LISTADO_OTS!C418</f>
        <v>1</v>
      </c>
      <c r="E418">
        <f>[1]LISTADO_OTS!D418</f>
        <v>0</v>
      </c>
      <c r="F418">
        <f>[1]LISTADO_OTS!Q418</f>
        <v>1</v>
      </c>
      <c r="G418">
        <f>[1]LISTADO_OTS!R418</f>
        <v>1</v>
      </c>
      <c r="H418" t="str">
        <f>[1]LISTADO_OTS!H418</f>
        <v>Reparación de fuga en Murga 41</v>
      </c>
      <c r="I418" t="str">
        <f>[1]LISTADO_OTS!I418</f>
        <v>Reparación de fuga en Murga 41</v>
      </c>
      <c r="J418" s="1">
        <f>[1]LISTADO_OTS!F418</f>
        <v>45920</v>
      </c>
      <c r="K418" s="1">
        <f>[1]LISTADO_OTS!G418</f>
        <v>45920</v>
      </c>
      <c r="L418">
        <f>[1]LISTADO_OTS!M418</f>
        <v>0</v>
      </c>
      <c r="M418">
        <f>[1]LISTADO_OTS!N418</f>
        <v>0</v>
      </c>
      <c r="U418" t="b">
        <f>[1]LISTADO_OTS!O418</f>
        <v>1</v>
      </c>
      <c r="V418" t="str">
        <f>[1]LISTADO_OTS!J418</f>
        <v>Murga</v>
      </c>
      <c r="W418">
        <f>[1]LISTADO_OTS!R418</f>
        <v>1</v>
      </c>
      <c r="X418">
        <f>[1]LISTADO_OTS!P418</f>
        <v>0</v>
      </c>
      <c r="Y418">
        <v>1</v>
      </c>
      <c r="Z418">
        <f>[1]LISTADO_OTS!S418</f>
        <v>1</v>
      </c>
    </row>
    <row r="419" spans="1:26" x14ac:dyDescent="0.4">
      <c r="A419">
        <v>418</v>
      </c>
      <c r="B419" t="str">
        <f>[1]LISTADO_OTS!E419</f>
        <v>OT/0332</v>
      </c>
      <c r="C419">
        <f>VLOOKUP([1]LISTADO_OTS!B419,[1]Redes!$C$1:$E$5,3,FALSE)</f>
        <v>5</v>
      </c>
      <c r="D419">
        <f>[1]LISTADO_OTS!C419</f>
        <v>1</v>
      </c>
      <c r="E419">
        <f>[1]LISTADO_OTS!D419</f>
        <v>0</v>
      </c>
      <c r="F419">
        <f>[1]LISTADO_OTS!Q419</f>
        <v>3</v>
      </c>
      <c r="G419">
        <f>[1]LISTADO_OTS!R419</f>
        <v>21</v>
      </c>
      <c r="H419" t="str">
        <f>[1]LISTADO_OTS!H419</f>
        <v>Desatascar lineas de saneamiento en Alegria</v>
      </c>
      <c r="I419" t="str">
        <f>[1]LISTADO_OTS!I419</f>
        <v>Desatascar lineas de saneamiento en Alegria</v>
      </c>
      <c r="J419" s="1">
        <f>[1]LISTADO_OTS!F419</f>
        <v>45920</v>
      </c>
      <c r="K419" s="1">
        <f>[1]LISTADO_OTS!G419</f>
        <v>45920</v>
      </c>
      <c r="L419">
        <f>[1]LISTADO_OTS!M419</f>
        <v>0</v>
      </c>
      <c r="M419">
        <f>[1]LISTADO_OTS!N419</f>
        <v>0</v>
      </c>
      <c r="U419" t="b">
        <f>[1]LISTADO_OTS!O419</f>
        <v>1</v>
      </c>
      <c r="V419" t="str">
        <f>[1]LISTADO_OTS!J419</f>
        <v>Alegría</v>
      </c>
      <c r="W419">
        <f>[1]LISTADO_OTS!R419</f>
        <v>21</v>
      </c>
      <c r="X419">
        <f>[1]LISTADO_OTS!P419</f>
        <v>0</v>
      </c>
      <c r="Y419">
        <v>1</v>
      </c>
      <c r="Z419">
        <f>[1]LISTADO_OTS!S419</f>
        <v>2</v>
      </c>
    </row>
    <row r="420" spans="1:26" x14ac:dyDescent="0.4">
      <c r="A420">
        <v>419</v>
      </c>
      <c r="B420" t="str">
        <f>[1]LISTADO_OTS!E420</f>
        <v>TP/0183</v>
      </c>
      <c r="C420">
        <f>VLOOKUP([1]LISTADO_OTS!B420,[1]Redes!$C$1:$E$5,3,FALSE)</f>
        <v>2</v>
      </c>
      <c r="D420">
        <f>[1]LISTADO_OTS!C420</f>
        <v>2</v>
      </c>
      <c r="E420">
        <f>[1]LISTADO_OTS!D420</f>
        <v>3</v>
      </c>
      <c r="F420">
        <f>[1]LISTADO_OTS!Q420</f>
        <v>6</v>
      </c>
      <c r="G420">
        <f>[1]LISTADO_OTS!R420</f>
        <v>6</v>
      </c>
      <c r="H420" t="str">
        <f>[1]LISTADO_OTS!H420</f>
        <v>Mantenimiento de fosas sépticas en Antoñana</v>
      </c>
      <c r="I420" t="str">
        <f>[1]LISTADO_OTS!I420</f>
        <v>Mantenimiento de fosas sépticas en Antoñana</v>
      </c>
      <c r="J420" s="1">
        <f>[1]LISTADO_OTS!F420</f>
        <v>45922</v>
      </c>
      <c r="K420" s="1">
        <f>[1]LISTADO_OTS!G420</f>
        <v>45922</v>
      </c>
      <c r="L420">
        <f>[1]LISTADO_OTS!M420</f>
        <v>0</v>
      </c>
      <c r="M420">
        <f>[1]LISTADO_OTS!N420</f>
        <v>0</v>
      </c>
      <c r="U420" t="b">
        <f>[1]LISTADO_OTS!O420</f>
        <v>1</v>
      </c>
      <c r="V420" t="str">
        <f>[1]LISTADO_OTS!J420</f>
        <v>Antoñana</v>
      </c>
      <c r="W420">
        <f>[1]LISTADO_OTS!R420</f>
        <v>6</v>
      </c>
      <c r="X420">
        <f>[1]LISTADO_OTS!P420</f>
        <v>0</v>
      </c>
      <c r="Y420">
        <v>1</v>
      </c>
      <c r="Z420">
        <f>[1]LISTADO_OTS!S420</f>
        <v>0</v>
      </c>
    </row>
    <row r="421" spans="1:26" x14ac:dyDescent="0.4">
      <c r="A421">
        <v>420</v>
      </c>
      <c r="B421" t="str">
        <f>[1]LISTADO_OTS!E421</f>
        <v>OT/0333</v>
      </c>
      <c r="C421">
        <f>VLOOKUP([1]LISTADO_OTS!B421,[1]Redes!$C$1:$E$5,3,FALSE)</f>
        <v>3</v>
      </c>
      <c r="D421">
        <f>[1]LISTADO_OTS!C421</f>
        <v>1</v>
      </c>
      <c r="E421">
        <f>[1]LISTADO_OTS!D421</f>
        <v>0</v>
      </c>
      <c r="F421">
        <f>[1]LISTADO_OTS!Q421</f>
        <v>1</v>
      </c>
      <c r="G421">
        <f>[1]LISTADO_OTS!R421</f>
        <v>1</v>
      </c>
      <c r="H421" t="str">
        <f>[1]LISTADO_OTS!H421</f>
        <v>Aviso por fuga en Aldai n38 (Amurrio)</v>
      </c>
      <c r="I421" t="str">
        <f>[1]LISTADO_OTS!I421</f>
        <v>Aviso por fuga en Aldai n38 (Amurrio)</v>
      </c>
      <c r="J421" s="1">
        <f>[1]LISTADO_OTS!F421</f>
        <v>45922</v>
      </c>
      <c r="K421" s="1">
        <f>[1]LISTADO_OTS!G421</f>
        <v>45922</v>
      </c>
      <c r="L421">
        <f>[1]LISTADO_OTS!M421</f>
        <v>0</v>
      </c>
      <c r="M421">
        <f>[1]LISTADO_OTS!N421</f>
        <v>0</v>
      </c>
      <c r="U421" t="b">
        <f>[1]LISTADO_OTS!O421</f>
        <v>1</v>
      </c>
      <c r="V421" t="str">
        <f>[1]LISTADO_OTS!J421</f>
        <v>Amurrio</v>
      </c>
      <c r="W421">
        <f>[1]LISTADO_OTS!R421</f>
        <v>1</v>
      </c>
      <c r="X421">
        <f>[1]LISTADO_OTS!P421</f>
        <v>0</v>
      </c>
      <c r="Y421">
        <v>1</v>
      </c>
      <c r="Z421">
        <f>[1]LISTADO_OTS!S421</f>
        <v>1</v>
      </c>
    </row>
    <row r="422" spans="1:26" x14ac:dyDescent="0.4">
      <c r="A422">
        <v>421</v>
      </c>
      <c r="B422" t="str">
        <f>[1]LISTADO_OTS!E422</f>
        <v>OT/0334</v>
      </c>
      <c r="C422">
        <f>VLOOKUP([1]LISTADO_OTS!B422,[1]Redes!$C$1:$E$5,3,FALSE)</f>
        <v>5</v>
      </c>
      <c r="D422">
        <f>[1]LISTADO_OTS!C422</f>
        <v>1</v>
      </c>
      <c r="E422">
        <f>[1]LISTADO_OTS!D422</f>
        <v>0</v>
      </c>
      <c r="F422">
        <f>[1]LISTADO_OTS!Q422</f>
        <v>1</v>
      </c>
      <c r="G422">
        <f>[1]LISTADO_OTS!R422</f>
        <v>2</v>
      </c>
      <c r="H422" t="str">
        <f>[1]LISTADO_OTS!H422</f>
        <v>Reparación colector saneamiento Artziniega</v>
      </c>
      <c r="I422" t="str">
        <f>[1]LISTADO_OTS!I422</f>
        <v>Reparación colector saneamiento Artziniega</v>
      </c>
      <c r="J422" s="1">
        <f>[1]LISTADO_OTS!F422</f>
        <v>45923</v>
      </c>
      <c r="K422" s="1">
        <f>[1]LISTADO_OTS!G422</f>
        <v>45923</v>
      </c>
      <c r="L422">
        <f>[1]LISTADO_OTS!M422</f>
        <v>0</v>
      </c>
      <c r="M422">
        <f>[1]LISTADO_OTS!N422</f>
        <v>0</v>
      </c>
      <c r="U422" t="b">
        <f>[1]LISTADO_OTS!O422</f>
        <v>1</v>
      </c>
      <c r="V422" t="str">
        <f>[1]LISTADO_OTS!J422</f>
        <v>Artziniega</v>
      </c>
      <c r="W422">
        <f>[1]LISTADO_OTS!R422</f>
        <v>2</v>
      </c>
      <c r="X422">
        <f>[1]LISTADO_OTS!P422</f>
        <v>0</v>
      </c>
      <c r="Y422">
        <v>1</v>
      </c>
      <c r="Z422">
        <f>[1]LISTADO_OTS!S422</f>
        <v>3</v>
      </c>
    </row>
    <row r="423" spans="1:26" x14ac:dyDescent="0.4">
      <c r="A423">
        <v>422</v>
      </c>
      <c r="B423" t="str">
        <f>[1]LISTADO_OTS!E423</f>
        <v>OT/0335</v>
      </c>
      <c r="C423">
        <f>VLOOKUP([1]LISTADO_OTS!B423,[1]Redes!$C$1:$E$5,3,FALSE)</f>
        <v>5</v>
      </c>
      <c r="D423">
        <f>[1]LISTADO_OTS!C423</f>
        <v>1</v>
      </c>
      <c r="E423">
        <f>[1]LISTADO_OTS!D423</f>
        <v>0</v>
      </c>
      <c r="F423">
        <f>[1]LISTADO_OTS!Q423</f>
        <v>1</v>
      </c>
      <c r="G423">
        <f>[1]LISTADO_OTS!R423</f>
        <v>4</v>
      </c>
      <c r="H423" t="str">
        <f>[1]LISTADO_OTS!H423</f>
        <v>Localización de fugas y revisión de arquetas de pluviales y saneamiento en Atxeta</v>
      </c>
      <c r="I423" t="str">
        <f>[1]LISTADO_OTS!I423</f>
        <v>Localización de fugas y revisión de arquetas de pluviales y saneamiento en Atxeta</v>
      </c>
      <c r="J423" s="1">
        <f>[1]LISTADO_OTS!F423</f>
        <v>45923</v>
      </c>
      <c r="K423" s="1">
        <f>[1]LISTADO_OTS!G423</f>
        <v>45923</v>
      </c>
      <c r="L423">
        <f>[1]LISTADO_OTS!M423</f>
        <v>0</v>
      </c>
      <c r="M423">
        <f>[1]LISTADO_OTS!N423</f>
        <v>0</v>
      </c>
      <c r="U423" t="b">
        <f>[1]LISTADO_OTS!O423</f>
        <v>1</v>
      </c>
      <c r="V423" t="str">
        <f>[1]LISTADO_OTS!J423</f>
        <v>Llodio</v>
      </c>
      <c r="W423">
        <f>[1]LISTADO_OTS!R423</f>
        <v>4</v>
      </c>
      <c r="X423">
        <f>[1]LISTADO_OTS!P423</f>
        <v>0</v>
      </c>
      <c r="Y423">
        <v>1</v>
      </c>
      <c r="Z423">
        <f>[1]LISTADO_OTS!S423</f>
        <v>1</v>
      </c>
    </row>
    <row r="424" spans="1:26" x14ac:dyDescent="0.4">
      <c r="A424">
        <v>423</v>
      </c>
      <c r="B424" t="str">
        <f>[1]LISTADO_OTS!E424</f>
        <v>OT/0336</v>
      </c>
      <c r="C424">
        <f>VLOOKUP([1]LISTADO_OTS!B424,[1]Redes!$C$1:$E$5,3,FALSE)</f>
        <v>5</v>
      </c>
      <c r="D424">
        <f>[1]LISTADO_OTS!C424</f>
        <v>1</v>
      </c>
      <c r="E424">
        <f>[1]LISTADO_OTS!D424</f>
        <v>0</v>
      </c>
      <c r="F424">
        <f>[1]LISTADO_OTS!Q424</f>
        <v>5</v>
      </c>
      <c r="G424">
        <f>[1]LISTADO_OTS!R424</f>
        <v>41</v>
      </c>
      <c r="H424" t="str">
        <f>[1]LISTADO_OTS!H424</f>
        <v>Reparación y desatasco colector pluviales en Ribabellosa</v>
      </c>
      <c r="I424" t="str">
        <f>[1]LISTADO_OTS!I424</f>
        <v>Reparación y desatasco colector pluviales en Ribabellosa</v>
      </c>
      <c r="J424" s="1">
        <f>[1]LISTADO_OTS!F424</f>
        <v>45923</v>
      </c>
      <c r="K424" s="1">
        <f>[1]LISTADO_OTS!G424</f>
        <v>45926</v>
      </c>
      <c r="L424">
        <f>[1]LISTADO_OTS!M424</f>
        <v>0</v>
      </c>
      <c r="M424">
        <f>[1]LISTADO_OTS!N424</f>
        <v>0</v>
      </c>
      <c r="U424" t="b">
        <f>[1]LISTADO_OTS!O424</f>
        <v>1</v>
      </c>
      <c r="V424" t="str">
        <f>[1]LISTADO_OTS!J424</f>
        <v>Ribabellosa</v>
      </c>
      <c r="W424">
        <f>[1]LISTADO_OTS!R424</f>
        <v>41</v>
      </c>
      <c r="X424">
        <f>[1]LISTADO_OTS!P424</f>
        <v>0</v>
      </c>
      <c r="Y424">
        <v>1</v>
      </c>
      <c r="Z424">
        <f>[1]LISTADO_OTS!S424</f>
        <v>2</v>
      </c>
    </row>
    <row r="425" spans="1:26" x14ac:dyDescent="0.4">
      <c r="A425">
        <v>424</v>
      </c>
      <c r="B425" t="str">
        <f>[1]LISTADO_OTS!E425</f>
        <v>OT/0337</v>
      </c>
      <c r="C425">
        <f>VLOOKUP([1]LISTADO_OTS!B425,[1]Redes!$C$1:$E$5,3,FALSE)</f>
        <v>3</v>
      </c>
      <c r="D425">
        <f>[1]LISTADO_OTS!C425</f>
        <v>1</v>
      </c>
      <c r="E425">
        <f>[1]LISTADO_OTS!D425</f>
        <v>0</v>
      </c>
      <c r="F425">
        <f>[1]LISTADO_OTS!Q425</f>
        <v>1</v>
      </c>
      <c r="G425">
        <f>[1]LISTADO_OTS!R425</f>
        <v>1</v>
      </c>
      <c r="H425" t="str">
        <f>[1]LISTADO_OTS!H425</f>
        <v>Reparación y sustitución valvulas acometida C/Jose Matia (Llodio)</v>
      </c>
      <c r="I425" t="str">
        <f>[1]LISTADO_OTS!I425</f>
        <v>Reparación y sustitución valvulas acometida C/Jose Matia (Llodio)</v>
      </c>
      <c r="J425" s="1">
        <f>[1]LISTADO_OTS!F425</f>
        <v>45923</v>
      </c>
      <c r="K425" s="1">
        <f>[1]LISTADO_OTS!G425</f>
        <v>0</v>
      </c>
      <c r="L425">
        <f>[1]LISTADO_OTS!M425</f>
        <v>0</v>
      </c>
      <c r="M425">
        <f>[1]LISTADO_OTS!N425</f>
        <v>0</v>
      </c>
      <c r="U425" t="b">
        <f>[1]LISTADO_OTS!O425</f>
        <v>0</v>
      </c>
      <c r="V425" t="str">
        <f>[1]LISTADO_OTS!J425</f>
        <v>Llodio</v>
      </c>
      <c r="W425">
        <f>[1]LISTADO_OTS!R425</f>
        <v>1</v>
      </c>
      <c r="X425">
        <f>[1]LISTADO_OTS!P425</f>
        <v>0</v>
      </c>
      <c r="Y425">
        <v>1</v>
      </c>
      <c r="Z425">
        <f>[1]LISTADO_OTS!S425</f>
        <v>3</v>
      </c>
    </row>
    <row r="426" spans="1:26" x14ac:dyDescent="0.4">
      <c r="A426">
        <v>425</v>
      </c>
      <c r="B426" t="str">
        <f>[1]LISTADO_OTS!E426</f>
        <v>TP/0184</v>
      </c>
      <c r="C426">
        <f>VLOOKUP([1]LISTADO_OTS!B426,[1]Redes!$C$1:$E$5,3,FALSE)</f>
        <v>3</v>
      </c>
      <c r="D426">
        <f>[1]LISTADO_OTS!C426</f>
        <v>2</v>
      </c>
      <c r="E426">
        <f>[1]LISTADO_OTS!D426</f>
        <v>9</v>
      </c>
      <c r="F426">
        <f>[1]LISTADO_OTS!Q426</f>
        <v>5</v>
      </c>
      <c r="G426">
        <f>[1]LISTADO_OTS!R426</f>
        <v>5</v>
      </c>
      <c r="H426" t="str">
        <f>[1]LISTADO_OTS!H426</f>
        <v>Retirada de contador en Anucita</v>
      </c>
      <c r="I426" t="str">
        <f>[1]LISTADO_OTS!I426</f>
        <v>Retirada de contador en Anucita</v>
      </c>
      <c r="J426" s="1">
        <f>[1]LISTADO_OTS!F426</f>
        <v>45923</v>
      </c>
      <c r="K426" s="1">
        <f>[1]LISTADO_OTS!G426</f>
        <v>45923</v>
      </c>
      <c r="L426">
        <f>[1]LISTADO_OTS!M426</f>
        <v>0</v>
      </c>
      <c r="M426">
        <f>[1]LISTADO_OTS!N426</f>
        <v>0</v>
      </c>
      <c r="U426" t="b">
        <f>[1]LISTADO_OTS!O426</f>
        <v>1</v>
      </c>
      <c r="V426" t="str">
        <f>[1]LISTADO_OTS!J426</f>
        <v>Anucita</v>
      </c>
      <c r="W426">
        <f>[1]LISTADO_OTS!R426</f>
        <v>5</v>
      </c>
      <c r="X426">
        <f>[1]LISTADO_OTS!P426</f>
        <v>0</v>
      </c>
      <c r="Y426">
        <v>1</v>
      </c>
      <c r="Z426">
        <f>[1]LISTADO_OTS!S426</f>
        <v>0</v>
      </c>
    </row>
    <row r="427" spans="1:26" x14ac:dyDescent="0.4">
      <c r="A427">
        <v>426</v>
      </c>
      <c r="B427" t="str">
        <f>[1]LISTADO_OTS!E427</f>
        <v>TP/0185</v>
      </c>
      <c r="C427">
        <f>VLOOKUP([1]LISTADO_OTS!B427,[1]Redes!$C$1:$E$5,3,FALSE)</f>
        <v>3</v>
      </c>
      <c r="D427">
        <f>[1]LISTADO_OTS!C427</f>
        <v>2</v>
      </c>
      <c r="E427">
        <f>[1]LISTADO_OTS!D427</f>
        <v>8</v>
      </c>
      <c r="F427">
        <f>[1]LISTADO_OTS!Q427</f>
        <v>6</v>
      </c>
      <c r="G427">
        <f>[1]LISTADO_OTS!R427</f>
        <v>6</v>
      </c>
      <c r="H427" t="str">
        <f>[1]LISTADO_OTS!H427</f>
        <v>Instalación contador en Oteo</v>
      </c>
      <c r="I427" t="str">
        <f>[1]LISTADO_OTS!I427</f>
        <v>Instalación contador en Oteo</v>
      </c>
      <c r="J427" s="1">
        <f>[1]LISTADO_OTS!F427</f>
        <v>45923</v>
      </c>
      <c r="K427" s="1">
        <f>[1]LISTADO_OTS!G427</f>
        <v>45923</v>
      </c>
      <c r="L427">
        <f>[1]LISTADO_OTS!M427</f>
        <v>0</v>
      </c>
      <c r="M427">
        <f>[1]LISTADO_OTS!N427</f>
        <v>0</v>
      </c>
      <c r="U427" t="b">
        <f>[1]LISTADO_OTS!O427</f>
        <v>1</v>
      </c>
      <c r="V427" t="str">
        <f>[1]LISTADO_OTS!J427</f>
        <v>Oteo</v>
      </c>
      <c r="W427">
        <f>[1]LISTADO_OTS!R427</f>
        <v>6</v>
      </c>
      <c r="X427">
        <f>[1]LISTADO_OTS!P427</f>
        <v>0</v>
      </c>
      <c r="Y427">
        <v>1</v>
      </c>
      <c r="Z427">
        <f>[1]LISTADO_OTS!S427</f>
        <v>0</v>
      </c>
    </row>
    <row r="428" spans="1:26" x14ac:dyDescent="0.4">
      <c r="A428">
        <v>427</v>
      </c>
      <c r="B428" t="str">
        <f>[1]LISTADO_OTS!E428</f>
        <v>OT/0338</v>
      </c>
      <c r="C428">
        <f>VLOOKUP([1]LISTADO_OTS!B428,[1]Redes!$C$1:$E$5,3,FALSE)</f>
        <v>5</v>
      </c>
      <c r="D428">
        <f>[1]LISTADO_OTS!C428</f>
        <v>1</v>
      </c>
      <c r="E428">
        <f>[1]LISTADO_OTS!D428</f>
        <v>0</v>
      </c>
      <c r="F428">
        <f>[1]LISTADO_OTS!Q428</f>
        <v>1</v>
      </c>
      <c r="G428">
        <f>[1]LISTADO_OTS!R428</f>
        <v>2</v>
      </c>
      <c r="H428" t="str">
        <f>[1]LISTADO_OTS!H428</f>
        <v>Reparación saneamiento Artziniega</v>
      </c>
      <c r="I428" t="str">
        <f>[1]LISTADO_OTS!I428</f>
        <v>Reparación saneamiento Artziniega</v>
      </c>
      <c r="J428" s="1">
        <f>[1]LISTADO_OTS!F428</f>
        <v>45924</v>
      </c>
      <c r="K428" s="1">
        <f>[1]LISTADO_OTS!G428</f>
        <v>0</v>
      </c>
      <c r="L428">
        <f>[1]LISTADO_OTS!M428</f>
        <v>0</v>
      </c>
      <c r="M428">
        <f>[1]LISTADO_OTS!N428</f>
        <v>0</v>
      </c>
      <c r="U428" t="b">
        <f>[1]LISTADO_OTS!O428</f>
        <v>0</v>
      </c>
      <c r="V428" t="str">
        <f>[1]LISTADO_OTS!J428</f>
        <v>Artziniega</v>
      </c>
      <c r="W428">
        <f>[1]LISTADO_OTS!R428</f>
        <v>2</v>
      </c>
      <c r="X428">
        <f>[1]LISTADO_OTS!P428</f>
        <v>0</v>
      </c>
      <c r="Y428">
        <v>1</v>
      </c>
      <c r="Z428">
        <f>[1]LISTADO_OTS!S428</f>
        <v>3</v>
      </c>
    </row>
    <row r="429" spans="1:26" x14ac:dyDescent="0.4">
      <c r="A429">
        <v>428</v>
      </c>
      <c r="B429" t="str">
        <f>[1]LISTADO_OTS!E429</f>
        <v>TP/0186</v>
      </c>
      <c r="C429">
        <f>VLOOKUP([1]LISTADO_OTS!B429,[1]Redes!$C$1:$E$5,3,FALSE)</f>
        <v>3</v>
      </c>
      <c r="D429">
        <f>[1]LISTADO_OTS!C429</f>
        <v>2</v>
      </c>
      <c r="E429">
        <f>[1]LISTADO_OTS!D429</f>
        <v>8</v>
      </c>
      <c r="F429">
        <f>[1]LISTADO_OTS!Q429</f>
        <v>1</v>
      </c>
      <c r="G429">
        <f>[1]LISTADO_OTS!R429</f>
        <v>1</v>
      </c>
      <c r="H429" t="str">
        <f>[1]LISTADO_OTS!H429</f>
        <v>Instalación contador C/Virgen del Carmen n35 (Llodio)</v>
      </c>
      <c r="I429" t="str">
        <f>[1]LISTADO_OTS!I429</f>
        <v>Instalación contador C/Virgen del Carmen n35 (Llodio)</v>
      </c>
      <c r="J429" s="1">
        <f>[1]LISTADO_OTS!F429</f>
        <v>45901</v>
      </c>
      <c r="K429" s="1">
        <f>[1]LISTADO_OTS!G429</f>
        <v>45901</v>
      </c>
      <c r="L429">
        <f>[1]LISTADO_OTS!M429</f>
        <v>0</v>
      </c>
      <c r="M429">
        <f>[1]LISTADO_OTS!N429</f>
        <v>0</v>
      </c>
      <c r="U429" t="b">
        <f>[1]LISTADO_OTS!O429</f>
        <v>1</v>
      </c>
      <c r="V429" t="str">
        <f>[1]LISTADO_OTS!J429</f>
        <v>Llodio</v>
      </c>
      <c r="W429">
        <f>[1]LISTADO_OTS!R429</f>
        <v>1</v>
      </c>
      <c r="X429">
        <f>[1]LISTADO_OTS!P429</f>
        <v>0</v>
      </c>
      <c r="Y429">
        <v>1</v>
      </c>
      <c r="Z429">
        <f>[1]LISTADO_OTS!S429</f>
        <v>0</v>
      </c>
    </row>
    <row r="430" spans="1:26" x14ac:dyDescent="0.4">
      <c r="A430">
        <v>429</v>
      </c>
      <c r="B430" t="str">
        <f>[1]LISTADO_OTS!E430</f>
        <v>OT/0339</v>
      </c>
      <c r="C430">
        <f>VLOOKUP([1]LISTADO_OTS!B430,[1]Redes!$C$1:$E$5,3,FALSE)</f>
        <v>3</v>
      </c>
      <c r="D430">
        <f>[1]LISTADO_OTS!C430</f>
        <v>1</v>
      </c>
      <c r="E430">
        <f>[1]LISTADO_OTS!D430</f>
        <v>0</v>
      </c>
      <c r="F430">
        <f>[1]LISTADO_OTS!Q430</f>
        <v>1</v>
      </c>
      <c r="G430">
        <f>[1]LISTADO_OTS!R430</f>
        <v>1</v>
      </c>
      <c r="H430" t="str">
        <f>[1]LISTADO_OTS!H430</f>
        <v>Restablecer sector centro norte (Llodio)</v>
      </c>
      <c r="I430" t="str">
        <f>[1]LISTADO_OTS!I430</f>
        <v>Restablecer sector centro norte (Llodio)</v>
      </c>
      <c r="J430" s="1">
        <f>[1]LISTADO_OTS!F430</f>
        <v>45922</v>
      </c>
      <c r="K430" s="1">
        <f>[1]LISTADO_OTS!G430</f>
        <v>45922</v>
      </c>
      <c r="L430">
        <f>[1]LISTADO_OTS!M430</f>
        <v>0</v>
      </c>
      <c r="M430">
        <f>[1]LISTADO_OTS!N430</f>
        <v>0</v>
      </c>
      <c r="U430" t="b">
        <f>[1]LISTADO_OTS!O430</f>
        <v>1</v>
      </c>
      <c r="V430" t="str">
        <f>[1]LISTADO_OTS!J430</f>
        <v>Llodio</v>
      </c>
      <c r="W430">
        <f>[1]LISTADO_OTS!R430</f>
        <v>1</v>
      </c>
      <c r="X430">
        <f>[1]LISTADO_OTS!P430</f>
        <v>0</v>
      </c>
      <c r="Y430">
        <v>1</v>
      </c>
      <c r="Z430">
        <f>[1]LISTADO_OTS!S430</f>
        <v>3</v>
      </c>
    </row>
    <row r="431" spans="1:26" x14ac:dyDescent="0.4">
      <c r="A431">
        <v>430</v>
      </c>
      <c r="B431" t="str">
        <f>[1]LISTADO_OTS!E431</f>
        <v>OT/0340</v>
      </c>
      <c r="C431">
        <f>VLOOKUP([1]LISTADO_OTS!B431,[1]Redes!$C$1:$E$5,3,FALSE)</f>
        <v>3</v>
      </c>
      <c r="D431">
        <f>[1]LISTADO_OTS!C431</f>
        <v>1</v>
      </c>
      <c r="E431">
        <f>[1]LISTADO_OTS!D431</f>
        <v>0</v>
      </c>
      <c r="F431">
        <f>[1]LISTADO_OTS!Q431</f>
        <v>1</v>
      </c>
      <c r="G431">
        <f>[1]LISTADO_OTS!R431</f>
        <v>1</v>
      </c>
      <c r="H431" t="str">
        <f>[1]LISTADO_OTS!H431</f>
        <v>Restablecer sector Bañoleibar (Amurrio)</v>
      </c>
      <c r="I431" t="str">
        <f>[1]LISTADO_OTS!I431</f>
        <v>Restablecer sector Bañoleibar (Amurrio)</v>
      </c>
      <c r="J431" s="1">
        <f>[1]LISTADO_OTS!F431</f>
        <v>45922</v>
      </c>
      <c r="K431" s="1">
        <f>[1]LISTADO_OTS!G431</f>
        <v>45922</v>
      </c>
      <c r="L431">
        <f>[1]LISTADO_OTS!M431</f>
        <v>43.048881999999999</v>
      </c>
      <c r="M431">
        <f>[1]LISTADO_OTS!N431</f>
        <v>-2.9951479999999999</v>
      </c>
      <c r="U431" t="b">
        <f>[1]LISTADO_OTS!O431</f>
        <v>1</v>
      </c>
      <c r="V431" t="str">
        <f>[1]LISTADO_OTS!J431</f>
        <v>Amurrio</v>
      </c>
      <c r="W431">
        <f>[1]LISTADO_OTS!R431</f>
        <v>1</v>
      </c>
      <c r="X431">
        <f>[1]LISTADO_OTS!P431</f>
        <v>0</v>
      </c>
      <c r="Y431">
        <v>1</v>
      </c>
      <c r="Z431">
        <f>[1]LISTADO_OTS!S431</f>
        <v>3</v>
      </c>
    </row>
    <row r="432" spans="1:26" x14ac:dyDescent="0.4">
      <c r="A432">
        <v>431</v>
      </c>
      <c r="B432" t="str">
        <f>[1]LISTADO_OTS!E432</f>
        <v>TP/0187</v>
      </c>
      <c r="C432">
        <f>VLOOKUP([1]LISTADO_OTS!B432,[1]Redes!$C$1:$E$5,3,FALSE)</f>
        <v>3</v>
      </c>
      <c r="D432">
        <f>[1]LISTADO_OTS!C432</f>
        <v>2</v>
      </c>
      <c r="E432">
        <f>[1]LISTADO_OTS!D432</f>
        <v>13</v>
      </c>
      <c r="F432">
        <f>[1]LISTADO_OTS!Q432</f>
        <v>1</v>
      </c>
      <c r="G432">
        <f>[1]LISTADO_OTS!R432</f>
        <v>1</v>
      </c>
      <c r="H432" t="str">
        <f>[1]LISTADO_OTS!H432</f>
        <v>Asistencia a Urbide y Ayto Llodio obra Lamuza</v>
      </c>
      <c r="I432" t="str">
        <f>[1]LISTADO_OTS!I432</f>
        <v>Asistencia a Urbide y Ayto Llodio obra Lamuza</v>
      </c>
      <c r="J432" s="1">
        <f>[1]LISTADO_OTS!F432</f>
        <v>45923</v>
      </c>
      <c r="K432" s="1">
        <f>[1]LISTADO_OTS!G432</f>
        <v>45923</v>
      </c>
      <c r="L432">
        <f>[1]LISTADO_OTS!M432</f>
        <v>0</v>
      </c>
      <c r="M432">
        <f>[1]LISTADO_OTS!N432</f>
        <v>0</v>
      </c>
      <c r="U432" t="b">
        <f>[1]LISTADO_OTS!O432</f>
        <v>1</v>
      </c>
      <c r="V432" t="str">
        <f>[1]LISTADO_OTS!J432</f>
        <v>Llodio</v>
      </c>
      <c r="W432">
        <f>[1]LISTADO_OTS!R432</f>
        <v>1</v>
      </c>
      <c r="X432">
        <f>[1]LISTADO_OTS!P432</f>
        <v>0</v>
      </c>
      <c r="Y432">
        <v>1</v>
      </c>
      <c r="Z432">
        <f>[1]LISTADO_OTS!S432</f>
        <v>0</v>
      </c>
    </row>
    <row r="433" spans="1:26" x14ac:dyDescent="0.4">
      <c r="A433">
        <v>432</v>
      </c>
      <c r="B433" t="str">
        <f>[1]LISTADO_OTS!E433</f>
        <v>TP/0188</v>
      </c>
      <c r="C433">
        <f>VLOOKUP([1]LISTADO_OTS!B433,[1]Redes!$C$1:$E$5,3,FALSE)</f>
        <v>5</v>
      </c>
      <c r="D433">
        <f>[1]LISTADO_OTS!C433</f>
        <v>2</v>
      </c>
      <c r="E433">
        <f>[1]LISTADO_OTS!D433</f>
        <v>1</v>
      </c>
      <c r="F433">
        <f>[1]LISTADO_OTS!Q433</f>
        <v>3</v>
      </c>
      <c r="G433">
        <f>[1]LISTADO_OTS!R433</f>
        <v>21</v>
      </c>
      <c r="H433" t="str">
        <f>[1]LISTADO_OTS!H433</f>
        <v>Mantenimiento preventivo saneamiento Alegría</v>
      </c>
      <c r="I433" t="str">
        <f>[1]LISTADO_OTS!I433</f>
        <v>Mantenimiento preventivo saneamiento Alegría</v>
      </c>
      <c r="J433" s="1">
        <f>[1]LISTADO_OTS!F433</f>
        <v>45924</v>
      </c>
      <c r="K433" s="1">
        <f>[1]LISTADO_OTS!G433</f>
        <v>45924</v>
      </c>
      <c r="L433">
        <f>[1]LISTADO_OTS!M433</f>
        <v>0</v>
      </c>
      <c r="M433">
        <f>[1]LISTADO_OTS!N433</f>
        <v>0</v>
      </c>
      <c r="U433" t="b">
        <f>[1]LISTADO_OTS!O433</f>
        <v>1</v>
      </c>
      <c r="V433" t="str">
        <f>[1]LISTADO_OTS!J433</f>
        <v>Alegría</v>
      </c>
      <c r="W433">
        <f>[1]LISTADO_OTS!R433</f>
        <v>21</v>
      </c>
      <c r="X433">
        <f>[1]LISTADO_OTS!P433</f>
        <v>0</v>
      </c>
      <c r="Y433">
        <v>1</v>
      </c>
      <c r="Z433">
        <f>[1]LISTADO_OTS!S433</f>
        <v>0</v>
      </c>
    </row>
    <row r="434" spans="1:26" x14ac:dyDescent="0.4">
      <c r="A434">
        <v>433</v>
      </c>
      <c r="B434" t="str">
        <f>[1]LISTADO_OTS!E434</f>
        <v>TP/0189</v>
      </c>
      <c r="C434">
        <f>VLOOKUP([1]LISTADO_OTS!B434,[1]Redes!$C$1:$E$5,3,FALSE)</f>
        <v>3</v>
      </c>
      <c r="D434">
        <f>[1]LISTADO_OTS!C434</f>
        <v>2</v>
      </c>
      <c r="E434">
        <f>[1]LISTADO_OTS!D434</f>
        <v>13</v>
      </c>
      <c r="F434">
        <f>[1]LISTADO_OTS!Q434</f>
        <v>1</v>
      </c>
      <c r="G434">
        <f>[1]LISTADO_OTS!R434</f>
        <v>1</v>
      </c>
      <c r="H434" t="str">
        <f>[1]LISTADO_OTS!H434</f>
        <v>Asistencia Técnica a Obra de Maroño</v>
      </c>
      <c r="I434" t="str">
        <f>[1]LISTADO_OTS!I434</f>
        <v>Asistencia Técnica a Obra de Maroño</v>
      </c>
      <c r="J434" s="1">
        <f>[1]LISTADO_OTS!F434</f>
        <v>45922</v>
      </c>
      <c r="K434" s="1">
        <f>[1]LISTADO_OTS!G434</f>
        <v>45922</v>
      </c>
      <c r="L434">
        <f>[1]LISTADO_OTS!M434</f>
        <v>0</v>
      </c>
      <c r="M434">
        <f>[1]LISTADO_OTS!N434</f>
        <v>0</v>
      </c>
      <c r="U434" t="b">
        <f>[1]LISTADO_OTS!O434</f>
        <v>1</v>
      </c>
      <c r="V434" t="str">
        <f>[1]LISTADO_OTS!J434</f>
        <v>Maroño</v>
      </c>
      <c r="W434">
        <f>[1]LISTADO_OTS!R434</f>
        <v>1</v>
      </c>
      <c r="X434">
        <f>[1]LISTADO_OTS!P434</f>
        <v>0</v>
      </c>
      <c r="Y434">
        <v>1</v>
      </c>
      <c r="Z434">
        <f>[1]LISTADO_OTS!S434</f>
        <v>0</v>
      </c>
    </row>
    <row r="435" spans="1:26" x14ac:dyDescent="0.4">
      <c r="A435">
        <v>434</v>
      </c>
      <c r="B435" t="str">
        <f>[1]LISTADO_OTS!E435</f>
        <v>OT/0341</v>
      </c>
      <c r="C435">
        <f>VLOOKUP([1]LISTADO_OTS!B435,[1]Redes!$C$1:$E$5,3,FALSE)</f>
        <v>3</v>
      </c>
      <c r="D435">
        <f>[1]LISTADO_OTS!C435</f>
        <v>1</v>
      </c>
      <c r="E435">
        <f>[1]LISTADO_OTS!D435</f>
        <v>0</v>
      </c>
      <c r="F435">
        <f>[1]LISTADO_OTS!Q435</f>
        <v>1</v>
      </c>
      <c r="G435">
        <f>[1]LISTADO_OTS!R435</f>
        <v>1</v>
      </c>
      <c r="H435" t="str">
        <f>[1]LISTADO_OTS!H435</f>
        <v>Reparación de fuga en Zuaza</v>
      </c>
      <c r="I435" t="str">
        <f>[1]LISTADO_OTS!I435</f>
        <v>Reparación de fuga en Zuaza</v>
      </c>
      <c r="J435" s="1">
        <f>[1]LISTADO_OTS!F435</f>
        <v>45924</v>
      </c>
      <c r="K435" s="1">
        <f>[1]LISTADO_OTS!G435</f>
        <v>45924</v>
      </c>
      <c r="L435">
        <f>[1]LISTADO_OTS!M435</f>
        <v>0</v>
      </c>
      <c r="M435">
        <f>[1]LISTADO_OTS!N435</f>
        <v>0</v>
      </c>
      <c r="U435" t="b">
        <f>[1]LISTADO_OTS!O435</f>
        <v>1</v>
      </c>
      <c r="V435" t="str">
        <f>[1]LISTADO_OTS!J435</f>
        <v>Zuaza</v>
      </c>
      <c r="W435">
        <f>[1]LISTADO_OTS!R435</f>
        <v>1</v>
      </c>
      <c r="X435">
        <f>[1]LISTADO_OTS!P435</f>
        <v>0</v>
      </c>
      <c r="Y435">
        <v>1</v>
      </c>
      <c r="Z435">
        <f>[1]LISTADO_OTS!S435</f>
        <v>1</v>
      </c>
    </row>
    <row r="436" spans="1:26" x14ac:dyDescent="0.4">
      <c r="A436">
        <v>435</v>
      </c>
      <c r="B436" t="str">
        <f>[1]LISTADO_OTS!E436</f>
        <v>OT/0342</v>
      </c>
      <c r="C436">
        <f>VLOOKUP([1]LISTADO_OTS!B436,[1]Redes!$C$1:$E$5,3,FALSE)</f>
        <v>5</v>
      </c>
      <c r="D436">
        <f>[1]LISTADO_OTS!C436</f>
        <v>1</v>
      </c>
      <c r="E436">
        <f>[1]LISTADO_OTS!D436</f>
        <v>0</v>
      </c>
      <c r="F436">
        <f>[1]LISTADO_OTS!Q436</f>
        <v>1</v>
      </c>
      <c r="G436">
        <f>[1]LISTADO_OTS!R436</f>
        <v>3</v>
      </c>
      <c r="H436" t="str">
        <f>[1]LISTADO_OTS!H436</f>
        <v>Desatasco de saneamiento en Luiando</v>
      </c>
      <c r="I436" t="str">
        <f>[1]LISTADO_OTS!I436</f>
        <v>Desatasco de saneamiento en Luiando</v>
      </c>
      <c r="J436" s="1">
        <f>[1]LISTADO_OTS!F436</f>
        <v>45926</v>
      </c>
      <c r="K436" s="1">
        <f>[1]LISTADO_OTS!G436</f>
        <v>45926</v>
      </c>
      <c r="L436">
        <f>[1]LISTADO_OTS!M436</f>
        <v>0</v>
      </c>
      <c r="M436">
        <f>[1]LISTADO_OTS!N436</f>
        <v>0</v>
      </c>
      <c r="U436" t="b">
        <f>[1]LISTADO_OTS!O436</f>
        <v>1</v>
      </c>
      <c r="V436" t="str">
        <f>[1]LISTADO_OTS!J436</f>
        <v>Luiando</v>
      </c>
      <c r="W436">
        <f>[1]LISTADO_OTS!R436</f>
        <v>3</v>
      </c>
      <c r="X436">
        <f>[1]LISTADO_OTS!P436</f>
        <v>0</v>
      </c>
      <c r="Y436">
        <v>1</v>
      </c>
      <c r="Z436">
        <f>[1]LISTADO_OTS!S436</f>
        <v>2</v>
      </c>
    </row>
    <row r="437" spans="1:26" x14ac:dyDescent="0.4">
      <c r="A437">
        <v>436</v>
      </c>
      <c r="B437" t="str">
        <f>[1]LISTADO_OTS!E437</f>
        <v>TP/0190</v>
      </c>
      <c r="C437">
        <f>VLOOKUP([1]LISTADO_OTS!B437,[1]Redes!$C$1:$E$5,3,FALSE)</f>
        <v>3</v>
      </c>
      <c r="D437">
        <f>[1]LISTADO_OTS!C437</f>
        <v>2</v>
      </c>
      <c r="E437">
        <f>[1]LISTADO_OTS!D437</f>
        <v>8</v>
      </c>
      <c r="F437">
        <f>[1]LISTADO_OTS!Q437</f>
        <v>1</v>
      </c>
      <c r="G437">
        <f>[1]LISTADO_OTS!R437</f>
        <v>1</v>
      </c>
      <c r="H437" t="str">
        <f>[1]LISTADO_OTS!H437</f>
        <v>Instalación contador en Anuncibai (Llodio)</v>
      </c>
      <c r="I437" t="str">
        <f>[1]LISTADO_OTS!I437</f>
        <v>Instalación contador en Anuncibai (Llodio)</v>
      </c>
      <c r="J437" s="1">
        <f>[1]LISTADO_OTS!F437</f>
        <v>45924</v>
      </c>
      <c r="K437" s="1">
        <f>[1]LISTADO_OTS!G437</f>
        <v>45924</v>
      </c>
      <c r="L437">
        <f>[1]LISTADO_OTS!M437</f>
        <v>0</v>
      </c>
      <c r="M437">
        <f>[1]LISTADO_OTS!N437</f>
        <v>0</v>
      </c>
      <c r="U437" t="b">
        <f>[1]LISTADO_OTS!O437</f>
        <v>1</v>
      </c>
      <c r="V437" t="str">
        <f>[1]LISTADO_OTS!J437</f>
        <v>Llodio</v>
      </c>
      <c r="W437">
        <f>[1]LISTADO_OTS!R437</f>
        <v>1</v>
      </c>
      <c r="X437">
        <f>[1]LISTADO_OTS!P437</f>
        <v>0</v>
      </c>
      <c r="Y437">
        <v>1</v>
      </c>
      <c r="Z437">
        <f>[1]LISTADO_OTS!S437</f>
        <v>0</v>
      </c>
    </row>
    <row r="438" spans="1:26" x14ac:dyDescent="0.4">
      <c r="A438">
        <v>437</v>
      </c>
      <c r="B438" t="str">
        <f>[1]LISTADO_OTS!E438</f>
        <v>TP/0191</v>
      </c>
      <c r="C438">
        <f>VLOOKUP([1]LISTADO_OTS!B438,[1]Redes!$C$1:$E$5,3,FALSE)</f>
        <v>3</v>
      </c>
      <c r="D438">
        <f>[1]LISTADO_OTS!C438</f>
        <v>2</v>
      </c>
      <c r="E438">
        <f>[1]LISTADO_OTS!D438</f>
        <v>10</v>
      </c>
      <c r="F438">
        <f>[1]LISTADO_OTS!Q438</f>
        <v>1</v>
      </c>
      <c r="G438">
        <f>[1]LISTADO_OTS!R438</f>
        <v>1</v>
      </c>
      <c r="H438" t="str">
        <f>[1]LISTADO_OTS!H438</f>
        <v>Sustitución de contadores en C/Avenida Gernica n6 (Artziniega)</v>
      </c>
      <c r="I438" t="str">
        <f>[1]LISTADO_OTS!I438</f>
        <v>Sustitución de contadores en C/Avenida Gernica n6 (Artziniega)</v>
      </c>
      <c r="J438" s="1">
        <f>[1]LISTADO_OTS!F438</f>
        <v>45924</v>
      </c>
      <c r="K438" s="1">
        <f>[1]LISTADO_OTS!G438</f>
        <v>45924</v>
      </c>
      <c r="L438">
        <f>[1]LISTADO_OTS!M438</f>
        <v>0</v>
      </c>
      <c r="M438">
        <f>[1]LISTADO_OTS!N438</f>
        <v>0</v>
      </c>
      <c r="U438" t="b">
        <f>[1]LISTADO_OTS!O438</f>
        <v>1</v>
      </c>
      <c r="V438" t="str">
        <f>[1]LISTADO_OTS!J438</f>
        <v>Artziniega</v>
      </c>
      <c r="W438">
        <f>[1]LISTADO_OTS!R438</f>
        <v>1</v>
      </c>
      <c r="X438">
        <f>[1]LISTADO_OTS!P438</f>
        <v>0</v>
      </c>
      <c r="Y438">
        <v>1</v>
      </c>
      <c r="Z438">
        <f>[1]LISTADO_OTS!S438</f>
        <v>0</v>
      </c>
    </row>
    <row r="439" spans="1:26" x14ac:dyDescent="0.4">
      <c r="A439">
        <v>438</v>
      </c>
      <c r="B439" t="str">
        <f>[1]LISTADO_OTS!E439</f>
        <v>TP/0192</v>
      </c>
      <c r="C439">
        <f>VLOOKUP([1]LISTADO_OTS!B439,[1]Redes!$C$1:$E$5,3,FALSE)</f>
        <v>3</v>
      </c>
      <c r="D439">
        <f>[1]LISTADO_OTS!C439</f>
        <v>2</v>
      </c>
      <c r="E439">
        <f>[1]LISTADO_OTS!D439</f>
        <v>12</v>
      </c>
      <c r="F439">
        <f>[1]LISTADO_OTS!Q439</f>
        <v>1</v>
      </c>
      <c r="G439">
        <f>[1]LISTADO_OTS!R439</f>
        <v>1</v>
      </c>
      <c r="H439" t="str">
        <f>[1]LISTADO_OTS!H439</f>
        <v>Corte de agua.Colocación avisos en C/Zabaleko n8 (Amurrio)</v>
      </c>
      <c r="I439" t="str">
        <f>[1]LISTADO_OTS!I439</f>
        <v>Corte de agua.Colocación avisos en C/Zabaleko n8 (Amurrio)</v>
      </c>
      <c r="J439" s="1">
        <f>[1]LISTADO_OTS!F439</f>
        <v>45924</v>
      </c>
      <c r="K439" s="1">
        <f>[1]LISTADO_OTS!G439</f>
        <v>45924</v>
      </c>
      <c r="L439">
        <f>[1]LISTADO_OTS!M439</f>
        <v>0</v>
      </c>
      <c r="M439">
        <f>[1]LISTADO_OTS!N439</f>
        <v>0</v>
      </c>
      <c r="U439" t="b">
        <f>[1]LISTADO_OTS!O439</f>
        <v>1</v>
      </c>
      <c r="V439" t="str">
        <f>[1]LISTADO_OTS!J439</f>
        <v>Amurrio</v>
      </c>
      <c r="W439">
        <f>[1]LISTADO_OTS!R439</f>
        <v>1</v>
      </c>
      <c r="X439">
        <f>[1]LISTADO_OTS!P439</f>
        <v>0</v>
      </c>
      <c r="Y439">
        <v>1</v>
      </c>
      <c r="Z439">
        <f>[1]LISTADO_OTS!S439</f>
        <v>0</v>
      </c>
    </row>
    <row r="440" spans="1:26" x14ac:dyDescent="0.4">
      <c r="A440">
        <v>439</v>
      </c>
      <c r="B440" t="str">
        <f>[1]LISTADO_OTS!E440</f>
        <v>TP/0193</v>
      </c>
      <c r="C440">
        <f>VLOOKUP([1]LISTADO_OTS!B440,[1]Redes!$C$1:$E$5,3,FALSE)</f>
        <v>3</v>
      </c>
      <c r="D440">
        <f>[1]LISTADO_OTS!C440</f>
        <v>2</v>
      </c>
      <c r="E440">
        <f>[1]LISTADO_OTS!D440</f>
        <v>8</v>
      </c>
      <c r="F440">
        <f>[1]LISTADO_OTS!Q440</f>
        <v>6</v>
      </c>
      <c r="G440">
        <f>[1]LISTADO_OTS!R440</f>
        <v>6</v>
      </c>
      <c r="H440" t="str">
        <f>[1]LISTADO_OTS!H440</f>
        <v>Instalación contadores Oteo</v>
      </c>
      <c r="I440" t="str">
        <f>[1]LISTADO_OTS!I440</f>
        <v>Instalación contadores Oteo</v>
      </c>
      <c r="J440" s="1">
        <f>[1]LISTADO_OTS!F440</f>
        <v>45923</v>
      </c>
      <c r="K440" s="1">
        <f>[1]LISTADO_OTS!G440</f>
        <v>45923</v>
      </c>
      <c r="L440">
        <f>[1]LISTADO_OTS!M440</f>
        <v>0</v>
      </c>
      <c r="M440">
        <f>[1]LISTADO_OTS!N440</f>
        <v>0</v>
      </c>
      <c r="U440" t="b">
        <f>[1]LISTADO_OTS!O440</f>
        <v>1</v>
      </c>
      <c r="V440" t="str">
        <f>[1]LISTADO_OTS!J440</f>
        <v>Oteo</v>
      </c>
      <c r="W440">
        <f>[1]LISTADO_OTS!R440</f>
        <v>6</v>
      </c>
      <c r="X440">
        <f>[1]LISTADO_OTS!P440</f>
        <v>0</v>
      </c>
      <c r="Y440">
        <v>1</v>
      </c>
      <c r="Z440">
        <f>[1]LISTADO_OTS!S440</f>
        <v>0</v>
      </c>
    </row>
    <row r="441" spans="1:26" x14ac:dyDescent="0.4">
      <c r="A441">
        <v>440</v>
      </c>
      <c r="B441" t="str">
        <f>[1]LISTADO_OTS!E441</f>
        <v>TP/0194</v>
      </c>
      <c r="C441">
        <f>VLOOKUP([1]LISTADO_OTS!B441,[1]Redes!$C$1:$E$5,3,FALSE)</f>
        <v>3</v>
      </c>
      <c r="D441">
        <f>[1]LISTADO_OTS!C441</f>
        <v>2</v>
      </c>
      <c r="E441">
        <f>[1]LISTADO_OTS!D441</f>
        <v>7</v>
      </c>
      <c r="F441">
        <f>[1]LISTADO_OTS!Q441</f>
        <v>3</v>
      </c>
      <c r="G441">
        <f>[1]LISTADO_OTS!R441</f>
        <v>3</v>
      </c>
      <c r="H441" t="str">
        <f>[1]LISTADO_OTS!H441</f>
        <v>Localización de fugas en Agurain</v>
      </c>
      <c r="I441" t="str">
        <f>[1]LISTADO_OTS!I441</f>
        <v>Localización de fugas en Agurain</v>
      </c>
      <c r="J441" s="1">
        <f>[1]LISTADO_OTS!F441</f>
        <v>45923</v>
      </c>
      <c r="K441" s="1">
        <f>[1]LISTADO_OTS!G441</f>
        <v>45923</v>
      </c>
      <c r="L441">
        <f>[1]LISTADO_OTS!M441</f>
        <v>0</v>
      </c>
      <c r="M441">
        <f>[1]LISTADO_OTS!N441</f>
        <v>0</v>
      </c>
      <c r="U441" t="b">
        <f>[1]LISTADO_OTS!O441</f>
        <v>1</v>
      </c>
      <c r="V441" t="str">
        <f>[1]LISTADO_OTS!J441</f>
        <v>Agurain</v>
      </c>
      <c r="W441">
        <f>[1]LISTADO_OTS!R441</f>
        <v>3</v>
      </c>
      <c r="X441">
        <f>[1]LISTADO_OTS!P441</f>
        <v>0</v>
      </c>
      <c r="Y441">
        <v>1</v>
      </c>
      <c r="Z441">
        <f>[1]LISTADO_OTS!S441</f>
        <v>1</v>
      </c>
    </row>
    <row r="442" spans="1:26" x14ac:dyDescent="0.4">
      <c r="A442">
        <v>441</v>
      </c>
      <c r="B442" t="str">
        <f>[1]LISTADO_OTS!E442</f>
        <v>OT/0343</v>
      </c>
      <c r="C442">
        <f>VLOOKUP([1]LISTADO_OTS!B442,[1]Redes!$C$1:$E$5,3,FALSE)</f>
        <v>5</v>
      </c>
      <c r="D442">
        <f>[1]LISTADO_OTS!C442</f>
        <v>1</v>
      </c>
      <c r="E442">
        <f>[1]LISTADO_OTS!D442</f>
        <v>0</v>
      </c>
      <c r="F442">
        <f>[1]LISTADO_OTS!Q442</f>
        <v>3</v>
      </c>
      <c r="G442">
        <f>[1]LISTADO_OTS!R442</f>
        <v>26</v>
      </c>
      <c r="H442" t="str">
        <f>[1]LISTADO_OTS!H442</f>
        <v>Revisión de saneamiento por filtraciones en garajes en Agurain</v>
      </c>
      <c r="I442" t="str">
        <f>[1]LISTADO_OTS!I442</f>
        <v>Revisión de saneamiento por filtraciones en garajes en Agurain</v>
      </c>
      <c r="J442" s="1">
        <f>[1]LISTADO_OTS!F442</f>
        <v>45925</v>
      </c>
      <c r="K442" s="1">
        <f>[1]LISTADO_OTS!G442</f>
        <v>45925</v>
      </c>
      <c r="L442">
        <f>[1]LISTADO_OTS!M442</f>
        <v>0</v>
      </c>
      <c r="M442">
        <f>[1]LISTADO_OTS!N442</f>
        <v>0</v>
      </c>
      <c r="U442" t="b">
        <f>[1]LISTADO_OTS!O442</f>
        <v>1</v>
      </c>
      <c r="V442" t="str">
        <f>[1]LISTADO_OTS!J442</f>
        <v>Agurain</v>
      </c>
      <c r="W442">
        <f>[1]LISTADO_OTS!R442</f>
        <v>26</v>
      </c>
      <c r="X442">
        <f>[1]LISTADO_OTS!P442</f>
        <v>0</v>
      </c>
      <c r="Y442">
        <v>1</v>
      </c>
      <c r="Z442">
        <f>[1]LISTADO_OTS!S442</f>
        <v>1</v>
      </c>
    </row>
    <row r="443" spans="1:26" x14ac:dyDescent="0.4">
      <c r="A443">
        <v>442</v>
      </c>
      <c r="B443" t="str">
        <f>[1]LISTADO_OTS!E443</f>
        <v>TP/0195</v>
      </c>
      <c r="C443">
        <f>VLOOKUP([1]LISTADO_OTS!B443,[1]Redes!$C$1:$E$5,3,FALSE)</f>
        <v>5</v>
      </c>
      <c r="D443">
        <f>[1]LISTADO_OTS!C443</f>
        <v>2</v>
      </c>
      <c r="E443">
        <f>[1]LISTADO_OTS!D443</f>
        <v>1</v>
      </c>
      <c r="F443">
        <f>[1]LISTADO_OTS!Q443</f>
        <v>3</v>
      </c>
      <c r="G443">
        <f>[1]LISTADO_OTS!R443</f>
        <v>26</v>
      </c>
      <c r="H443" t="str">
        <f>[1]LISTADO_OTS!H443</f>
        <v>Localización de redes saneamiento en Agurain</v>
      </c>
      <c r="I443" t="str">
        <f>[1]LISTADO_OTS!I443</f>
        <v>Localización de redes saneamiento en Agurain</v>
      </c>
      <c r="J443" s="1">
        <f>[1]LISTADO_OTS!F443</f>
        <v>45915</v>
      </c>
      <c r="K443" s="1">
        <f>[1]LISTADO_OTS!G443</f>
        <v>45918</v>
      </c>
      <c r="L443">
        <f>[1]LISTADO_OTS!M443</f>
        <v>0</v>
      </c>
      <c r="M443">
        <f>[1]LISTADO_OTS!N443</f>
        <v>0</v>
      </c>
      <c r="U443" t="b">
        <f>[1]LISTADO_OTS!O443</f>
        <v>1</v>
      </c>
      <c r="V443" t="str">
        <f>[1]LISTADO_OTS!J443</f>
        <v>Agurain</v>
      </c>
      <c r="W443">
        <f>[1]LISTADO_OTS!R443</f>
        <v>26</v>
      </c>
      <c r="X443">
        <f>[1]LISTADO_OTS!P443</f>
        <v>0</v>
      </c>
      <c r="Y443">
        <v>1</v>
      </c>
      <c r="Z443">
        <f>[1]LISTADO_OTS!S443</f>
        <v>0</v>
      </c>
    </row>
    <row r="444" spans="1:26" x14ac:dyDescent="0.4">
      <c r="A444">
        <v>443</v>
      </c>
      <c r="B444" t="str">
        <f>[1]LISTADO_OTS!E444</f>
        <v>TP/0196</v>
      </c>
      <c r="C444">
        <f>VLOOKUP([1]LISTADO_OTS!B444,[1]Redes!$C$1:$E$5,3,FALSE)</f>
        <v>5</v>
      </c>
      <c r="D444">
        <f>[1]LISTADO_OTS!C444</f>
        <v>2</v>
      </c>
      <c r="E444">
        <f>[1]LISTADO_OTS!D444</f>
        <v>1</v>
      </c>
      <c r="F444">
        <f>[1]LISTADO_OTS!Q444</f>
        <v>5</v>
      </c>
      <c r="G444">
        <f>[1]LISTADO_OTS!R444</f>
        <v>41</v>
      </c>
      <c r="H444" t="str">
        <f>[1]LISTADO_OTS!H444</f>
        <v>Revisión de red saneamiento Ribabellosa</v>
      </c>
      <c r="I444" t="str">
        <f>[1]LISTADO_OTS!I444</f>
        <v>Revisión de red saneamiento Ribabellosa</v>
      </c>
      <c r="J444" s="1">
        <f>[1]LISTADO_OTS!F444</f>
        <v>45916</v>
      </c>
      <c r="K444" s="1">
        <f>[1]LISTADO_OTS!G444</f>
        <v>45916</v>
      </c>
      <c r="L444">
        <f>[1]LISTADO_OTS!M444</f>
        <v>0</v>
      </c>
      <c r="M444">
        <f>[1]LISTADO_OTS!N444</f>
        <v>0</v>
      </c>
      <c r="U444" t="b">
        <f>[1]LISTADO_OTS!O444</f>
        <v>1</v>
      </c>
      <c r="V444" t="str">
        <f>[1]LISTADO_OTS!J444</f>
        <v>Ribabellosa</v>
      </c>
      <c r="W444">
        <f>[1]LISTADO_OTS!R444</f>
        <v>41</v>
      </c>
      <c r="X444">
        <f>[1]LISTADO_OTS!P444</f>
        <v>0</v>
      </c>
      <c r="Y444">
        <v>1</v>
      </c>
      <c r="Z444">
        <f>[1]LISTADO_OTS!S444</f>
        <v>0</v>
      </c>
    </row>
    <row r="445" spans="1:26" x14ac:dyDescent="0.4">
      <c r="A445">
        <v>444</v>
      </c>
      <c r="B445" t="str">
        <f>[1]LISTADO_OTS!E445</f>
        <v>OT/0344</v>
      </c>
      <c r="C445">
        <f>VLOOKUP([1]LISTADO_OTS!B445,[1]Redes!$C$1:$E$5,3,FALSE)</f>
        <v>3</v>
      </c>
      <c r="D445">
        <f>[1]LISTADO_OTS!C445</f>
        <v>1</v>
      </c>
      <c r="E445">
        <f>[1]LISTADO_OTS!D445</f>
        <v>0</v>
      </c>
      <c r="F445">
        <f>[1]LISTADO_OTS!Q445</f>
        <v>1</v>
      </c>
      <c r="G445">
        <f>[1]LISTADO_OTS!R445</f>
        <v>1</v>
      </c>
      <c r="H445" t="str">
        <f>[1]LISTADO_OTS!H445</f>
        <v>Reparación de fuga en Murga</v>
      </c>
      <c r="I445" t="str">
        <f>[1]LISTADO_OTS!I445</f>
        <v>Reparación de fuga en Murga</v>
      </c>
      <c r="J445" s="1">
        <f>[1]LISTADO_OTS!F445</f>
        <v>45919</v>
      </c>
      <c r="K445" s="1">
        <f>[1]LISTADO_OTS!G445</f>
        <v>45922</v>
      </c>
      <c r="L445">
        <f>[1]LISTADO_OTS!M445</f>
        <v>0</v>
      </c>
      <c r="M445">
        <f>[1]LISTADO_OTS!N445</f>
        <v>0</v>
      </c>
      <c r="U445" t="b">
        <f>[1]LISTADO_OTS!O445</f>
        <v>1</v>
      </c>
      <c r="V445" t="str">
        <f>[1]LISTADO_OTS!J445</f>
        <v>Murga</v>
      </c>
      <c r="W445">
        <f>[1]LISTADO_OTS!R445</f>
        <v>1</v>
      </c>
      <c r="X445">
        <f>[1]LISTADO_OTS!P445</f>
        <v>0</v>
      </c>
      <c r="Y445">
        <v>1</v>
      </c>
      <c r="Z445">
        <f>[1]LISTADO_OTS!S445</f>
        <v>1</v>
      </c>
    </row>
    <row r="446" spans="1:26" x14ac:dyDescent="0.4">
      <c r="A446">
        <v>445</v>
      </c>
      <c r="B446" t="str">
        <f>[1]LISTADO_OTS!E446</f>
        <v>OT/0345</v>
      </c>
      <c r="C446">
        <f>VLOOKUP([1]LISTADO_OTS!B446,[1]Redes!$C$1:$E$5,3,FALSE)</f>
        <v>5</v>
      </c>
      <c r="D446">
        <f>[1]LISTADO_OTS!C446</f>
        <v>1</v>
      </c>
      <c r="E446">
        <f>[1]LISTADO_OTS!D446</f>
        <v>0</v>
      </c>
      <c r="F446">
        <f>[1]LISTADO_OTS!Q446</f>
        <v>6</v>
      </c>
      <c r="G446">
        <f>[1]LISTADO_OTS!R446</f>
        <v>48</v>
      </c>
      <c r="H446" t="str">
        <f>[1]LISTADO_OTS!H446</f>
        <v>Reparación de entrada a la fosa de Antoñana</v>
      </c>
      <c r="I446" t="str">
        <f>[1]LISTADO_OTS!I446</f>
        <v>Reparación de entrada a la fosa de Antoñana</v>
      </c>
      <c r="J446" s="1">
        <f>[1]LISTADO_OTS!F446</f>
        <v>45922</v>
      </c>
      <c r="K446" s="1">
        <f>[1]LISTADO_OTS!G446</f>
        <v>45925</v>
      </c>
      <c r="L446">
        <f>[1]LISTADO_OTS!M446</f>
        <v>42.694142999999997</v>
      </c>
      <c r="M446">
        <f>[1]LISTADO_OTS!N446</f>
        <v>-2.3979650000000001</v>
      </c>
      <c r="U446" t="b">
        <f>[1]LISTADO_OTS!O446</f>
        <v>1</v>
      </c>
      <c r="V446" t="str">
        <f>[1]LISTADO_OTS!J446</f>
        <v>Antoñana</v>
      </c>
      <c r="W446">
        <f>[1]LISTADO_OTS!R446</f>
        <v>48</v>
      </c>
      <c r="X446">
        <f>[1]LISTADO_OTS!P446</f>
        <v>0</v>
      </c>
      <c r="Y446">
        <v>1</v>
      </c>
      <c r="Z446">
        <f>[1]LISTADO_OTS!S446</f>
        <v>3</v>
      </c>
    </row>
    <row r="447" spans="1:26" x14ac:dyDescent="0.4">
      <c r="A447">
        <v>446</v>
      </c>
      <c r="B447" t="str">
        <f>[1]LISTADO_OTS!E447</f>
        <v>TP/0197</v>
      </c>
      <c r="C447">
        <f>VLOOKUP([1]LISTADO_OTS!B447,[1]Redes!$C$1:$E$5,3,FALSE)</f>
        <v>3</v>
      </c>
      <c r="D447">
        <f>[1]LISTADO_OTS!C447</f>
        <v>2</v>
      </c>
      <c r="E447">
        <f>[1]LISTADO_OTS!D447</f>
        <v>10</v>
      </c>
      <c r="F447">
        <f>[1]LISTADO_OTS!Q447</f>
        <v>5</v>
      </c>
      <c r="G447">
        <f>[1]LISTADO_OTS!R447</f>
        <v>5</v>
      </c>
      <c r="H447" t="str">
        <f>[1]LISTADO_OTS!H447</f>
        <v>Sustitución de contador en C/ molino en Berantevilla</v>
      </c>
      <c r="I447" t="str">
        <f>[1]LISTADO_OTS!I447</f>
        <v>Insatalación de contador en Berantevilla</v>
      </c>
      <c r="J447" s="1">
        <f>[1]LISTADO_OTS!F447</f>
        <v>45925</v>
      </c>
      <c r="K447" s="1">
        <f>[1]LISTADO_OTS!G447</f>
        <v>45925</v>
      </c>
      <c r="L447">
        <f>[1]LISTADO_OTS!M447</f>
        <v>0</v>
      </c>
      <c r="M447">
        <f>[1]LISTADO_OTS!N447</f>
        <v>0</v>
      </c>
      <c r="U447" t="b">
        <f>[1]LISTADO_OTS!O447</f>
        <v>1</v>
      </c>
      <c r="V447" t="str">
        <f>[1]LISTADO_OTS!J447</f>
        <v>Berantevilla</v>
      </c>
      <c r="W447">
        <f>[1]LISTADO_OTS!R447</f>
        <v>5</v>
      </c>
      <c r="X447">
        <f>[1]LISTADO_OTS!P447</f>
        <v>0</v>
      </c>
      <c r="Y447">
        <v>1</v>
      </c>
      <c r="Z447">
        <f>[1]LISTADO_OTS!S447</f>
        <v>0</v>
      </c>
    </row>
    <row r="448" spans="1:26" x14ac:dyDescent="0.4">
      <c r="A448">
        <v>447</v>
      </c>
      <c r="B448" t="str">
        <f>[1]LISTADO_OTS!E448</f>
        <v>OT/0346</v>
      </c>
      <c r="C448">
        <f>VLOOKUP([1]LISTADO_OTS!B448,[1]Redes!$C$1:$E$5,3,FALSE)</f>
        <v>3</v>
      </c>
      <c r="D448">
        <f>[1]LISTADO_OTS!C448</f>
        <v>1</v>
      </c>
      <c r="E448">
        <f>[1]LISTADO_OTS!D448</f>
        <v>0</v>
      </c>
      <c r="F448">
        <f>[1]LISTADO_OTS!Q448</f>
        <v>5</v>
      </c>
      <c r="G448">
        <f>[1]LISTADO_OTS!R448</f>
        <v>5</v>
      </c>
      <c r="H448" t="str">
        <f>[1]LISTADO_OTS!H448</f>
        <v>Reparación de fuga en Espejo</v>
      </c>
      <c r="I448" t="str">
        <f>[1]LISTADO_OTS!I448</f>
        <v>Reparación de fuga en Espejo</v>
      </c>
      <c r="J448" s="1">
        <f>[1]LISTADO_OTS!F448</f>
        <v>45925</v>
      </c>
      <c r="K448" s="1">
        <f>[1]LISTADO_OTS!G448</f>
        <v>45926</v>
      </c>
      <c r="L448">
        <f>[1]LISTADO_OTS!M448</f>
        <v>0</v>
      </c>
      <c r="M448">
        <f>[1]LISTADO_OTS!N448</f>
        <v>0</v>
      </c>
      <c r="U448" t="b">
        <f>[1]LISTADO_OTS!O448</f>
        <v>1</v>
      </c>
      <c r="V448" t="str">
        <f>[1]LISTADO_OTS!J448</f>
        <v>Espejo</v>
      </c>
      <c r="W448">
        <f>[1]LISTADO_OTS!R448</f>
        <v>5</v>
      </c>
      <c r="X448">
        <f>[1]LISTADO_OTS!P448</f>
        <v>0</v>
      </c>
      <c r="Y448">
        <v>1</v>
      </c>
      <c r="Z448">
        <f>[1]LISTADO_OTS!S448</f>
        <v>1</v>
      </c>
    </row>
    <row r="449" spans="1:26" x14ac:dyDescent="0.4">
      <c r="A449">
        <v>448</v>
      </c>
      <c r="B449" t="str">
        <f>[1]LISTADO_OTS!E449</f>
        <v>OT/0347</v>
      </c>
      <c r="C449">
        <f>VLOOKUP([1]LISTADO_OTS!B449,[1]Redes!$C$1:$E$5,3,FALSE)</f>
        <v>3</v>
      </c>
      <c r="D449">
        <f>[1]LISTADO_OTS!C449</f>
        <v>1</v>
      </c>
      <c r="E449">
        <f>[1]LISTADO_OTS!D449</f>
        <v>0</v>
      </c>
      <c r="F449">
        <f>[1]LISTADO_OTS!Q449</f>
        <v>1</v>
      </c>
      <c r="G449">
        <f>[1]LISTADO_OTS!R449</f>
        <v>1</v>
      </c>
      <c r="H449" t="str">
        <f>[1]LISTADO_OTS!H449</f>
        <v>Reparación de fuga en Erbi</v>
      </c>
      <c r="I449" t="str">
        <f>[1]LISTADO_OTS!I449</f>
        <v>Reparación de fuga en Erbi</v>
      </c>
      <c r="J449" s="1">
        <f>[1]LISTADO_OTS!F449</f>
        <v>45922</v>
      </c>
      <c r="K449" s="1">
        <f>[1]LISTADO_OTS!G449</f>
        <v>45925</v>
      </c>
      <c r="L449">
        <f>[1]LISTADO_OTS!M449</f>
        <v>0</v>
      </c>
      <c r="M449">
        <f>[1]LISTADO_OTS!N449</f>
        <v>0</v>
      </c>
      <c r="U449" t="b">
        <f>[1]LISTADO_OTS!O449</f>
        <v>1</v>
      </c>
      <c r="V449" t="str">
        <f>[1]LISTADO_OTS!J449</f>
        <v>Erbi</v>
      </c>
      <c r="W449">
        <f>[1]LISTADO_OTS!R449</f>
        <v>1</v>
      </c>
      <c r="X449">
        <f>[1]LISTADO_OTS!P449</f>
        <v>0</v>
      </c>
      <c r="Y449">
        <v>1</v>
      </c>
      <c r="Z449">
        <f>[1]LISTADO_OTS!S449</f>
        <v>1</v>
      </c>
    </row>
    <row r="450" spans="1:26" x14ac:dyDescent="0.4">
      <c r="A450">
        <v>449</v>
      </c>
      <c r="B450" t="str">
        <f>[1]LISTADO_OTS!E450</f>
        <v>TP/0198</v>
      </c>
      <c r="C450">
        <f>VLOOKUP([1]LISTADO_OTS!B450,[1]Redes!$C$1:$E$5,3,FALSE)</f>
        <v>5</v>
      </c>
      <c r="D450">
        <f>[1]LISTADO_OTS!C450</f>
        <v>2</v>
      </c>
      <c r="E450">
        <f>[1]LISTADO_OTS!D450</f>
        <v>1</v>
      </c>
      <c r="F450">
        <f>[1]LISTADO_OTS!Q450</f>
        <v>3</v>
      </c>
      <c r="G450">
        <f>[1]LISTADO_OTS!R450</f>
        <v>21</v>
      </c>
      <c r="H450" t="str">
        <f>[1]LISTADO_OTS!H450</f>
        <v>Limpieza de colector de pluviales en Alegría</v>
      </c>
      <c r="I450" t="str">
        <f>[1]LISTADO_OTS!I450</f>
        <v>Limpieza de colector de pluviales en Alegría</v>
      </c>
      <c r="J450" s="1">
        <f>[1]LISTADO_OTS!F450</f>
        <v>45925</v>
      </c>
      <c r="K450" s="1">
        <f>[1]LISTADO_OTS!G450</f>
        <v>45925</v>
      </c>
      <c r="L450">
        <f>[1]LISTADO_OTS!M450</f>
        <v>0</v>
      </c>
      <c r="M450">
        <f>[1]LISTADO_OTS!N450</f>
        <v>0</v>
      </c>
      <c r="U450" t="b">
        <f>[1]LISTADO_OTS!O450</f>
        <v>1</v>
      </c>
      <c r="V450" t="str">
        <f>[1]LISTADO_OTS!J450</f>
        <v>Alegría</v>
      </c>
      <c r="W450">
        <f>[1]LISTADO_OTS!R450</f>
        <v>21</v>
      </c>
      <c r="X450">
        <f>[1]LISTADO_OTS!P450</f>
        <v>0</v>
      </c>
      <c r="Y450">
        <v>1</v>
      </c>
      <c r="Z450">
        <f>[1]LISTADO_OTS!S450</f>
        <v>0</v>
      </c>
    </row>
    <row r="451" spans="1:26" x14ac:dyDescent="0.4">
      <c r="A451">
        <v>450</v>
      </c>
      <c r="B451" t="str">
        <f>[1]LISTADO_OTS!E451</f>
        <v>TP/0199</v>
      </c>
      <c r="C451">
        <f>VLOOKUP([1]LISTADO_OTS!B451,[1]Redes!$C$1:$E$5,3,FALSE)</f>
        <v>3</v>
      </c>
      <c r="D451">
        <f>[1]LISTADO_OTS!C451</f>
        <v>2</v>
      </c>
      <c r="E451">
        <f>[1]LISTADO_OTS!D451</f>
        <v>10</v>
      </c>
      <c r="F451">
        <f>[1]LISTADO_OTS!Q451</f>
        <v>5</v>
      </c>
      <c r="G451">
        <f>[1]LISTADO_OTS!R451</f>
        <v>5</v>
      </c>
      <c r="H451" t="str">
        <f>[1]LISTADO_OTS!H451</f>
        <v>Sustitución de contador en C/Rio Ayuda n47 en Berantevilla</v>
      </c>
      <c r="I451" t="str">
        <f>[1]LISTADO_OTS!I451</f>
        <v>Sustitución de contador en C/Rio Ayuda n47 en Berantevilla</v>
      </c>
      <c r="J451" s="1">
        <f>[1]LISTADO_OTS!F451</f>
        <v>45925</v>
      </c>
      <c r="K451" s="1">
        <f>[1]LISTADO_OTS!G451</f>
        <v>45925</v>
      </c>
      <c r="L451">
        <f>[1]LISTADO_OTS!M451</f>
        <v>0</v>
      </c>
      <c r="M451">
        <f>[1]LISTADO_OTS!N451</f>
        <v>0</v>
      </c>
      <c r="U451" t="b">
        <f>[1]LISTADO_OTS!O451</f>
        <v>1</v>
      </c>
      <c r="V451" t="str">
        <f>[1]LISTADO_OTS!J451</f>
        <v>Berantevilla</v>
      </c>
      <c r="W451">
        <f>[1]LISTADO_OTS!R451</f>
        <v>5</v>
      </c>
      <c r="X451">
        <f>[1]LISTADO_OTS!P451</f>
        <v>0</v>
      </c>
      <c r="Y451">
        <v>1</v>
      </c>
      <c r="Z451">
        <f>[1]LISTADO_OTS!S451</f>
        <v>0</v>
      </c>
    </row>
    <row r="452" spans="1:26" x14ac:dyDescent="0.4">
      <c r="A452">
        <v>451</v>
      </c>
      <c r="B452" t="str">
        <f>[1]LISTADO_OTS!E452</f>
        <v>TP/0200</v>
      </c>
      <c r="C452">
        <f>VLOOKUP([1]LISTADO_OTS!B452,[1]Redes!$C$1:$E$5,3,FALSE)</f>
        <v>3</v>
      </c>
      <c r="D452">
        <f>[1]LISTADO_OTS!C452</f>
        <v>2</v>
      </c>
      <c r="E452">
        <f>[1]LISTADO_OTS!D452</f>
        <v>10</v>
      </c>
      <c r="F452">
        <f>[1]LISTADO_OTS!Q452</f>
        <v>5</v>
      </c>
      <c r="G452">
        <f>[1]LISTADO_OTS!R452</f>
        <v>5</v>
      </c>
      <c r="H452" t="str">
        <f>[1]LISTADO_OTS!H452</f>
        <v>Sustitución de contador en C/La Venta n2 en Ribabellosa</v>
      </c>
      <c r="I452" t="str">
        <f>[1]LISTADO_OTS!I452</f>
        <v>Sustitución de contador en C/La Venta n2 en Ribabellosa</v>
      </c>
      <c r="J452" s="1">
        <f>[1]LISTADO_OTS!F452</f>
        <v>45925</v>
      </c>
      <c r="K452" s="1">
        <f>[1]LISTADO_OTS!G452</f>
        <v>45925</v>
      </c>
      <c r="L452">
        <f>[1]LISTADO_OTS!M452</f>
        <v>0</v>
      </c>
      <c r="M452">
        <f>[1]LISTADO_OTS!N452</f>
        <v>0</v>
      </c>
      <c r="U452" t="b">
        <f>[1]LISTADO_OTS!O452</f>
        <v>1</v>
      </c>
      <c r="V452" t="str">
        <f>[1]LISTADO_OTS!J452</f>
        <v>Ribabellosa</v>
      </c>
      <c r="W452">
        <f>[1]LISTADO_OTS!R452</f>
        <v>5</v>
      </c>
      <c r="X452">
        <f>[1]LISTADO_OTS!P452</f>
        <v>0</v>
      </c>
      <c r="Y452">
        <v>1</v>
      </c>
      <c r="Z452">
        <f>[1]LISTADO_OTS!S452</f>
        <v>0</v>
      </c>
    </row>
    <row r="453" spans="1:26" x14ac:dyDescent="0.4">
      <c r="A453">
        <v>452</v>
      </c>
      <c r="B453" t="str">
        <f>[1]LISTADO_OTS!E453</f>
        <v>TP/0201</v>
      </c>
      <c r="C453">
        <f>VLOOKUP([1]LISTADO_OTS!B453,[1]Redes!$C$1:$E$5,3,FALSE)</f>
        <v>3</v>
      </c>
      <c r="D453">
        <f>[1]LISTADO_OTS!C453</f>
        <v>2</v>
      </c>
      <c r="E453">
        <f>[1]LISTADO_OTS!D453</f>
        <v>7</v>
      </c>
      <c r="F453">
        <f>[1]LISTADO_OTS!Q453</f>
        <v>3</v>
      </c>
      <c r="G453">
        <f>[1]LISTADO_OTS!R453</f>
        <v>3</v>
      </c>
      <c r="H453" t="str">
        <f>[1]LISTADO_OTS!H453</f>
        <v>Localización de fugas en abastecimiento en Agurain</v>
      </c>
      <c r="I453" t="str">
        <f>[1]LISTADO_OTS!I453</f>
        <v>Localización de fugas en abastecimiento en Agurain</v>
      </c>
      <c r="J453" s="1">
        <f>[1]LISTADO_OTS!F453</f>
        <v>45925</v>
      </c>
      <c r="K453" s="1">
        <f>[1]LISTADO_OTS!G453</f>
        <v>45925</v>
      </c>
      <c r="L453">
        <f>[1]LISTADO_OTS!M453</f>
        <v>0</v>
      </c>
      <c r="M453">
        <f>[1]LISTADO_OTS!N453</f>
        <v>0</v>
      </c>
      <c r="U453" t="b">
        <f>[1]LISTADO_OTS!O453</f>
        <v>1</v>
      </c>
      <c r="V453" t="str">
        <f>[1]LISTADO_OTS!J453</f>
        <v>Agurain</v>
      </c>
      <c r="W453">
        <f>[1]LISTADO_OTS!R453</f>
        <v>3</v>
      </c>
      <c r="X453">
        <f>[1]LISTADO_OTS!P453</f>
        <v>0</v>
      </c>
      <c r="Y453">
        <v>1</v>
      </c>
      <c r="Z453">
        <f>[1]LISTADO_OTS!S453</f>
        <v>1</v>
      </c>
    </row>
    <row r="454" spans="1:26" x14ac:dyDescent="0.4">
      <c r="A454">
        <v>453</v>
      </c>
      <c r="B454" t="str">
        <f>[1]LISTADO_OTS!E454</f>
        <v>TP/0202</v>
      </c>
      <c r="C454">
        <f>VLOOKUP([1]LISTADO_OTS!B454,[1]Redes!$C$1:$E$5,3,FALSE)</f>
        <v>3</v>
      </c>
      <c r="D454">
        <f>[1]LISTADO_OTS!C454</f>
        <v>2</v>
      </c>
      <c r="E454">
        <f>[1]LISTADO_OTS!D454</f>
        <v>7</v>
      </c>
      <c r="F454">
        <f>[1]LISTADO_OTS!Q454</f>
        <v>3</v>
      </c>
      <c r="G454">
        <f>[1]LISTADO_OTS!R454</f>
        <v>3</v>
      </c>
      <c r="H454" t="str">
        <f>[1]LISTADO_OTS!H454</f>
        <v>Localización de fugas en Agurain</v>
      </c>
      <c r="I454" t="str">
        <f>[1]LISTADO_OTS!I454</f>
        <v>Localización de fugas en Agurain</v>
      </c>
      <c r="J454" s="1">
        <f>[1]LISTADO_OTS!F454</f>
        <v>45924</v>
      </c>
      <c r="K454" s="1">
        <f>[1]LISTADO_OTS!G454</f>
        <v>45924</v>
      </c>
      <c r="L454">
        <f>[1]LISTADO_OTS!M454</f>
        <v>0</v>
      </c>
      <c r="M454">
        <f>[1]LISTADO_OTS!N454</f>
        <v>0</v>
      </c>
      <c r="U454" t="b">
        <f>[1]LISTADO_OTS!O454</f>
        <v>1</v>
      </c>
      <c r="V454" t="str">
        <f>[1]LISTADO_OTS!J454</f>
        <v>Agurain</v>
      </c>
      <c r="W454">
        <f>[1]LISTADO_OTS!R454</f>
        <v>3</v>
      </c>
      <c r="X454">
        <f>[1]LISTADO_OTS!P454</f>
        <v>0</v>
      </c>
      <c r="Y454">
        <v>1</v>
      </c>
      <c r="Z454">
        <f>[1]LISTADO_OTS!S454</f>
        <v>1</v>
      </c>
    </row>
    <row r="455" spans="1:26" x14ac:dyDescent="0.4">
      <c r="A455">
        <v>454</v>
      </c>
      <c r="B455" t="str">
        <f>[1]LISTADO_OTS!E455</f>
        <v>TP/0203</v>
      </c>
      <c r="C455">
        <f>VLOOKUP([1]LISTADO_OTS!B455,[1]Redes!$C$1:$E$5,3,FALSE)</f>
        <v>3</v>
      </c>
      <c r="D455">
        <f>[1]LISTADO_OTS!C455</f>
        <v>2</v>
      </c>
      <c r="E455">
        <f>[1]LISTADO_OTS!D455</f>
        <v>7</v>
      </c>
      <c r="F455">
        <f>[1]LISTADO_OTS!Q455</f>
        <v>5</v>
      </c>
      <c r="G455">
        <f>[1]LISTADO_OTS!R455</f>
        <v>5</v>
      </c>
      <c r="H455" t="str">
        <f>[1]LISTADO_OTS!H455</f>
        <v>Localización de fugas en abastecimiento en Arbígano</v>
      </c>
      <c r="I455" t="str">
        <f>[1]LISTADO_OTS!I455</f>
        <v>Localización de fugas en abastecimiento en Arbígano</v>
      </c>
      <c r="J455" s="1">
        <f>[1]LISTADO_OTS!F455</f>
        <v>45923</v>
      </c>
      <c r="K455" s="1">
        <f>[1]LISTADO_OTS!G455</f>
        <v>45923</v>
      </c>
      <c r="L455">
        <f>[1]LISTADO_OTS!M455</f>
        <v>0</v>
      </c>
      <c r="M455">
        <f>[1]LISTADO_OTS!N455</f>
        <v>0</v>
      </c>
      <c r="U455" t="b">
        <f>[1]LISTADO_OTS!O455</f>
        <v>1</v>
      </c>
      <c r="V455" t="str">
        <f>[1]LISTADO_OTS!J455</f>
        <v>Arbígano</v>
      </c>
      <c r="W455">
        <f>[1]LISTADO_OTS!R455</f>
        <v>5</v>
      </c>
      <c r="X455">
        <f>[1]LISTADO_OTS!P455</f>
        <v>0</v>
      </c>
      <c r="Y455">
        <v>1</v>
      </c>
      <c r="Z455">
        <f>[1]LISTADO_OTS!S455</f>
        <v>1</v>
      </c>
    </row>
    <row r="456" spans="1:26" x14ac:dyDescent="0.4">
      <c r="A456">
        <v>455</v>
      </c>
      <c r="B456" t="str">
        <f>[1]LISTADO_OTS!E456</f>
        <v>TP/0204</v>
      </c>
      <c r="C456">
        <f>VLOOKUP([1]LISTADO_OTS!B456,[1]Redes!$C$1:$E$5,3,FALSE)</f>
        <v>5</v>
      </c>
      <c r="D456">
        <f>[1]LISTADO_OTS!C456</f>
        <v>2</v>
      </c>
      <c r="E456">
        <f>[1]LISTADO_OTS!D456</f>
        <v>3</v>
      </c>
      <c r="F456">
        <f>[1]LISTADO_OTS!Q456</f>
        <v>1</v>
      </c>
      <c r="G456">
        <f>[1]LISTADO_OTS!R456</f>
        <v>1</v>
      </c>
      <c r="H456" t="str">
        <f>[1]LISTADO_OTS!H456</f>
        <v>Aporte de pluviales al saneamiento en Onsoño</v>
      </c>
      <c r="I456" t="str">
        <f>[1]LISTADO_OTS!I456</f>
        <v>Aporte de pluviales al saneamiento en Onsoño</v>
      </c>
      <c r="J456" s="1">
        <f>[1]LISTADO_OTS!F456</f>
        <v>45922</v>
      </c>
      <c r="K456" s="1">
        <f>[1]LISTADO_OTS!G456</f>
        <v>45922</v>
      </c>
      <c r="L456">
        <f>[1]LISTADO_OTS!M456</f>
        <v>0</v>
      </c>
      <c r="M456">
        <f>[1]LISTADO_OTS!N456</f>
        <v>0</v>
      </c>
      <c r="U456" t="b">
        <f>[1]LISTADO_OTS!O456</f>
        <v>1</v>
      </c>
      <c r="V456" t="str">
        <f>[1]LISTADO_OTS!J456</f>
        <v>Onsoño</v>
      </c>
      <c r="W456">
        <f>[1]LISTADO_OTS!R456</f>
        <v>1</v>
      </c>
      <c r="X456">
        <f>[1]LISTADO_OTS!P456</f>
        <v>0</v>
      </c>
      <c r="Y456">
        <v>1</v>
      </c>
      <c r="Z456">
        <f>[1]LISTADO_OTS!S456</f>
        <v>0</v>
      </c>
    </row>
    <row r="457" spans="1:26" x14ac:dyDescent="0.4">
      <c r="A457">
        <v>456</v>
      </c>
      <c r="B457" t="str">
        <f>[1]LISTADO_OTS!E457</f>
        <v>TP/0205</v>
      </c>
      <c r="C457">
        <f>VLOOKUP([1]LISTADO_OTS!B457,[1]Redes!$C$1:$E$5,3,FALSE)</f>
        <v>3</v>
      </c>
      <c r="D457">
        <f>[1]LISTADO_OTS!C457</f>
        <v>2</v>
      </c>
      <c r="E457">
        <f>[1]LISTADO_OTS!D457</f>
        <v>7</v>
      </c>
      <c r="F457">
        <f>[1]LISTADO_OTS!Q457</f>
        <v>1</v>
      </c>
      <c r="G457">
        <f>[1]LISTADO_OTS!R457</f>
        <v>1</v>
      </c>
      <c r="H457" t="str">
        <f>[1]LISTADO_OTS!H457</f>
        <v>Fuga en ramal Campijo-Santa Coloma</v>
      </c>
      <c r="I457" t="str">
        <f>[1]LISTADO_OTS!I457</f>
        <v>Fuga en ramal Campijo-Santa Coloma</v>
      </c>
      <c r="J457" s="1">
        <f>[1]LISTADO_OTS!F457</f>
        <v>45922</v>
      </c>
      <c r="K457" s="1">
        <f>[1]LISTADO_OTS!G457</f>
        <v>45922</v>
      </c>
      <c r="L457">
        <f>[1]LISTADO_OTS!M457</f>
        <v>0</v>
      </c>
      <c r="M457">
        <f>[1]LISTADO_OTS!N457</f>
        <v>0</v>
      </c>
      <c r="U457" t="b">
        <f>[1]LISTADO_OTS!O457</f>
        <v>1</v>
      </c>
      <c r="V457" t="str">
        <f>[1]LISTADO_OTS!J457</f>
        <v>Santa Coloma</v>
      </c>
      <c r="W457">
        <f>[1]LISTADO_OTS!R457</f>
        <v>1</v>
      </c>
      <c r="X457">
        <f>[1]LISTADO_OTS!P457</f>
        <v>0</v>
      </c>
      <c r="Y457">
        <v>1</v>
      </c>
      <c r="Z457">
        <f>[1]LISTADO_OTS!S457</f>
        <v>1</v>
      </c>
    </row>
    <row r="458" spans="1:26" x14ac:dyDescent="0.4">
      <c r="A458">
        <v>457</v>
      </c>
      <c r="B458" t="str">
        <f>[1]LISTADO_OTS!E458</f>
        <v>TP/0206</v>
      </c>
      <c r="C458">
        <f>VLOOKUP([1]LISTADO_OTS!B458,[1]Redes!$C$1:$E$5,3,FALSE)</f>
        <v>3</v>
      </c>
      <c r="D458">
        <f>[1]LISTADO_OTS!C458</f>
        <v>2</v>
      </c>
      <c r="E458">
        <f>[1]LISTADO_OTS!D458</f>
        <v>7</v>
      </c>
      <c r="F458">
        <f>[1]LISTADO_OTS!Q458</f>
        <v>1</v>
      </c>
      <c r="G458">
        <f>[1]LISTADO_OTS!R458</f>
        <v>1</v>
      </c>
      <c r="H458" t="str">
        <f>[1]LISTADO_OTS!H458</f>
        <v>Humedades santuario de la Encina</v>
      </c>
      <c r="I458" t="str">
        <f>[1]LISTADO_OTS!I458</f>
        <v>Humedades santuario de La Encina</v>
      </c>
      <c r="J458" s="1">
        <f>[1]LISTADO_OTS!F458</f>
        <v>45922</v>
      </c>
      <c r="K458" s="1">
        <f>[1]LISTADO_OTS!G458</f>
        <v>45922</v>
      </c>
      <c r="L458">
        <f>[1]LISTADO_OTS!M458</f>
        <v>0</v>
      </c>
      <c r="M458">
        <f>[1]LISTADO_OTS!N458</f>
        <v>0</v>
      </c>
      <c r="U458" t="b">
        <f>[1]LISTADO_OTS!O458</f>
        <v>1</v>
      </c>
      <c r="V458" t="str">
        <f>[1]LISTADO_OTS!J458</f>
        <v>La Encina</v>
      </c>
      <c r="W458">
        <f>[1]LISTADO_OTS!R458</f>
        <v>1</v>
      </c>
      <c r="X458">
        <f>[1]LISTADO_OTS!P458</f>
        <v>0</v>
      </c>
      <c r="Y458">
        <v>1</v>
      </c>
      <c r="Z458">
        <f>[1]LISTADO_OTS!S458</f>
        <v>0</v>
      </c>
    </row>
    <row r="459" spans="1:26" x14ac:dyDescent="0.4">
      <c r="A459">
        <v>458</v>
      </c>
      <c r="B459" t="str">
        <f>[1]LISTADO_OTS!E459</f>
        <v>TP/0207</v>
      </c>
      <c r="C459">
        <f>VLOOKUP([1]LISTADO_OTS!B459,[1]Redes!$C$1:$E$5,3,FALSE)</f>
        <v>3</v>
      </c>
      <c r="D459">
        <f>[1]LISTADO_OTS!C459</f>
        <v>2</v>
      </c>
      <c r="E459">
        <f>[1]LISTADO_OTS!D459</f>
        <v>7</v>
      </c>
      <c r="F459">
        <f>[1]LISTADO_OTS!Q459</f>
        <v>1</v>
      </c>
      <c r="G459">
        <f>[1]LISTADO_OTS!R459</f>
        <v>1</v>
      </c>
      <c r="H459" t="str">
        <f>[1]LISTADO_OTS!H459</f>
        <v>Localización de fugas C/Zerralde n3 en Respaldiza</v>
      </c>
      <c r="I459" t="str">
        <f>[1]LISTADO_OTS!I459</f>
        <v>Localización de fugas C/Zerralde n3 en Respaldiza</v>
      </c>
      <c r="J459" s="1">
        <f>[1]LISTADO_OTS!F459</f>
        <v>45919</v>
      </c>
      <c r="K459" s="1">
        <f>[1]LISTADO_OTS!G459</f>
        <v>45919</v>
      </c>
      <c r="L459">
        <f>[1]LISTADO_OTS!M459</f>
        <v>0</v>
      </c>
      <c r="M459">
        <f>[1]LISTADO_OTS!N459</f>
        <v>0</v>
      </c>
      <c r="U459" t="b">
        <f>[1]LISTADO_OTS!O459</f>
        <v>1</v>
      </c>
      <c r="V459" t="str">
        <f>[1]LISTADO_OTS!J459</f>
        <v>Respaldiza</v>
      </c>
      <c r="W459">
        <f>[1]LISTADO_OTS!R459</f>
        <v>1</v>
      </c>
      <c r="X459">
        <f>[1]LISTADO_OTS!P459</f>
        <v>0</v>
      </c>
      <c r="Y459">
        <v>1</v>
      </c>
      <c r="Z459">
        <f>[1]LISTADO_OTS!S459</f>
        <v>1</v>
      </c>
    </row>
    <row r="460" spans="1:26" x14ac:dyDescent="0.4">
      <c r="A460">
        <v>459</v>
      </c>
      <c r="B460" t="str">
        <f>[1]LISTADO_OTS!E460</f>
        <v>TP/0208</v>
      </c>
      <c r="C460">
        <f>VLOOKUP([1]LISTADO_OTS!B460,[1]Redes!$C$1:$E$5,3,FALSE)</f>
        <v>1</v>
      </c>
      <c r="D460">
        <f>[1]LISTADO_OTS!C460</f>
        <v>2</v>
      </c>
      <c r="E460">
        <f>[1]LISTADO_OTS!D460</f>
        <v>7</v>
      </c>
      <c r="F460">
        <f>[1]LISTADO_OTS!Q460</f>
        <v>1</v>
      </c>
      <c r="G460">
        <f>[1]LISTADO_OTS!R460</f>
        <v>1</v>
      </c>
      <c r="H460" t="str">
        <f>[1]LISTADO_OTS!H460</f>
        <v>Revisión en busca de fugas en la red de aducción en Atziniega</v>
      </c>
      <c r="I460" t="str">
        <f>[1]LISTADO_OTS!I460</f>
        <v>Revisión en busca de fugas en la red de aducción en Atziniega</v>
      </c>
      <c r="J460" s="1">
        <f>[1]LISTADO_OTS!F460</f>
        <v>45918</v>
      </c>
      <c r="K460" s="1">
        <f>[1]LISTADO_OTS!G460</f>
        <v>45918</v>
      </c>
      <c r="L460">
        <f>[1]LISTADO_OTS!M460</f>
        <v>0</v>
      </c>
      <c r="M460">
        <f>[1]LISTADO_OTS!N460</f>
        <v>0</v>
      </c>
      <c r="U460" t="b">
        <f>[1]LISTADO_OTS!O460</f>
        <v>1</v>
      </c>
      <c r="V460" t="str">
        <f>[1]LISTADO_OTS!J460</f>
        <v>Artziniega</v>
      </c>
      <c r="W460">
        <f>[1]LISTADO_OTS!R460</f>
        <v>1</v>
      </c>
      <c r="X460">
        <f>[1]LISTADO_OTS!P460</f>
        <v>0</v>
      </c>
      <c r="Y460">
        <v>1</v>
      </c>
      <c r="Z460">
        <f>[1]LISTADO_OTS!S460</f>
        <v>1</v>
      </c>
    </row>
    <row r="461" spans="1:26" x14ac:dyDescent="0.4">
      <c r="A461">
        <v>460</v>
      </c>
      <c r="B461" t="str">
        <f>[1]LISTADO_OTS!E461</f>
        <v>TP/0209</v>
      </c>
      <c r="C461">
        <f>VLOOKUP([1]LISTADO_OTS!B461,[1]Redes!$C$1:$E$5,3,FALSE)</f>
        <v>3</v>
      </c>
      <c r="D461">
        <f>[1]LISTADO_OTS!C461</f>
        <v>2</v>
      </c>
      <c r="E461">
        <f>[1]LISTADO_OTS!D461</f>
        <v>7</v>
      </c>
      <c r="F461">
        <f>[1]LISTADO_OTS!Q461</f>
        <v>1</v>
      </c>
      <c r="G461">
        <f>[1]LISTADO_OTS!R461</f>
        <v>1</v>
      </c>
      <c r="H461" t="str">
        <f>[1]LISTADO_OTS!H461</f>
        <v>Localización de fugas en Luiando debido a consumo elevado</v>
      </c>
      <c r="I461" t="str">
        <f>[1]LISTADO_OTS!I461</f>
        <v>Localización de fugas en Luiando debido a consumo elevado</v>
      </c>
      <c r="J461" s="1">
        <f>[1]LISTADO_OTS!F461</f>
        <v>45916</v>
      </c>
      <c r="K461" s="1">
        <f>[1]LISTADO_OTS!G461</f>
        <v>45916</v>
      </c>
      <c r="L461">
        <f>[1]LISTADO_OTS!M461</f>
        <v>0</v>
      </c>
      <c r="M461">
        <f>[1]LISTADO_OTS!N461</f>
        <v>0</v>
      </c>
      <c r="U461" t="b">
        <f>[1]LISTADO_OTS!O461</f>
        <v>1</v>
      </c>
      <c r="V461" t="str">
        <f>[1]LISTADO_OTS!J461</f>
        <v>Luiando</v>
      </c>
      <c r="W461">
        <f>[1]LISTADO_OTS!R461</f>
        <v>1</v>
      </c>
      <c r="X461">
        <f>[1]LISTADO_OTS!P461</f>
        <v>0</v>
      </c>
      <c r="Y461">
        <v>1</v>
      </c>
      <c r="Z461">
        <f>[1]LISTADO_OTS!S461</f>
        <v>1</v>
      </c>
    </row>
    <row r="462" spans="1:26" x14ac:dyDescent="0.4">
      <c r="A462">
        <v>461</v>
      </c>
      <c r="B462" t="str">
        <f>[1]LISTADO_OTS!E462</f>
        <v>TP/0210</v>
      </c>
      <c r="C462">
        <f>VLOOKUP([1]LISTADO_OTS!B462,[1]Redes!$C$1:$E$5,3,FALSE)</f>
        <v>5</v>
      </c>
      <c r="D462">
        <f>[1]LISTADO_OTS!C462</f>
        <v>2</v>
      </c>
      <c r="E462">
        <f>[1]LISTADO_OTS!D462</f>
        <v>1</v>
      </c>
      <c r="F462">
        <f>[1]LISTADO_OTS!Q462</f>
        <v>5</v>
      </c>
      <c r="G462">
        <f>[1]LISTADO_OTS!R462</f>
        <v>41</v>
      </c>
      <c r="H462" t="str">
        <f>[1]LISTADO_OTS!H462</f>
        <v>Atasco en C/Venta el Bullon en Ribabellosa</v>
      </c>
      <c r="I462" t="str">
        <f>[1]LISTADO_OTS!I462</f>
        <v>Atasco en C/Venta el Bullon en Ribabellosa</v>
      </c>
      <c r="J462" s="1">
        <f>[1]LISTADO_OTS!F462</f>
        <v>45915</v>
      </c>
      <c r="K462" s="1">
        <f>[1]LISTADO_OTS!G462</f>
        <v>45915</v>
      </c>
      <c r="L462">
        <f>[1]LISTADO_OTS!M462</f>
        <v>0</v>
      </c>
      <c r="M462">
        <f>[1]LISTADO_OTS!N462</f>
        <v>0</v>
      </c>
      <c r="U462" t="b">
        <f>[1]LISTADO_OTS!O462</f>
        <v>1</v>
      </c>
      <c r="V462" t="str">
        <f>[1]LISTADO_OTS!J462</f>
        <v>Ribabellosa</v>
      </c>
      <c r="W462">
        <f>[1]LISTADO_OTS!R462</f>
        <v>41</v>
      </c>
      <c r="X462">
        <f>[1]LISTADO_OTS!P462</f>
        <v>0</v>
      </c>
      <c r="Y462">
        <v>1</v>
      </c>
      <c r="Z462">
        <f>[1]LISTADO_OTS!S462</f>
        <v>2</v>
      </c>
    </row>
    <row r="463" spans="1:26" x14ac:dyDescent="0.4">
      <c r="A463">
        <v>462</v>
      </c>
      <c r="B463" t="str">
        <f>[1]LISTADO_OTS!E463</f>
        <v>TP/0211</v>
      </c>
      <c r="C463">
        <f>VLOOKUP([1]LISTADO_OTS!B463,[1]Redes!$C$1:$E$5,3,FALSE)</f>
        <v>3</v>
      </c>
      <c r="D463">
        <f>[1]LISTADO_OTS!C463</f>
        <v>2</v>
      </c>
      <c r="E463">
        <f>[1]LISTADO_OTS!D463</f>
        <v>7</v>
      </c>
      <c r="F463">
        <f>[1]LISTADO_OTS!Q463</f>
        <v>4</v>
      </c>
      <c r="G463">
        <f>[1]LISTADO_OTS!R463</f>
        <v>4</v>
      </c>
      <c r="H463" t="str">
        <f>[1]LISTADO_OTS!H463</f>
        <v>Localización de fugas en Elosu</v>
      </c>
      <c r="I463" t="str">
        <f>[1]LISTADO_OTS!I463</f>
        <v>Localización de fugas en Elosu</v>
      </c>
      <c r="J463" s="1">
        <f>[1]LISTADO_OTS!F463</f>
        <v>45915</v>
      </c>
      <c r="K463" s="1">
        <f>[1]LISTADO_OTS!G463</f>
        <v>45915</v>
      </c>
      <c r="L463">
        <f>[1]LISTADO_OTS!M463</f>
        <v>0</v>
      </c>
      <c r="M463">
        <f>[1]LISTADO_OTS!N463</f>
        <v>0</v>
      </c>
      <c r="U463" t="b">
        <f>[1]LISTADO_OTS!O463</f>
        <v>1</v>
      </c>
      <c r="V463" t="str">
        <f>[1]LISTADO_OTS!J463</f>
        <v>Elosu</v>
      </c>
      <c r="W463">
        <f>[1]LISTADO_OTS!R463</f>
        <v>4</v>
      </c>
      <c r="X463">
        <f>[1]LISTADO_OTS!P463</f>
        <v>0</v>
      </c>
      <c r="Y463">
        <v>1</v>
      </c>
      <c r="Z463">
        <f>[1]LISTADO_OTS!S463</f>
        <v>1</v>
      </c>
    </row>
    <row r="464" spans="1:26" x14ac:dyDescent="0.4">
      <c r="A464">
        <v>463</v>
      </c>
      <c r="B464" t="str">
        <f>[1]LISTADO_OTS!E464</f>
        <v>TP/0212</v>
      </c>
      <c r="C464">
        <f>VLOOKUP([1]LISTADO_OTS!B464,[1]Redes!$C$1:$E$5,3,FALSE)</f>
        <v>5</v>
      </c>
      <c r="D464">
        <f>[1]LISTADO_OTS!C464</f>
        <v>2</v>
      </c>
      <c r="E464">
        <f>[1]LISTADO_OTS!D464</f>
        <v>1</v>
      </c>
      <c r="F464">
        <f>[1]LISTADO_OTS!Q464</f>
        <v>3</v>
      </c>
      <c r="G464">
        <f>[1]LISTADO_OTS!R464</f>
        <v>26</v>
      </c>
      <c r="H464" t="str">
        <f>[1]LISTADO_OTS!H464</f>
        <v>Revisión de zonas del saneamiento de Agurain</v>
      </c>
      <c r="I464" t="str">
        <f>[1]LISTADO_OTS!I464</f>
        <v>Revisión de zonas del saneamiento de Agurain</v>
      </c>
      <c r="J464" s="1">
        <f>[1]LISTADO_OTS!F464</f>
        <v>45912</v>
      </c>
      <c r="K464" s="1">
        <f>[1]LISTADO_OTS!G464</f>
        <v>45912</v>
      </c>
      <c r="L464">
        <f>[1]LISTADO_OTS!M464</f>
        <v>0</v>
      </c>
      <c r="M464">
        <f>[1]LISTADO_OTS!N464</f>
        <v>0</v>
      </c>
      <c r="U464" t="b">
        <f>[1]LISTADO_OTS!O464</f>
        <v>1</v>
      </c>
      <c r="V464" t="str">
        <f>[1]LISTADO_OTS!J464</f>
        <v>Agurain</v>
      </c>
      <c r="W464">
        <f>[1]LISTADO_OTS!R464</f>
        <v>26</v>
      </c>
      <c r="X464">
        <f>[1]LISTADO_OTS!P464</f>
        <v>0</v>
      </c>
      <c r="Y464">
        <v>1</v>
      </c>
      <c r="Z464">
        <f>[1]LISTADO_OTS!S464</f>
        <v>0</v>
      </c>
    </row>
    <row r="465" spans="1:26" x14ac:dyDescent="0.4">
      <c r="A465">
        <v>464</v>
      </c>
      <c r="B465" t="str">
        <f>[1]LISTADO_OTS!E465</f>
        <v>TP/0213</v>
      </c>
      <c r="C465">
        <f>VLOOKUP([1]LISTADO_OTS!B465,[1]Redes!$C$1:$E$5,3,FALSE)</f>
        <v>3</v>
      </c>
      <c r="D465">
        <f>[1]LISTADO_OTS!C465</f>
        <v>2</v>
      </c>
      <c r="E465">
        <f>[1]LISTADO_OTS!D465</f>
        <v>7</v>
      </c>
      <c r="F465">
        <f>[1]LISTADO_OTS!Q465</f>
        <v>1</v>
      </c>
      <c r="G465">
        <f>[1]LISTADO_OTS!R465</f>
        <v>1</v>
      </c>
      <c r="H465" t="str">
        <f>[1]LISTADO_OTS!H465</f>
        <v>Localización de fugas en Luiaondo</v>
      </c>
      <c r="I465" t="str">
        <f>[1]LISTADO_OTS!I465</f>
        <v>Localización fugas en Luiaondo por consumo elevado</v>
      </c>
      <c r="J465" s="1">
        <f>[1]LISTADO_OTS!F465</f>
        <v>45912</v>
      </c>
      <c r="K465" s="1">
        <f>[1]LISTADO_OTS!G465</f>
        <v>45912</v>
      </c>
      <c r="L465">
        <f>[1]LISTADO_OTS!M465</f>
        <v>0</v>
      </c>
      <c r="M465">
        <f>[1]LISTADO_OTS!N465</f>
        <v>0</v>
      </c>
      <c r="U465" t="b">
        <f>[1]LISTADO_OTS!O465</f>
        <v>1</v>
      </c>
      <c r="V465" t="str">
        <f>[1]LISTADO_OTS!J465</f>
        <v>Luiando</v>
      </c>
      <c r="W465">
        <f>[1]LISTADO_OTS!R465</f>
        <v>1</v>
      </c>
      <c r="X465">
        <f>[1]LISTADO_OTS!P465</f>
        <v>0</v>
      </c>
      <c r="Y465">
        <v>1</v>
      </c>
      <c r="Z465">
        <f>[1]LISTADO_OTS!S465</f>
        <v>1</v>
      </c>
    </row>
    <row r="466" spans="1:26" x14ac:dyDescent="0.4">
      <c r="A466">
        <v>465</v>
      </c>
      <c r="B466" t="str">
        <f>[1]LISTADO_OTS!E466</f>
        <v>TP/0214</v>
      </c>
      <c r="C466">
        <f>VLOOKUP([1]LISTADO_OTS!B466,[1]Redes!$C$1:$E$5,3,FALSE)</f>
        <v>3</v>
      </c>
      <c r="D466">
        <f>[1]LISTADO_OTS!C466</f>
        <v>2</v>
      </c>
      <c r="E466">
        <f>[1]LISTADO_OTS!D466</f>
        <v>7</v>
      </c>
      <c r="F466">
        <f>[1]LISTADO_OTS!Q466</f>
        <v>5</v>
      </c>
      <c r="G466">
        <f>[1]LISTADO_OTS!R466</f>
        <v>5</v>
      </c>
      <c r="H466" t="str">
        <f>[1]LISTADO_OTS!H466</f>
        <v>Localización fuga en Berantevilla</v>
      </c>
      <c r="I466" t="str">
        <f>[1]LISTADO_OTS!I466</f>
        <v>Localización fuga en Berantevilla</v>
      </c>
      <c r="J466" s="1">
        <f>[1]LISTADO_OTS!F466</f>
        <v>45911</v>
      </c>
      <c r="K466" s="1">
        <f>[1]LISTADO_OTS!G466</f>
        <v>45911</v>
      </c>
      <c r="L466">
        <f>[1]LISTADO_OTS!M466</f>
        <v>0</v>
      </c>
      <c r="M466">
        <f>[1]LISTADO_OTS!N466</f>
        <v>0</v>
      </c>
      <c r="U466" t="b">
        <f>[1]LISTADO_OTS!O466</f>
        <v>1</v>
      </c>
      <c r="V466" t="str">
        <f>[1]LISTADO_OTS!J466</f>
        <v>Berantevilla</v>
      </c>
      <c r="W466">
        <f>[1]LISTADO_OTS!R466</f>
        <v>5</v>
      </c>
      <c r="X466">
        <f>[1]LISTADO_OTS!P466</f>
        <v>0</v>
      </c>
      <c r="Y466">
        <v>1</v>
      </c>
      <c r="Z466">
        <f>[1]LISTADO_OTS!S466</f>
        <v>1</v>
      </c>
    </row>
    <row r="467" spans="1:26" x14ac:dyDescent="0.4">
      <c r="A467">
        <v>466</v>
      </c>
      <c r="B467" t="str">
        <f>[1]LISTADO_OTS!E467</f>
        <v>TP/0215</v>
      </c>
      <c r="C467">
        <f>VLOOKUP([1]LISTADO_OTS!B467,[1]Redes!$C$1:$E$5,3,FALSE)</f>
        <v>5</v>
      </c>
      <c r="D467">
        <f>[1]LISTADO_OTS!C467</f>
        <v>2</v>
      </c>
      <c r="E467">
        <f>[1]LISTADO_OTS!D467</f>
        <v>21</v>
      </c>
      <c r="F467">
        <f>[1]LISTADO_OTS!Q467</f>
        <v>1</v>
      </c>
      <c r="G467">
        <f>[1]LISTADO_OTS!R467</f>
        <v>1</v>
      </c>
      <c r="H467" t="str">
        <f>[1]LISTADO_OTS!H467</f>
        <v>Ejecución de informes de Fosas Septicas (OFICINA)</v>
      </c>
      <c r="I467" t="str">
        <f>[1]LISTADO_OTS!I467</f>
        <v>Ejecución de informes de Fosas Septicas (OFICINA)</v>
      </c>
      <c r="J467" s="1">
        <f>[1]LISTADO_OTS!F467</f>
        <v>45911</v>
      </c>
      <c r="K467" s="1">
        <f>[1]LISTADO_OTS!G467</f>
        <v>45911</v>
      </c>
      <c r="L467">
        <f>[1]LISTADO_OTS!M467</f>
        <v>0</v>
      </c>
      <c r="M467">
        <f>[1]LISTADO_OTS!N467</f>
        <v>0</v>
      </c>
      <c r="U467" t="b">
        <f>[1]LISTADO_OTS!O467</f>
        <v>1</v>
      </c>
      <c r="V467" t="str">
        <f>[1]LISTADO_OTS!J467</f>
        <v>Amurrio</v>
      </c>
      <c r="W467">
        <f>[1]LISTADO_OTS!R467</f>
        <v>1</v>
      </c>
      <c r="X467">
        <f>[1]LISTADO_OTS!P467</f>
        <v>0</v>
      </c>
      <c r="Y467">
        <v>1</v>
      </c>
      <c r="Z467">
        <f>[1]LISTADO_OTS!S467</f>
        <v>0</v>
      </c>
    </row>
    <row r="468" spans="1:26" x14ac:dyDescent="0.4">
      <c r="A468">
        <v>467</v>
      </c>
      <c r="B468" t="str">
        <f>[1]LISTADO_OTS!E468</f>
        <v>GF/0003</v>
      </c>
      <c r="C468">
        <f>VLOOKUP([1]LISTADO_OTS!B468,[1]Redes!$C$1:$E$5,3,FALSE)</f>
        <v>4</v>
      </c>
      <c r="D468">
        <f>[1]LISTADO_OTS!C468</f>
        <v>3</v>
      </c>
      <c r="E468">
        <f>[1]LISTADO_OTS!D468</f>
        <v>0</v>
      </c>
      <c r="F468">
        <f>[1]LISTADO_OTS!Q468</f>
        <v>10</v>
      </c>
      <c r="G468">
        <f>[1]LISTADO_OTS!R468</f>
        <v>10</v>
      </c>
      <c r="H468" t="str">
        <f>[1]LISTADO_OTS!H468</f>
        <v>Gastos fijos de explotación totales</v>
      </c>
      <c r="I468" t="str">
        <f>[1]LISTADO_OTS!I468</f>
        <v>Gastos fijos de explotación totales</v>
      </c>
      <c r="J468" s="1">
        <f>[1]LISTADO_OTS!F468</f>
        <v>45901</v>
      </c>
      <c r="K468" s="1">
        <f>[1]LISTADO_OTS!G468</f>
        <v>45930</v>
      </c>
      <c r="L468">
        <f>[1]LISTADO_OTS!M468</f>
        <v>0</v>
      </c>
      <c r="M468">
        <f>[1]LISTADO_OTS!N468</f>
        <v>0</v>
      </c>
      <c r="U468" t="b">
        <f>[1]LISTADO_OTS!O468</f>
        <v>1</v>
      </c>
      <c r="V468">
        <f>[1]LISTADO_OTS!J468</f>
        <v>0</v>
      </c>
      <c r="W468">
        <f>[1]LISTADO_OTS!R468</f>
        <v>10</v>
      </c>
      <c r="X468">
        <f>[1]LISTADO_OTS!P468</f>
        <v>0</v>
      </c>
      <c r="Y468">
        <v>1</v>
      </c>
      <c r="Z468">
        <f>[1]LISTADO_OTS!S468</f>
        <v>0</v>
      </c>
    </row>
    <row r="469" spans="1:26" x14ac:dyDescent="0.4">
      <c r="A469">
        <v>468</v>
      </c>
      <c r="B469" t="str">
        <f>[1]LISTADO_OTS!E469</f>
        <v>GF/0004</v>
      </c>
      <c r="C469">
        <f>VLOOKUP([1]LISTADO_OTS!B469,[1]Redes!$C$1:$E$5,3,FALSE)</f>
        <v>4</v>
      </c>
      <c r="D469">
        <f>[1]LISTADO_OTS!C469</f>
        <v>3</v>
      </c>
      <c r="E469">
        <f>[1]LISTADO_OTS!D469</f>
        <v>0</v>
      </c>
      <c r="F469">
        <f>[1]LISTADO_OTS!Q469</f>
        <v>10</v>
      </c>
      <c r="G469">
        <f>[1]LISTADO_OTS!R469</f>
        <v>10</v>
      </c>
      <c r="H469" t="str">
        <f>[1]LISTADO_OTS!H469</f>
        <v>Gestión documental del contrato</v>
      </c>
      <c r="I469" t="str">
        <f>[1]LISTADO_OTS!I469</f>
        <v>Gestión documental del contrato</v>
      </c>
      <c r="J469" s="1">
        <f>[1]LISTADO_OTS!F469</f>
        <v>45901</v>
      </c>
      <c r="K469" s="1">
        <f>[1]LISTADO_OTS!G469</f>
        <v>45930</v>
      </c>
      <c r="L469">
        <f>[1]LISTADO_OTS!M469</f>
        <v>0</v>
      </c>
      <c r="M469">
        <f>[1]LISTADO_OTS!N469</f>
        <v>0</v>
      </c>
      <c r="U469" t="b">
        <f>[1]LISTADO_OTS!O469</f>
        <v>1</v>
      </c>
      <c r="V469">
        <f>[1]LISTADO_OTS!J469</f>
        <v>0</v>
      </c>
      <c r="W469">
        <f>[1]LISTADO_OTS!R469</f>
        <v>10</v>
      </c>
      <c r="X469" t="str">
        <f>[1]LISTADO_OTS!P469</f>
        <v>ELENA</v>
      </c>
      <c r="Y469">
        <v>1</v>
      </c>
      <c r="Z469">
        <f>[1]LISTADO_OTS!S469</f>
        <v>0</v>
      </c>
    </row>
    <row r="470" spans="1:26" x14ac:dyDescent="0.4">
      <c r="A470">
        <v>469</v>
      </c>
      <c r="B470" t="str">
        <f>[1]LISTADO_OTS!E470</f>
        <v>TP/0216</v>
      </c>
      <c r="C470">
        <f>VLOOKUP([1]LISTADO_OTS!B470,[1]Redes!$C$1:$E$5,3,FALSE)</f>
        <v>5</v>
      </c>
      <c r="D470">
        <f>[1]LISTADO_OTS!C470</f>
        <v>2</v>
      </c>
      <c r="E470">
        <f>[1]LISTADO_OTS!D470</f>
        <v>5</v>
      </c>
      <c r="F470">
        <f>[1]LISTADO_OTS!Q470</f>
        <v>1</v>
      </c>
      <c r="G470">
        <f>[1]LISTADO_OTS!R470</f>
        <v>1</v>
      </c>
      <c r="H470" t="str">
        <f>[1]LISTADO_OTS!H470</f>
        <v>Digitalización de redes abastecimiento y saneamiento</v>
      </c>
      <c r="I470" t="str">
        <f>[1]LISTADO_OTS!I470</f>
        <v>Ribabellosa, Agurain,Maeztu</v>
      </c>
      <c r="J470" s="1">
        <f>[1]LISTADO_OTS!F470</f>
        <v>45901</v>
      </c>
      <c r="K470" s="1">
        <f>[1]LISTADO_OTS!G470</f>
        <v>45930</v>
      </c>
      <c r="L470">
        <f>[1]LISTADO_OTS!M470</f>
        <v>0</v>
      </c>
      <c r="M470">
        <f>[1]LISTADO_OTS!N470</f>
        <v>0</v>
      </c>
      <c r="U470" t="b">
        <f>[1]LISTADO_OTS!O470</f>
        <v>1</v>
      </c>
      <c r="V470" t="str">
        <f>[1]LISTADO_OTS!J470</f>
        <v>Amurrio</v>
      </c>
      <c r="W470">
        <f>[1]LISTADO_OTS!R470</f>
        <v>1</v>
      </c>
      <c r="X470" t="str">
        <f>[1]LISTADO_OTS!P470</f>
        <v>JORGE</v>
      </c>
      <c r="Y470">
        <v>1</v>
      </c>
      <c r="Z470">
        <f>[1]LISTADO_OTS!S470</f>
        <v>0</v>
      </c>
    </row>
    <row r="471" spans="1:26" x14ac:dyDescent="0.4">
      <c r="A471">
        <v>470</v>
      </c>
      <c r="B471" t="str">
        <f>[1]LISTADO_OTS!E471</f>
        <v>TP/0217</v>
      </c>
      <c r="C471">
        <f>VLOOKUP([1]LISTADO_OTS!B471,[1]Redes!$C$1:$E$5,3,FALSE)</f>
        <v>3</v>
      </c>
      <c r="D471">
        <f>[1]LISTADO_OTS!C471</f>
        <v>2</v>
      </c>
      <c r="E471">
        <f>[1]LISTADO_OTS!D471</f>
        <v>8</v>
      </c>
      <c r="F471">
        <f>[1]LISTADO_OTS!Q471</f>
        <v>1</v>
      </c>
      <c r="G471">
        <f>[1]LISTADO_OTS!R471</f>
        <v>1</v>
      </c>
      <c r="H471" t="str">
        <f>[1]LISTADO_OTS!H471</f>
        <v>Instalación de contador en Artziniega C/Jauregia n6</v>
      </c>
      <c r="I471" t="str">
        <f>[1]LISTADO_OTS!I471</f>
        <v>Instalación de contador en Artziniega C/Jauregia n6</v>
      </c>
      <c r="J471" s="1">
        <f>[1]LISTADO_OTS!F471</f>
        <v>45926</v>
      </c>
      <c r="K471" s="1">
        <f>[1]LISTADO_OTS!G471</f>
        <v>45926</v>
      </c>
      <c r="L471">
        <f>[1]LISTADO_OTS!M471</f>
        <v>0</v>
      </c>
      <c r="M471">
        <f>[1]LISTADO_OTS!N471</f>
        <v>0</v>
      </c>
      <c r="U471" t="b">
        <f>[1]LISTADO_OTS!O471</f>
        <v>1</v>
      </c>
      <c r="V471" t="str">
        <f>[1]LISTADO_OTS!J471</f>
        <v>Artziniega</v>
      </c>
      <c r="W471">
        <f>[1]LISTADO_OTS!R471</f>
        <v>1</v>
      </c>
      <c r="X471" t="str">
        <f>[1]LISTADO_OTS!P471</f>
        <v>KERMAN</v>
      </c>
      <c r="Y471">
        <v>1</v>
      </c>
      <c r="Z471">
        <f>[1]LISTADO_OTS!S471</f>
        <v>0</v>
      </c>
    </row>
    <row r="472" spans="1:26" x14ac:dyDescent="0.4">
      <c r="A472">
        <v>471</v>
      </c>
      <c r="B472" t="str">
        <f>[1]LISTADO_OTS!E472</f>
        <v>TP/0218</v>
      </c>
      <c r="C472">
        <f>VLOOKUP([1]LISTADO_OTS!B472,[1]Redes!$C$1:$E$5,3,FALSE)</f>
        <v>3</v>
      </c>
      <c r="D472">
        <f>[1]LISTADO_OTS!C472</f>
        <v>2</v>
      </c>
      <c r="E472">
        <f>[1]LISTADO_OTS!D472</f>
        <v>8</v>
      </c>
      <c r="F472">
        <f>[1]LISTADO_OTS!Q472</f>
        <v>1</v>
      </c>
      <c r="G472">
        <f>[1]LISTADO_OTS!R472</f>
        <v>1</v>
      </c>
      <c r="H472" t="str">
        <f>[1]LISTADO_OTS!H472</f>
        <v>Instalación de contador en Artziniega C/Ureta n1</v>
      </c>
      <c r="I472" t="str">
        <f>[1]LISTADO_OTS!I472</f>
        <v>Instalación de contador en Artziniega C/Ureta n1</v>
      </c>
      <c r="J472" s="1">
        <f>[1]LISTADO_OTS!F472</f>
        <v>45926</v>
      </c>
      <c r="K472" s="1">
        <f>[1]LISTADO_OTS!G472</f>
        <v>45926</v>
      </c>
      <c r="L472">
        <f>[1]LISTADO_OTS!M472</f>
        <v>0</v>
      </c>
      <c r="M472">
        <f>[1]LISTADO_OTS!N472</f>
        <v>0</v>
      </c>
      <c r="U472" t="b">
        <f>[1]LISTADO_OTS!O472</f>
        <v>1</v>
      </c>
      <c r="V472" t="str">
        <f>[1]LISTADO_OTS!J472</f>
        <v>Artziniega</v>
      </c>
      <c r="W472">
        <f>[1]LISTADO_OTS!R472</f>
        <v>1</v>
      </c>
      <c r="X472" t="str">
        <f>[1]LISTADO_OTS!P472</f>
        <v>KERMAN</v>
      </c>
      <c r="Y472">
        <v>1</v>
      </c>
      <c r="Z472">
        <f>[1]LISTADO_OTS!S472</f>
        <v>0</v>
      </c>
    </row>
    <row r="473" spans="1:26" x14ac:dyDescent="0.4">
      <c r="A473">
        <v>472</v>
      </c>
      <c r="B473" t="str">
        <f>[1]LISTADO_OTS!E473</f>
        <v>OT/0349</v>
      </c>
      <c r="C473">
        <f>VLOOKUP([1]LISTADO_OTS!B473,[1]Redes!$C$1:$E$5,3,FALSE)</f>
        <v>3</v>
      </c>
      <c r="D473">
        <f>[1]LISTADO_OTS!C473</f>
        <v>1</v>
      </c>
      <c r="E473">
        <f>[1]LISTADO_OTS!D473</f>
        <v>0</v>
      </c>
      <c r="F473">
        <f>[1]LISTADO_OTS!Q473</f>
        <v>3</v>
      </c>
      <c r="G473">
        <f>[1]LISTADO_OTS!R473</f>
        <v>3</v>
      </c>
      <c r="H473" t="str">
        <f>[1]LISTADO_OTS!H473</f>
        <v>Asfaltado en cata Facsa en Gazeta</v>
      </c>
      <c r="I473" t="str">
        <f>[1]LISTADO_OTS!I473</f>
        <v>Asfaltado en cata Facsa en Gazeta</v>
      </c>
      <c r="J473" s="1">
        <f>[1]LISTADO_OTS!F473</f>
        <v>45926</v>
      </c>
      <c r="K473" s="1">
        <f>[1]LISTADO_OTS!G473</f>
        <v>45926</v>
      </c>
      <c r="L473">
        <f>[1]LISTADO_OTS!M473</f>
        <v>0</v>
      </c>
      <c r="M473">
        <f>[1]LISTADO_OTS!N473</f>
        <v>0</v>
      </c>
      <c r="U473" t="b">
        <f>[1]LISTADO_OTS!O473</f>
        <v>1</v>
      </c>
      <c r="V473" t="str">
        <f>[1]LISTADO_OTS!J473</f>
        <v>Gazeta</v>
      </c>
      <c r="W473">
        <f>[1]LISTADO_OTS!R473</f>
        <v>3</v>
      </c>
      <c r="X473" t="str">
        <f>[1]LISTADO_OTS!P473</f>
        <v>MIGUEL y ZOUITA</v>
      </c>
      <c r="Y473">
        <v>1</v>
      </c>
      <c r="Z473">
        <f>[1]LISTADO_OTS!S473</f>
        <v>3</v>
      </c>
    </row>
    <row r="474" spans="1:26" x14ac:dyDescent="0.4">
      <c r="A474">
        <v>473</v>
      </c>
      <c r="B474" t="str">
        <f>[1]LISTADO_OTS!E474</f>
        <v>OT/0350</v>
      </c>
      <c r="C474">
        <f>VLOOKUP([1]LISTADO_OTS!B474,[1]Redes!$C$1:$E$5,3,FALSE)</f>
        <v>3</v>
      </c>
      <c r="D474">
        <f>[1]LISTADO_OTS!C474</f>
        <v>1</v>
      </c>
      <c r="E474">
        <f>[1]LISTADO_OTS!D474</f>
        <v>0</v>
      </c>
      <c r="F474">
        <f>[1]LISTADO_OTS!Q474</f>
        <v>1</v>
      </c>
      <c r="G474">
        <f>[1]LISTADO_OTS!R474</f>
        <v>1</v>
      </c>
      <c r="H474" t="str">
        <f>[1]LISTADO_OTS!H474</f>
        <v>Reparación de fuga en C/Aldai n38</v>
      </c>
      <c r="I474" t="str">
        <f>[1]LISTADO_OTS!I474</f>
        <v>Reparación de fuga en Aldai</v>
      </c>
      <c r="J474" s="1">
        <f>[1]LISTADO_OTS!F474</f>
        <v>45926</v>
      </c>
      <c r="K474" s="1">
        <f>[1]LISTADO_OTS!G474</f>
        <v>45926</v>
      </c>
      <c r="L474">
        <f>[1]LISTADO_OTS!M474</f>
        <v>0</v>
      </c>
      <c r="M474">
        <f>[1]LISTADO_OTS!N474</f>
        <v>0</v>
      </c>
      <c r="U474" t="b">
        <f>[1]LISTADO_OTS!O474</f>
        <v>1</v>
      </c>
      <c r="V474" t="str">
        <f>[1]LISTADO_OTS!J474</f>
        <v>Amurrio</v>
      </c>
      <c r="W474">
        <f>[1]LISTADO_OTS!R474</f>
        <v>1</v>
      </c>
      <c r="X474" t="str">
        <f>[1]LISTADO_OTS!P474</f>
        <v>KERMAN</v>
      </c>
      <c r="Y474">
        <v>1</v>
      </c>
      <c r="Z474">
        <f>[1]LISTADO_OTS!S474</f>
        <v>1</v>
      </c>
    </row>
    <row r="475" spans="1:26" x14ac:dyDescent="0.4">
      <c r="A475">
        <v>474</v>
      </c>
      <c r="B475" t="str">
        <f>[1]LISTADO_OTS!E475</f>
        <v>OT/0351</v>
      </c>
      <c r="C475">
        <f>VLOOKUP([1]LISTADO_OTS!B475,[1]Redes!$C$1:$E$5,3,FALSE)</f>
        <v>5</v>
      </c>
      <c r="D475">
        <f>[1]LISTADO_OTS!C475</f>
        <v>1</v>
      </c>
      <c r="E475">
        <f>[1]LISTADO_OTS!D475</f>
        <v>0</v>
      </c>
      <c r="F475">
        <f>[1]LISTADO_OTS!Q475</f>
        <v>1</v>
      </c>
      <c r="G475">
        <f>[1]LISTADO_OTS!R475</f>
        <v>1</v>
      </c>
      <c r="H475" t="str">
        <f>[1]LISTADO_OTS!H475</f>
        <v>Atasco de saneamiento en Larrabe</v>
      </c>
      <c r="I475" t="str">
        <f>[1]LISTADO_OTS!I475</f>
        <v>Atasco de saneamiento en Larrabe</v>
      </c>
      <c r="J475" s="1">
        <f>[1]LISTADO_OTS!F475</f>
        <v>45923</v>
      </c>
      <c r="K475" s="1">
        <f>[1]LISTADO_OTS!G475</f>
        <v>45923</v>
      </c>
      <c r="L475">
        <f>[1]LISTADO_OTS!M475</f>
        <v>0</v>
      </c>
      <c r="M475">
        <f>[1]LISTADO_OTS!N475</f>
        <v>0</v>
      </c>
      <c r="U475" t="b">
        <f>[1]LISTADO_OTS!O475</f>
        <v>1</v>
      </c>
      <c r="V475" t="str">
        <f>[1]LISTADO_OTS!J475</f>
        <v>Amurrio</v>
      </c>
      <c r="W475">
        <f>[1]LISTADO_OTS!R475</f>
        <v>1</v>
      </c>
      <c r="X475" t="str">
        <f>[1]LISTADO_OTS!P475</f>
        <v>KERMAN y EMILIO</v>
      </c>
      <c r="Y475">
        <v>1</v>
      </c>
      <c r="Z475">
        <f>[1]LISTADO_OTS!S475</f>
        <v>2</v>
      </c>
    </row>
    <row r="476" spans="1:26" x14ac:dyDescent="0.4">
      <c r="A476">
        <v>475</v>
      </c>
      <c r="B476" t="str">
        <f>[1]LISTADO_OTS!E476</f>
        <v>OT/0352</v>
      </c>
      <c r="C476">
        <f>VLOOKUP([1]LISTADO_OTS!B476,[1]Redes!$C$1:$E$5,3,FALSE)</f>
        <v>3</v>
      </c>
      <c r="D476">
        <f>[1]LISTADO_OTS!C476</f>
        <v>1</v>
      </c>
      <c r="E476">
        <f>[1]LISTADO_OTS!D476</f>
        <v>0</v>
      </c>
      <c r="F476">
        <f>[1]LISTADO_OTS!Q476</f>
        <v>1</v>
      </c>
      <c r="G476">
        <f>[1]LISTADO_OTS!R476</f>
        <v>1</v>
      </c>
      <c r="H476" t="str">
        <f>[1]LISTADO_OTS!H476</f>
        <v>Reparación fuga Erbi</v>
      </c>
      <c r="I476" t="str">
        <f>[1]LISTADO_OTS!I476</f>
        <v>Reparación fuga Erbi</v>
      </c>
      <c r="J476" s="1">
        <f>[1]LISTADO_OTS!F476</f>
        <v>45925</v>
      </c>
      <c r="K476" s="1">
        <f>[1]LISTADO_OTS!G476</f>
        <v>45926</v>
      </c>
      <c r="L476">
        <f>[1]LISTADO_OTS!M476</f>
        <v>0</v>
      </c>
      <c r="M476">
        <f>[1]LISTADO_OTS!N476</f>
        <v>0</v>
      </c>
      <c r="U476" t="b">
        <f>[1]LISTADO_OTS!O476</f>
        <v>1</v>
      </c>
      <c r="V476" t="str">
        <f>[1]LISTADO_OTS!J476</f>
        <v>Erbi</v>
      </c>
      <c r="W476">
        <f>[1]LISTADO_OTS!R476</f>
        <v>1</v>
      </c>
      <c r="X476" t="str">
        <f>[1]LISTADO_OTS!P476</f>
        <v>KERMAN y EMILIO</v>
      </c>
      <c r="Y476">
        <v>1</v>
      </c>
      <c r="Z476">
        <f>[1]LISTADO_OTS!S476</f>
        <v>1</v>
      </c>
    </row>
    <row r="477" spans="1:26" x14ac:dyDescent="0.4">
      <c r="A477">
        <v>476</v>
      </c>
      <c r="B477" t="str">
        <f>[1]LISTADO_OTS!E477</f>
        <v>OT/0353</v>
      </c>
      <c r="C477">
        <f>VLOOKUP([1]LISTADO_OTS!B477,[1]Redes!$C$1:$E$5,3,FALSE)</f>
        <v>5</v>
      </c>
      <c r="D477">
        <f>[1]LISTADO_OTS!C477</f>
        <v>1</v>
      </c>
      <c r="E477">
        <f>[1]LISTADO_OTS!D477</f>
        <v>0</v>
      </c>
      <c r="F477">
        <f>[1]LISTADO_OTS!Q477</f>
        <v>1</v>
      </c>
      <c r="G477">
        <f>[1]LISTADO_OTS!R477</f>
        <v>1</v>
      </c>
      <c r="H477" t="str">
        <f>[1]LISTADO_OTS!H477</f>
        <v>Atasco en Delika</v>
      </c>
      <c r="I477" t="str">
        <f>[1]LISTADO_OTS!I477</f>
        <v>Atasco en Delika</v>
      </c>
      <c r="J477" s="1">
        <f>[1]LISTADO_OTS!F477</f>
        <v>45926</v>
      </c>
      <c r="K477" s="1">
        <f>[1]LISTADO_OTS!G477</f>
        <v>45926</v>
      </c>
      <c r="L477">
        <f>[1]LISTADO_OTS!M477</f>
        <v>0</v>
      </c>
      <c r="M477">
        <f>[1]LISTADO_OTS!N477</f>
        <v>0</v>
      </c>
      <c r="U477" t="b">
        <f>[1]LISTADO_OTS!O477</f>
        <v>1</v>
      </c>
      <c r="V477" t="str">
        <f>[1]LISTADO_OTS!J477</f>
        <v>Delika</v>
      </c>
      <c r="W477">
        <f>[1]LISTADO_OTS!R477</f>
        <v>1</v>
      </c>
      <c r="X477" t="str">
        <f>[1]LISTADO_OTS!P477</f>
        <v>MIGUEL</v>
      </c>
      <c r="Y477">
        <v>1</v>
      </c>
      <c r="Z477">
        <f>[1]LISTADO_OTS!S477</f>
        <v>2</v>
      </c>
    </row>
    <row r="478" spans="1:26" x14ac:dyDescent="0.4">
      <c r="A478">
        <v>477</v>
      </c>
      <c r="B478" t="str">
        <f>[1]LISTADO_OTS!E478</f>
        <v>TP/0219</v>
      </c>
      <c r="C478">
        <f>VLOOKUP([1]LISTADO_OTS!B478,[1]Redes!$C$1:$E$5,3,FALSE)</f>
        <v>1</v>
      </c>
      <c r="D478">
        <f>[1]LISTADO_OTS!C478</f>
        <v>2</v>
      </c>
      <c r="E478">
        <f>[1]LISTADO_OTS!D478</f>
        <v>2</v>
      </c>
      <c r="F478">
        <f>[1]LISTADO_OTS!Q478</f>
        <v>1</v>
      </c>
      <c r="G478">
        <f>[1]LISTADO_OTS!R478</f>
        <v>1</v>
      </c>
      <c r="H478" t="str">
        <f>[1]LISTADO_OTS!H478</f>
        <v>Limpieza Captaciones</v>
      </c>
      <c r="I478" t="str">
        <f>[1]LISTADO_OTS!I478</f>
        <v>Limpieza Captaciones</v>
      </c>
      <c r="J478" s="1">
        <f>[1]LISTADO_OTS!F478</f>
        <v>45926</v>
      </c>
      <c r="K478" s="1">
        <f>[1]LISTADO_OTS!G478</f>
        <v>45926</v>
      </c>
      <c r="L478">
        <f>[1]LISTADO_OTS!M478</f>
        <v>0</v>
      </c>
      <c r="M478">
        <f>[1]LISTADO_OTS!N478</f>
        <v>0</v>
      </c>
      <c r="U478" t="b">
        <f>[1]LISTADO_OTS!O478</f>
        <v>1</v>
      </c>
      <c r="V478" t="str">
        <f>[1]LISTADO_OTS!J478</f>
        <v>Aiaraldea</v>
      </c>
      <c r="W478">
        <f>[1]LISTADO_OTS!R478</f>
        <v>1</v>
      </c>
      <c r="X478">
        <f>[1]LISTADO_OTS!P478</f>
        <v>0</v>
      </c>
      <c r="Y478">
        <v>1</v>
      </c>
      <c r="Z478">
        <f>[1]LISTADO_OTS!S478</f>
        <v>0</v>
      </c>
    </row>
    <row r="479" spans="1:26" x14ac:dyDescent="0.4">
      <c r="A479">
        <v>478</v>
      </c>
      <c r="B479" t="str">
        <f>[1]LISTADO_OTS!E479</f>
        <v>OT/0354</v>
      </c>
      <c r="C479">
        <f>VLOOKUP([1]LISTADO_OTS!B479,[1]Redes!$C$1:$E$5,3,FALSE)</f>
        <v>3</v>
      </c>
      <c r="D479">
        <f>[1]LISTADO_OTS!C479</f>
        <v>1</v>
      </c>
      <c r="E479">
        <f>[1]LISTADO_OTS!D479</f>
        <v>0</v>
      </c>
      <c r="F479">
        <f>[1]LISTADO_OTS!Q479</f>
        <v>1</v>
      </c>
      <c r="G479">
        <f>[1]LISTADO_OTS!R479</f>
        <v>1</v>
      </c>
      <c r="H479" t="str">
        <f>[1]LISTADO_OTS!H479</f>
        <v>Reparación de fuga en Llanteno</v>
      </c>
      <c r="I479" t="str">
        <f>[1]LISTADO_OTS!I479</f>
        <v>Reparación de fuga en Llanteno</v>
      </c>
      <c r="J479" s="1">
        <f>[1]LISTADO_OTS!F479</f>
        <v>45926</v>
      </c>
      <c r="K479" s="1">
        <f>[1]LISTADO_OTS!G479</f>
        <v>45926</v>
      </c>
      <c r="L479">
        <f>[1]LISTADO_OTS!M479</f>
        <v>0</v>
      </c>
      <c r="M479">
        <f>[1]LISTADO_OTS!N479</f>
        <v>0</v>
      </c>
      <c r="U479" t="b">
        <f>[1]LISTADO_OTS!O479</f>
        <v>1</v>
      </c>
      <c r="V479" t="str">
        <f>[1]LISTADO_OTS!J479</f>
        <v>Llanteno</v>
      </c>
      <c r="W479">
        <f>[1]LISTADO_OTS!R479</f>
        <v>1</v>
      </c>
      <c r="X479">
        <f>[1]LISTADO_OTS!P479</f>
        <v>0</v>
      </c>
      <c r="Y479">
        <v>1</v>
      </c>
      <c r="Z479">
        <f>[1]LISTADO_OTS!S479</f>
        <v>1</v>
      </c>
    </row>
    <row r="480" spans="1:26" x14ac:dyDescent="0.4">
      <c r="A480">
        <v>479</v>
      </c>
      <c r="B480" t="str">
        <f>[1]LISTADO_OTS!E480</f>
        <v>OT/0355</v>
      </c>
      <c r="C480">
        <f>VLOOKUP([1]LISTADO_OTS!B480,[1]Redes!$C$1:$E$5,3,FALSE)</f>
        <v>5</v>
      </c>
      <c r="D480">
        <f>[1]LISTADO_OTS!C480</f>
        <v>1</v>
      </c>
      <c r="E480">
        <f>[1]LISTADO_OTS!D480</f>
        <v>0</v>
      </c>
      <c r="F480">
        <f>[1]LISTADO_OTS!Q480</f>
        <v>5</v>
      </c>
      <c r="G480">
        <f>[1]LISTADO_OTS!R480</f>
        <v>41</v>
      </c>
      <c r="H480" t="str">
        <f>[1]LISTADO_OTS!H480</f>
        <v>Desatasco en Ribabellosa en C/Manuel de Etxanobe</v>
      </c>
      <c r="I480" t="str">
        <f>[1]LISTADO_OTS!I480</f>
        <v>Desatasco en Ribabellosa en C/Manuel de Etxanobe</v>
      </c>
      <c r="J480" s="1">
        <f>[1]LISTADO_OTS!F480</f>
        <v>45927</v>
      </c>
      <c r="K480" s="1">
        <f>[1]LISTADO_OTS!G480</f>
        <v>45927</v>
      </c>
      <c r="L480">
        <f>[1]LISTADO_OTS!M480</f>
        <v>0</v>
      </c>
      <c r="M480">
        <f>[1]LISTADO_OTS!N480</f>
        <v>0</v>
      </c>
      <c r="U480" t="b">
        <f>[1]LISTADO_OTS!O480</f>
        <v>1</v>
      </c>
      <c r="V480" t="str">
        <f>[1]LISTADO_OTS!J480</f>
        <v>Ribabellosa</v>
      </c>
      <c r="W480">
        <f>[1]LISTADO_OTS!R480</f>
        <v>41</v>
      </c>
      <c r="X480">
        <f>[1]LISTADO_OTS!P480</f>
        <v>0</v>
      </c>
      <c r="Y480">
        <v>1</v>
      </c>
      <c r="Z480">
        <f>[1]LISTADO_OTS!S480</f>
        <v>2</v>
      </c>
    </row>
    <row r="481" spans="1:26" x14ac:dyDescent="0.4">
      <c r="A481">
        <v>480</v>
      </c>
      <c r="B481" t="str">
        <f>[1]LISTADO_OTS!E481</f>
        <v>OT/0356</v>
      </c>
      <c r="C481">
        <f>VLOOKUP([1]LISTADO_OTS!B481,[1]Redes!$C$1:$E$5,3,FALSE)</f>
        <v>3</v>
      </c>
      <c r="D481">
        <f>[1]LISTADO_OTS!C481</f>
        <v>1</v>
      </c>
      <c r="E481">
        <f>[1]LISTADO_OTS!D481</f>
        <v>0</v>
      </c>
      <c r="F481">
        <f>[1]LISTADO_OTS!Q481</f>
        <v>1</v>
      </c>
      <c r="G481">
        <f>[1]LISTADO_OTS!R481</f>
        <v>1</v>
      </c>
      <c r="H481" t="str">
        <f>[1]LISTADO_OTS!H481</f>
        <v>Abonado sin agua ( Las Vegas )</v>
      </c>
      <c r="I481" t="str">
        <f>[1]LISTADO_OTS!I481</f>
        <v>Suciedad en contador</v>
      </c>
      <c r="J481" s="1">
        <f>[1]LISTADO_OTS!F481</f>
        <v>45927</v>
      </c>
      <c r="K481" s="1">
        <f>[1]LISTADO_OTS!G481</f>
        <v>45927</v>
      </c>
      <c r="L481">
        <f>[1]LISTADO_OTS!M481</f>
        <v>0</v>
      </c>
      <c r="M481">
        <f>[1]LISTADO_OTS!N481</f>
        <v>0</v>
      </c>
      <c r="U481" t="b">
        <f>[1]LISTADO_OTS!O481</f>
        <v>1</v>
      </c>
      <c r="V481" t="str">
        <f>[1]LISTADO_OTS!J481</f>
        <v>Luiando</v>
      </c>
      <c r="W481">
        <f>[1]LISTADO_OTS!R481</f>
        <v>1</v>
      </c>
      <c r="X481">
        <f>[1]LISTADO_OTS!P481</f>
        <v>0</v>
      </c>
      <c r="Y481">
        <v>1</v>
      </c>
      <c r="Z481">
        <f>[1]LISTADO_OTS!S481</f>
        <v>2</v>
      </c>
    </row>
    <row r="482" spans="1:26" x14ac:dyDescent="0.4">
      <c r="A482">
        <v>481</v>
      </c>
      <c r="B482" t="str">
        <f>[1]LISTADO_OTS!E482</f>
        <v>OT/0357</v>
      </c>
      <c r="C482">
        <f>VLOOKUP([1]LISTADO_OTS!B482,[1]Redes!$C$1:$E$5,3,FALSE)</f>
        <v>3</v>
      </c>
      <c r="D482">
        <f>[1]LISTADO_OTS!C482</f>
        <v>1</v>
      </c>
      <c r="E482">
        <f>[1]LISTADO_OTS!D482</f>
        <v>0</v>
      </c>
      <c r="F482">
        <f>[1]LISTADO_OTS!Q482</f>
        <v>1</v>
      </c>
      <c r="G482">
        <f>[1]LISTADO_OTS!R482</f>
        <v>1</v>
      </c>
      <c r="H482" t="str">
        <f>[1]LISTADO_OTS!H482</f>
        <v>Aviso de fuga en C/Calle Arriba</v>
      </c>
      <c r="I482" t="str">
        <f>[1]LISTADO_OTS!I482</f>
        <v>Aviso de fuga en C/Calle Arriba</v>
      </c>
      <c r="J482" s="1">
        <f>[1]LISTADO_OTS!F482</f>
        <v>45927</v>
      </c>
      <c r="K482" s="1">
        <f>[1]LISTADO_OTS!G482</f>
        <v>45927</v>
      </c>
      <c r="L482">
        <f>[1]LISTADO_OTS!M482</f>
        <v>43.120756</v>
      </c>
      <c r="M482">
        <f>[1]LISTADO_OTS!N482</f>
        <v>-3.1285229999999999</v>
      </c>
      <c r="U482" t="b">
        <f>[1]LISTADO_OTS!O482</f>
        <v>1</v>
      </c>
      <c r="V482" t="str">
        <f>[1]LISTADO_OTS!J482</f>
        <v>Artziniega</v>
      </c>
      <c r="W482">
        <f>[1]LISTADO_OTS!R482</f>
        <v>1</v>
      </c>
      <c r="X482">
        <f>[1]LISTADO_OTS!P482</f>
        <v>0</v>
      </c>
      <c r="Y482">
        <v>1</v>
      </c>
      <c r="Z482">
        <f>[1]LISTADO_OTS!S482</f>
        <v>1</v>
      </c>
    </row>
    <row r="483" spans="1:26" x14ac:dyDescent="0.4">
      <c r="A483">
        <v>482</v>
      </c>
      <c r="B483" t="str">
        <f>[1]LISTADO_OTS!E483</f>
        <v>OT/0358</v>
      </c>
      <c r="C483">
        <f>VLOOKUP([1]LISTADO_OTS!B483,[1]Redes!$C$1:$E$5,3,FALSE)</f>
        <v>5</v>
      </c>
      <c r="D483">
        <f>[1]LISTADO_OTS!C483</f>
        <v>1</v>
      </c>
      <c r="E483">
        <f>[1]LISTADO_OTS!D483</f>
        <v>0</v>
      </c>
      <c r="F483">
        <f>[1]LISTADO_OTS!Q483</f>
        <v>5</v>
      </c>
      <c r="G483">
        <f>[1]LISTADO_OTS!R483</f>
        <v>41</v>
      </c>
      <c r="H483" t="str">
        <f>[1]LISTADO_OTS!H483</f>
        <v>Atasco saneamiento Pobes</v>
      </c>
      <c r="I483" t="str">
        <f>[1]LISTADO_OTS!I483</f>
        <v>Atasco saneamiento Pobes</v>
      </c>
      <c r="J483" s="1">
        <f>[1]LISTADO_OTS!F483</f>
        <v>45927</v>
      </c>
      <c r="K483" s="1">
        <f>[1]LISTADO_OTS!G483</f>
        <v>45927</v>
      </c>
      <c r="L483">
        <f>[1]LISTADO_OTS!M483</f>
        <v>42.800682000000002</v>
      </c>
      <c r="M483">
        <f>[1]LISTADO_OTS!N483</f>
        <v>-2.9109259999999999</v>
      </c>
      <c r="U483" t="b">
        <f>[1]LISTADO_OTS!O483</f>
        <v>1</v>
      </c>
      <c r="V483" t="str">
        <f>[1]LISTADO_OTS!J483</f>
        <v>Pobes</v>
      </c>
      <c r="W483">
        <f>[1]LISTADO_OTS!R483</f>
        <v>41</v>
      </c>
      <c r="X483">
        <f>[1]LISTADO_OTS!P483</f>
        <v>0</v>
      </c>
      <c r="Y483">
        <v>1</v>
      </c>
      <c r="Z483">
        <f>[1]LISTADO_OTS!S483</f>
        <v>2</v>
      </c>
    </row>
    <row r="484" spans="1:26" x14ac:dyDescent="0.4">
      <c r="A484">
        <v>483</v>
      </c>
      <c r="B484" t="str">
        <f>[1]LISTADO_OTS!E484</f>
        <v>OT/0359</v>
      </c>
      <c r="C484">
        <f>VLOOKUP([1]LISTADO_OTS!B484,[1]Redes!$C$1:$E$5,3,FALSE)</f>
        <v>3</v>
      </c>
      <c r="D484">
        <f>[1]LISTADO_OTS!C484</f>
        <v>1</v>
      </c>
      <c r="E484">
        <f>[1]LISTADO_OTS!D484</f>
        <v>0</v>
      </c>
      <c r="F484">
        <f>[1]LISTADO_OTS!Q484</f>
        <v>1</v>
      </c>
      <c r="G484">
        <f>[1]LISTADO_OTS!R484</f>
        <v>1</v>
      </c>
      <c r="H484" t="str">
        <f>[1]LISTADO_OTS!H484</f>
        <v>Corte de agua en C/Ruperto Urquijo n14 (URGENCIA)</v>
      </c>
      <c r="I484" t="str">
        <f>[1]LISTADO_OTS!I484</f>
        <v>Corte de agua en C/Ruperto Urquijo n14 (URGENCIA)</v>
      </c>
      <c r="J484" s="1">
        <f>[1]LISTADO_OTS!F484</f>
        <v>45927</v>
      </c>
      <c r="K484" s="1">
        <f>[1]LISTADO_OTS!G484</f>
        <v>45927</v>
      </c>
      <c r="L484">
        <f>[1]LISTADO_OTS!M484</f>
        <v>43.146209300000002</v>
      </c>
      <c r="M484">
        <f>[1]LISTADO_OTS!N484</f>
        <v>-2.9628999999999999</v>
      </c>
      <c r="U484" t="b">
        <f>[1]LISTADO_OTS!O484</f>
        <v>1</v>
      </c>
      <c r="V484" t="str">
        <f>[1]LISTADO_OTS!J484</f>
        <v>Llodio</v>
      </c>
      <c r="W484">
        <f>[1]LISTADO_OTS!R484</f>
        <v>1</v>
      </c>
      <c r="X484">
        <f>[1]LISTADO_OTS!P484</f>
        <v>0</v>
      </c>
      <c r="Y484">
        <v>1</v>
      </c>
      <c r="Z484">
        <f>[1]LISTADO_OTS!S484</f>
        <v>3</v>
      </c>
    </row>
    <row r="485" spans="1:26" x14ac:dyDescent="0.4">
      <c r="A485">
        <v>484</v>
      </c>
      <c r="B485" t="str">
        <f>[1]LISTADO_OTS!E485</f>
        <v>OT/0360</v>
      </c>
      <c r="C485">
        <f>VLOOKUP([1]LISTADO_OTS!B485,[1]Redes!$C$1:$E$5,3,FALSE)</f>
        <v>3</v>
      </c>
      <c r="D485">
        <f>[1]LISTADO_OTS!C485</f>
        <v>1</v>
      </c>
      <c r="E485">
        <f>[1]LISTADO_OTS!D485</f>
        <v>0</v>
      </c>
      <c r="F485">
        <f>[1]LISTADO_OTS!Q485</f>
        <v>1</v>
      </c>
      <c r="G485">
        <f>[1]LISTADO_OTS!R485</f>
        <v>1</v>
      </c>
      <c r="H485" t="str">
        <f>[1]LISTADO_OTS!H485</f>
        <v>Aviso de fuga en Barrataguren Artziniega</v>
      </c>
      <c r="I485" t="str">
        <f>[1]LISTADO_OTS!I485</f>
        <v>Aviso de fuga en Barrataguren Artziniega</v>
      </c>
      <c r="J485" s="1">
        <f>[1]LISTADO_OTS!F485</f>
        <v>45928</v>
      </c>
      <c r="K485" s="1">
        <f>[1]LISTADO_OTS!G485</f>
        <v>45928</v>
      </c>
      <c r="L485">
        <f>[1]LISTADO_OTS!M485</f>
        <v>43.139591000000003</v>
      </c>
      <c r="M485">
        <f>[1]LISTADO_OTS!N485</f>
        <v>-3.1092490000000002</v>
      </c>
      <c r="U485" t="b">
        <f>[1]LISTADO_OTS!O485</f>
        <v>1</v>
      </c>
      <c r="V485" t="str">
        <f>[1]LISTADO_OTS!J485</f>
        <v>Artziniega</v>
      </c>
      <c r="W485">
        <f>[1]LISTADO_OTS!R485</f>
        <v>1</v>
      </c>
      <c r="X485">
        <f>[1]LISTADO_OTS!P485</f>
        <v>0</v>
      </c>
      <c r="Y485">
        <v>1</v>
      </c>
      <c r="Z485">
        <f>[1]LISTADO_OTS!S485</f>
        <v>1</v>
      </c>
    </row>
    <row r="486" spans="1:26" x14ac:dyDescent="0.4">
      <c r="A486">
        <v>485</v>
      </c>
      <c r="B486" t="str">
        <f>[1]LISTADO_OTS!E486</f>
        <v>TP/0220</v>
      </c>
      <c r="C486">
        <f>VLOOKUP([1]LISTADO_OTS!B486,[1]Redes!$C$1:$E$5,3,FALSE)</f>
        <v>3</v>
      </c>
      <c r="D486">
        <f>[1]LISTADO_OTS!C486</f>
        <v>2</v>
      </c>
      <c r="E486">
        <f>[1]LISTADO_OTS!D486</f>
        <v>7</v>
      </c>
      <c r="F486">
        <f>[1]LISTADO_OTS!Q486</f>
        <v>1</v>
      </c>
      <c r="G486">
        <f>[1]LISTADO_OTS!R486</f>
        <v>1</v>
      </c>
      <c r="H486" t="str">
        <f>[1]LISTADO_OTS!H486</f>
        <v>Localización de fugas en Isasi (Llodio)</v>
      </c>
      <c r="I486" t="str">
        <f>[1]LISTADO_OTS!I486</f>
        <v>Localización de fugas en Isasi (Llodio)</v>
      </c>
      <c r="J486" s="1">
        <f>[1]LISTADO_OTS!F486</f>
        <v>45926</v>
      </c>
      <c r="K486" s="1">
        <f>[1]LISTADO_OTS!G486</f>
        <v>45926</v>
      </c>
      <c r="L486">
        <f>[1]LISTADO_OTS!M486</f>
        <v>0</v>
      </c>
      <c r="M486">
        <f>[1]LISTADO_OTS!N486</f>
        <v>0</v>
      </c>
      <c r="U486" t="b">
        <f>[1]LISTADO_OTS!O486</f>
        <v>1</v>
      </c>
      <c r="V486" t="str">
        <f>[1]LISTADO_OTS!J486</f>
        <v>Llodio</v>
      </c>
      <c r="W486">
        <f>[1]LISTADO_OTS!R486</f>
        <v>1</v>
      </c>
      <c r="X486" t="str">
        <f>[1]LISTADO_OTS!P486</f>
        <v>ENEKO</v>
      </c>
      <c r="Y486">
        <v>1</v>
      </c>
      <c r="Z486">
        <f>[1]LISTADO_OTS!S486</f>
        <v>1</v>
      </c>
    </row>
    <row r="487" spans="1:26" x14ac:dyDescent="0.4">
      <c r="A487">
        <v>486</v>
      </c>
      <c r="B487" t="str">
        <f>[1]LISTADO_OTS!E487</f>
        <v>OT/0361</v>
      </c>
      <c r="C487">
        <f>VLOOKUP([1]LISTADO_OTS!B487,[1]Redes!$C$1:$E$5,3,FALSE)</f>
        <v>3</v>
      </c>
      <c r="D487">
        <f>[1]LISTADO_OTS!C487</f>
        <v>1</v>
      </c>
      <c r="E487">
        <f>[1]LISTADO_OTS!D487</f>
        <v>0</v>
      </c>
      <c r="F487">
        <f>[1]LISTADO_OTS!Q487</f>
        <v>1</v>
      </c>
      <c r="G487">
        <f>[1]LISTADO_OTS!R487</f>
        <v>1</v>
      </c>
      <c r="H487" t="str">
        <f>[1]LISTADO_OTS!H487</f>
        <v>Reparación de fuga en Barrataguren y Clariant (Artziniega)</v>
      </c>
      <c r="I487" t="str">
        <f>[1]LISTADO_OTS!I487</f>
        <v>Reparación de fuga en Barrataguren y Clariant (Artziniega)</v>
      </c>
      <c r="J487" s="1">
        <f>[1]LISTADO_OTS!F487</f>
        <v>45929</v>
      </c>
      <c r="K487" s="1">
        <f>[1]LISTADO_OTS!G487</f>
        <v>45929</v>
      </c>
      <c r="L487">
        <f>[1]LISTADO_OTS!M487</f>
        <v>43.139591000000003</v>
      </c>
      <c r="M487">
        <f>[1]LISTADO_OTS!N487</f>
        <v>-3.1092490000000002</v>
      </c>
      <c r="U487" t="b">
        <f>[1]LISTADO_OTS!O487</f>
        <v>1</v>
      </c>
      <c r="V487" t="str">
        <f>[1]LISTADO_OTS!J487</f>
        <v>Artziniega</v>
      </c>
      <c r="W487">
        <f>[1]LISTADO_OTS!R487</f>
        <v>1</v>
      </c>
      <c r="X487" t="str">
        <f>[1]LISTADO_OTS!P487</f>
        <v>MIGUEL</v>
      </c>
      <c r="Y487">
        <v>1</v>
      </c>
      <c r="Z487">
        <f>[1]LISTADO_OTS!S487</f>
        <v>1</v>
      </c>
    </row>
    <row r="488" spans="1:26" x14ac:dyDescent="0.4">
      <c r="A488">
        <v>487</v>
      </c>
      <c r="B488" t="str">
        <f>[1]LISTADO_OTS!E488</f>
        <v>TP/0221</v>
      </c>
      <c r="C488">
        <f>VLOOKUP([1]LISTADO_OTS!B488,[1]Redes!$C$1:$E$5,3,FALSE)</f>
        <v>5</v>
      </c>
      <c r="D488">
        <f>[1]LISTADO_OTS!C488</f>
        <v>2</v>
      </c>
      <c r="E488">
        <f>[1]LISTADO_OTS!D488</f>
        <v>1</v>
      </c>
      <c r="F488">
        <f>[1]LISTADO_OTS!Q488</f>
        <v>3</v>
      </c>
      <c r="G488">
        <f>[1]LISTADO_OTS!R488</f>
        <v>21</v>
      </c>
      <c r="H488" t="str">
        <f>[1]LISTADO_OTS!H488</f>
        <v>Limpieza preventiva en saneamiento en Alegría</v>
      </c>
      <c r="I488" t="str">
        <f>[1]LISTADO_OTS!I488</f>
        <v>Limpieza preventiva en saneamiento en Alegría</v>
      </c>
      <c r="J488" s="1">
        <f>[1]LISTADO_OTS!F488</f>
        <v>45929</v>
      </c>
      <c r="K488" s="1">
        <f>[1]LISTADO_OTS!G488</f>
        <v>45929</v>
      </c>
      <c r="L488">
        <f>[1]LISTADO_OTS!M488</f>
        <v>0</v>
      </c>
      <c r="M488">
        <f>[1]LISTADO_OTS!N488</f>
        <v>0</v>
      </c>
      <c r="U488" t="b">
        <f>[1]LISTADO_OTS!O488</f>
        <v>1</v>
      </c>
      <c r="V488" t="str">
        <f>[1]LISTADO_OTS!J488</f>
        <v>Alegría</v>
      </c>
      <c r="W488">
        <f>[1]LISTADO_OTS!R488</f>
        <v>21</v>
      </c>
      <c r="X488" t="str">
        <f>[1]LISTADO_OTS!P488</f>
        <v>EMILIO Y MIGUEL</v>
      </c>
      <c r="Y488">
        <v>1</v>
      </c>
      <c r="Z488">
        <f>[1]LISTADO_OTS!S488</f>
        <v>0</v>
      </c>
    </row>
    <row r="489" spans="1:26" x14ac:dyDescent="0.4">
      <c r="A489">
        <v>488</v>
      </c>
      <c r="B489" t="str">
        <f>[1]LISTADO_OTS!E489</f>
        <v>OT/0362</v>
      </c>
      <c r="C489">
        <f>VLOOKUP([1]LISTADO_OTS!B489,[1]Redes!$C$1:$E$5,3,FALSE)</f>
        <v>3</v>
      </c>
      <c r="D489">
        <f>[1]LISTADO_OTS!C489</f>
        <v>1</v>
      </c>
      <c r="E489">
        <f>[1]LISTADO_OTS!D489</f>
        <v>0</v>
      </c>
      <c r="F489">
        <f>[1]LISTADO_OTS!Q489</f>
        <v>1</v>
      </c>
      <c r="G489">
        <f>[1]LISTADO_OTS!R489</f>
        <v>1</v>
      </c>
      <c r="H489" t="str">
        <f>[1]LISTADO_OTS!H489</f>
        <v>Comprobación de válvulas de acometida en C/Ruperto Urquijo n14 (Llodio)</v>
      </c>
      <c r="I489" t="str">
        <f>[1]LISTADO_OTS!I489</f>
        <v>Comprobación de válvulas de acometida en C/Ruperto Urquijo n14 (Llodio)</v>
      </c>
      <c r="J489" s="1">
        <f>[1]LISTADO_OTS!F489</f>
        <v>45926</v>
      </c>
      <c r="K489" s="1">
        <f>[1]LISTADO_OTS!G489</f>
        <v>45926</v>
      </c>
      <c r="L489">
        <f>[1]LISTADO_OTS!M489</f>
        <v>43.152410000000003</v>
      </c>
      <c r="M489">
        <f>[1]LISTADO_OTS!N489</f>
        <v>-2.973001</v>
      </c>
      <c r="U489" t="b">
        <f>[1]LISTADO_OTS!O489</f>
        <v>1</v>
      </c>
      <c r="V489" t="str">
        <f>[1]LISTADO_OTS!J489</f>
        <v>Llodio</v>
      </c>
      <c r="W489">
        <f>[1]LISTADO_OTS!R489</f>
        <v>1</v>
      </c>
      <c r="X489" t="str">
        <f>[1]LISTADO_OTS!P489</f>
        <v>TOMAS</v>
      </c>
      <c r="Y489">
        <v>1</v>
      </c>
      <c r="Z489">
        <f>[1]LISTADO_OTS!S489</f>
        <v>3</v>
      </c>
    </row>
    <row r="490" spans="1:26" x14ac:dyDescent="0.4">
      <c r="A490">
        <v>489</v>
      </c>
      <c r="B490" t="str">
        <f>[1]LISTADO_OTS!E490</f>
        <v>OT/0363</v>
      </c>
      <c r="C490">
        <f>VLOOKUP([1]LISTADO_OTS!B490,[1]Redes!$C$1:$E$5,3,FALSE)</f>
        <v>3</v>
      </c>
      <c r="D490">
        <f>[1]LISTADO_OTS!C490</f>
        <v>1</v>
      </c>
      <c r="E490">
        <f>[1]LISTADO_OTS!D490</f>
        <v>0</v>
      </c>
      <c r="F490">
        <f>[1]LISTADO_OTS!Q490</f>
        <v>1</v>
      </c>
      <c r="G490">
        <f>[1]LISTADO_OTS!R490</f>
        <v>1</v>
      </c>
      <c r="H490" t="str">
        <f>[1]LISTADO_OTS!H490</f>
        <v>Cerramos acometida  C/Ruperto Urquijo n14 (Llodio)</v>
      </c>
      <c r="I490" t="str">
        <f>[1]LISTADO_OTS!I490</f>
        <v>Cerramos acometida a petición de los vecinos C/Ruperto Urquijo n14 (Llodio)</v>
      </c>
      <c r="J490" s="1">
        <f>[1]LISTADO_OTS!F490</f>
        <v>45928</v>
      </c>
      <c r="K490" s="1">
        <f>[1]LISTADO_OTS!G490</f>
        <v>45928</v>
      </c>
      <c r="L490">
        <f>[1]LISTADO_OTS!M490</f>
        <v>43.146209300000002</v>
      </c>
      <c r="M490">
        <f>[1]LISTADO_OTS!N490</f>
        <v>-2.9633720000000001</v>
      </c>
      <c r="U490" t="b">
        <f>[1]LISTADO_OTS!O490</f>
        <v>1</v>
      </c>
      <c r="V490" t="str">
        <f>[1]LISTADO_OTS!J490</f>
        <v>Llodio</v>
      </c>
      <c r="W490">
        <f>[1]LISTADO_OTS!R490</f>
        <v>1</v>
      </c>
      <c r="X490" t="str">
        <f>[1]LISTADO_OTS!P490</f>
        <v>TOMAS</v>
      </c>
      <c r="Y490">
        <v>1</v>
      </c>
      <c r="Z490">
        <f>[1]LISTADO_OTS!S490</f>
        <v>3</v>
      </c>
    </row>
    <row r="491" spans="1:26" x14ac:dyDescent="0.4">
      <c r="A491">
        <v>490</v>
      </c>
      <c r="B491" t="str">
        <f>[1]LISTADO_OTS!E491</f>
        <v>OT/0364</v>
      </c>
      <c r="C491">
        <f>VLOOKUP([1]LISTADO_OTS!B491,[1]Redes!$C$1:$E$5,3,FALSE)</f>
        <v>3</v>
      </c>
      <c r="D491">
        <f>[1]LISTADO_OTS!C491</f>
        <v>1</v>
      </c>
      <c r="E491">
        <f>[1]LISTADO_OTS!D491</f>
        <v>0</v>
      </c>
      <c r="F491">
        <f>[1]LISTADO_OTS!Q491</f>
        <v>1</v>
      </c>
      <c r="G491">
        <f>[1]LISTADO_OTS!R491</f>
        <v>1</v>
      </c>
      <c r="H491" t="str">
        <f>[1]LISTADO_OTS!H491</f>
        <v>Revisión de acometida en C/Batzalarrin n8 (Llodio)</v>
      </c>
      <c r="I491" t="str">
        <f>[1]LISTADO_OTS!I491</f>
        <v>Revisión de acometida en C/Batzalarrin n8 (Llodio)</v>
      </c>
      <c r="J491" s="1">
        <f>[1]LISTADO_OTS!F491</f>
        <v>45929</v>
      </c>
      <c r="K491" s="1">
        <f>[1]LISTADO_OTS!G491</f>
        <v>45929</v>
      </c>
      <c r="L491">
        <f>[1]LISTADO_OTS!M491</f>
        <v>43.142287000000003</v>
      </c>
      <c r="M491">
        <f>[1]LISTADO_OTS!N491</f>
        <v>-2.9628999999999999</v>
      </c>
      <c r="U491" t="b">
        <f>[1]LISTADO_OTS!O491</f>
        <v>1</v>
      </c>
      <c r="V491" t="str">
        <f>[1]LISTADO_OTS!J491</f>
        <v>Llodio</v>
      </c>
      <c r="W491">
        <f>[1]LISTADO_OTS!R491</f>
        <v>1</v>
      </c>
      <c r="X491" t="str">
        <f>[1]LISTADO_OTS!P491</f>
        <v>TOMAS</v>
      </c>
      <c r="Y491">
        <v>1</v>
      </c>
      <c r="Z491">
        <f>[1]LISTADO_OTS!S491</f>
        <v>3</v>
      </c>
    </row>
    <row r="492" spans="1:26" x14ac:dyDescent="0.4">
      <c r="A492">
        <v>491</v>
      </c>
      <c r="B492" t="str">
        <f>[1]LISTADO_OTS!E492</f>
        <v>OT/0365</v>
      </c>
      <c r="C492">
        <f>VLOOKUP([1]LISTADO_OTS!B492,[1]Redes!$C$1:$E$5,3,FALSE)</f>
        <v>3</v>
      </c>
      <c r="D492">
        <f>[1]LISTADO_OTS!C492</f>
        <v>1</v>
      </c>
      <c r="E492">
        <f>[1]LISTADO_OTS!D492</f>
        <v>0</v>
      </c>
      <c r="F492">
        <f>[1]LISTADO_OTS!Q492</f>
        <v>1</v>
      </c>
      <c r="G492">
        <f>[1]LISTADO_OTS!R492</f>
        <v>1</v>
      </c>
      <c r="H492" t="str">
        <f>[1]LISTADO_OTS!H492</f>
        <v>Aviso de fuga en Isasi n20 (Llodio)</v>
      </c>
      <c r="I492" t="str">
        <f>[1]LISTADO_OTS!I492</f>
        <v>Aviso de fuga en Isasi n20 (Llodio)</v>
      </c>
      <c r="J492" s="1">
        <f>[1]LISTADO_OTS!F492</f>
        <v>45929</v>
      </c>
      <c r="K492" s="1">
        <f>[1]LISTADO_OTS!G492</f>
        <v>45929</v>
      </c>
      <c r="L492">
        <f>[1]LISTADO_OTS!M492</f>
        <v>43.151170999999998</v>
      </c>
      <c r="M492">
        <f>[1]LISTADO_OTS!N492</f>
        <v>-2.9713799999999999</v>
      </c>
      <c r="U492" t="b">
        <f>[1]LISTADO_OTS!O492</f>
        <v>1</v>
      </c>
      <c r="V492" t="str">
        <f>[1]LISTADO_OTS!J492</f>
        <v>Llodio</v>
      </c>
      <c r="W492">
        <f>[1]LISTADO_OTS!R492</f>
        <v>1</v>
      </c>
      <c r="X492" t="str">
        <f>[1]LISTADO_OTS!P492</f>
        <v>TOMAS</v>
      </c>
      <c r="Y492">
        <v>1</v>
      </c>
      <c r="Z492">
        <f>[1]LISTADO_OTS!S492</f>
        <v>1</v>
      </c>
    </row>
    <row r="493" spans="1:26" x14ac:dyDescent="0.4">
      <c r="A493">
        <v>492</v>
      </c>
      <c r="B493" t="str">
        <f>[1]LISTADO_OTS!E493</f>
        <v>OT/0366</v>
      </c>
      <c r="C493">
        <f>VLOOKUP([1]LISTADO_OTS!B493,[1]Redes!$C$1:$E$5,3,FALSE)</f>
        <v>3</v>
      </c>
      <c r="D493">
        <f>[1]LISTADO_OTS!C493</f>
        <v>1</v>
      </c>
      <c r="E493">
        <f>[1]LISTADO_OTS!D493</f>
        <v>0</v>
      </c>
      <c r="F493">
        <f>[1]LISTADO_OTS!Q493</f>
        <v>1</v>
      </c>
      <c r="G493">
        <f>[1]LISTADO_OTS!R493</f>
        <v>1</v>
      </c>
      <c r="H493" t="str">
        <f>[1]LISTADO_OTS!H493</f>
        <v>Colocación de avisos de corte de agua C/Urumea n4-5</v>
      </c>
      <c r="I493" t="str">
        <f>[1]LISTADO_OTS!I493</f>
        <v>Colocación de avisos de corte de agua C/Urumea n4-5</v>
      </c>
      <c r="J493" s="1">
        <f>[1]LISTADO_OTS!F493</f>
        <v>45926</v>
      </c>
      <c r="K493" s="1">
        <f>[1]LISTADO_OTS!G493</f>
        <v>45926</v>
      </c>
      <c r="L493">
        <f>[1]LISTADO_OTS!M493</f>
        <v>0</v>
      </c>
      <c r="M493">
        <f>[1]LISTADO_OTS!N493</f>
        <v>0</v>
      </c>
      <c r="U493" t="b">
        <f>[1]LISTADO_OTS!O493</f>
        <v>1</v>
      </c>
      <c r="V493" t="str">
        <f>[1]LISTADO_OTS!J493</f>
        <v>Llodio</v>
      </c>
      <c r="W493">
        <f>[1]LISTADO_OTS!R493</f>
        <v>1</v>
      </c>
      <c r="X493" t="str">
        <f>[1]LISTADO_OTS!P493</f>
        <v>TOMAS</v>
      </c>
      <c r="Y493">
        <v>1</v>
      </c>
      <c r="Z493">
        <f>[1]LISTADO_OTS!S493</f>
        <v>3</v>
      </c>
    </row>
    <row r="494" spans="1:26" x14ac:dyDescent="0.4">
      <c r="A494">
        <v>493</v>
      </c>
      <c r="B494" t="str">
        <f>[1]LISTADO_OTS!E494</f>
        <v>TP/0222</v>
      </c>
      <c r="C494">
        <f>VLOOKUP([1]LISTADO_OTS!B494,[1]Redes!$C$1:$E$5,3,FALSE)</f>
        <v>3</v>
      </c>
      <c r="D494">
        <f>[1]LISTADO_OTS!C494</f>
        <v>2</v>
      </c>
      <c r="E494">
        <f>[1]LISTADO_OTS!D494</f>
        <v>13</v>
      </c>
      <c r="F494">
        <f>[1]LISTADO_OTS!Q494</f>
        <v>1</v>
      </c>
      <c r="G494">
        <f>[1]LISTADO_OTS!R494</f>
        <v>1</v>
      </c>
      <c r="H494" t="str">
        <f>[1]LISTADO_OTS!H494</f>
        <v>Asistencia a aperajador municipal en C/Lateorro (colegio en Llodio)</v>
      </c>
      <c r="I494" t="str">
        <f>[1]LISTADO_OTS!I494</f>
        <v>Asistencia a aperajador municipal en C/Lateorro (colegio en Llodio)</v>
      </c>
      <c r="J494" s="1">
        <f>[1]LISTADO_OTS!F494</f>
        <v>45929</v>
      </c>
      <c r="K494" s="1">
        <f>[1]LISTADO_OTS!G494</f>
        <v>45929</v>
      </c>
      <c r="L494">
        <f>[1]LISTADO_OTS!M494</f>
        <v>0</v>
      </c>
      <c r="M494">
        <f>[1]LISTADO_OTS!N494</f>
        <v>0</v>
      </c>
      <c r="U494" t="b">
        <f>[1]LISTADO_OTS!O494</f>
        <v>1</v>
      </c>
      <c r="V494" t="str">
        <f>[1]LISTADO_OTS!J494</f>
        <v>Llodio</v>
      </c>
      <c r="W494">
        <f>[1]LISTADO_OTS!R494</f>
        <v>1</v>
      </c>
      <c r="X494" t="str">
        <f>[1]LISTADO_OTS!P494</f>
        <v>TOMAS</v>
      </c>
      <c r="Y494">
        <v>1</v>
      </c>
      <c r="Z494">
        <f>[1]LISTADO_OTS!S494</f>
        <v>0</v>
      </c>
    </row>
    <row r="495" spans="1:26" x14ac:dyDescent="0.4">
      <c r="A495">
        <v>494</v>
      </c>
      <c r="B495" t="str">
        <f>[1]LISTADO_OTS!E495</f>
        <v>TP/0223</v>
      </c>
      <c r="C495">
        <f>VLOOKUP([1]LISTADO_OTS!B495,[1]Redes!$C$1:$E$5,3,FALSE)</f>
        <v>3</v>
      </c>
      <c r="D495">
        <f>[1]LISTADO_OTS!C495</f>
        <v>2</v>
      </c>
      <c r="E495">
        <f>[1]LISTADO_OTS!D495</f>
        <v>11</v>
      </c>
      <c r="F495">
        <f>[1]LISTADO_OTS!Q495</f>
        <v>1</v>
      </c>
      <c r="G495">
        <f>[1]LISTADO_OTS!R495</f>
        <v>1</v>
      </c>
      <c r="H495" t="str">
        <f>[1]LISTADO_OTS!H495</f>
        <v>Toma de lectura de contadores sectoriales en Llodio</v>
      </c>
      <c r="I495" t="str">
        <f>[1]LISTADO_OTS!I495</f>
        <v>Toma de lectura de contadores sectoriales en Llodio</v>
      </c>
      <c r="J495" s="1">
        <f>[1]LISTADO_OTS!F495</f>
        <v>45929</v>
      </c>
      <c r="K495" s="1">
        <f>[1]LISTADO_OTS!G495</f>
        <v>45929</v>
      </c>
      <c r="L495">
        <f>[1]LISTADO_OTS!M495</f>
        <v>0</v>
      </c>
      <c r="M495">
        <f>[1]LISTADO_OTS!N495</f>
        <v>0</v>
      </c>
      <c r="U495" t="b">
        <f>[1]LISTADO_OTS!O495</f>
        <v>1</v>
      </c>
      <c r="V495" t="str">
        <f>[1]LISTADO_OTS!J495</f>
        <v>Llodio</v>
      </c>
      <c r="W495">
        <f>[1]LISTADO_OTS!R495</f>
        <v>1</v>
      </c>
      <c r="X495" t="str">
        <f>[1]LISTADO_OTS!P495</f>
        <v>TOMAS</v>
      </c>
      <c r="Y495">
        <v>1</v>
      </c>
      <c r="Z495">
        <f>[1]LISTADO_OTS!S495</f>
        <v>0</v>
      </c>
    </row>
    <row r="496" spans="1:26" x14ac:dyDescent="0.4">
      <c r="A496">
        <v>495</v>
      </c>
      <c r="B496" t="str">
        <f>[1]LISTADO_OTS!E496</f>
        <v>TP/0224</v>
      </c>
      <c r="C496">
        <f>VLOOKUP([1]LISTADO_OTS!B496,[1]Redes!$C$1:$E$5,3,FALSE)</f>
        <v>3</v>
      </c>
      <c r="D496">
        <f>[1]LISTADO_OTS!C496</f>
        <v>2</v>
      </c>
      <c r="E496">
        <f>[1]LISTADO_OTS!D496</f>
        <v>7</v>
      </c>
      <c r="F496">
        <f>[1]LISTADO_OTS!Q496</f>
        <v>1</v>
      </c>
      <c r="G496">
        <f>[1]LISTADO_OTS!R496</f>
        <v>1</v>
      </c>
      <c r="H496" t="str">
        <f>[1]LISTADO_OTS!H496</f>
        <v>Localización de fugas en (sector Areta) (Llodio)</v>
      </c>
      <c r="I496" t="str">
        <f>[1]LISTADO_OTS!I496</f>
        <v>Localización de fugas en (sector Areta) (Llodio)</v>
      </c>
      <c r="J496" s="1">
        <f>[1]LISTADO_OTS!F496</f>
        <v>45930</v>
      </c>
      <c r="K496" s="1">
        <f>[1]LISTADO_OTS!G496</f>
        <v>45930</v>
      </c>
      <c r="L496">
        <f>[1]LISTADO_OTS!M496</f>
        <v>0</v>
      </c>
      <c r="M496">
        <f>[1]LISTADO_OTS!N496</f>
        <v>0</v>
      </c>
      <c r="U496" t="b">
        <f>[1]LISTADO_OTS!O496</f>
        <v>1</v>
      </c>
      <c r="V496" t="str">
        <f>[1]LISTADO_OTS!J496</f>
        <v>Llodio</v>
      </c>
      <c r="W496">
        <f>[1]LISTADO_OTS!R496</f>
        <v>1</v>
      </c>
      <c r="X496" t="str">
        <f>[1]LISTADO_OTS!P496</f>
        <v>TOMAS</v>
      </c>
      <c r="Y496">
        <v>1</v>
      </c>
      <c r="Z496">
        <f>[1]LISTADO_OTS!S496</f>
        <v>1</v>
      </c>
    </row>
    <row r="497" spans="1:26" x14ac:dyDescent="0.4">
      <c r="A497">
        <v>496</v>
      </c>
      <c r="B497" t="str">
        <f>[1]LISTADO_OTS!E497</f>
        <v>TP/0225</v>
      </c>
      <c r="C497">
        <f>VLOOKUP([1]LISTADO_OTS!B497,[1]Redes!$C$1:$E$5,3,FALSE)</f>
        <v>3</v>
      </c>
      <c r="D497">
        <f>[1]LISTADO_OTS!C497</f>
        <v>2</v>
      </c>
      <c r="E497">
        <f>[1]LISTADO_OTS!D497</f>
        <v>7</v>
      </c>
      <c r="F497">
        <f>[1]LISTADO_OTS!Q497</f>
        <v>1</v>
      </c>
      <c r="G497">
        <f>[1]LISTADO_OTS!R497</f>
        <v>1</v>
      </c>
      <c r="H497" t="str">
        <f>[1]LISTADO_OTS!H497</f>
        <v>Localización de fugas en (Sector centro Norte)</v>
      </c>
      <c r="I497" t="str">
        <f>[1]LISTADO_OTS!I497</f>
        <v>Localización de fugas en (Sector centro Norte) (Ambulatorio)</v>
      </c>
      <c r="J497" s="1">
        <f>[1]LISTADO_OTS!F497</f>
        <v>45930</v>
      </c>
      <c r="K497" s="1">
        <f>[1]LISTADO_OTS!G497</f>
        <v>45930</v>
      </c>
      <c r="L497">
        <f>[1]LISTADO_OTS!M497</f>
        <v>0</v>
      </c>
      <c r="M497">
        <f>[1]LISTADO_OTS!N497</f>
        <v>0</v>
      </c>
      <c r="U497" t="b">
        <f>[1]LISTADO_OTS!O497</f>
        <v>1</v>
      </c>
      <c r="V497" t="str">
        <f>[1]LISTADO_OTS!J497</f>
        <v>Llodio</v>
      </c>
      <c r="W497">
        <f>[1]LISTADO_OTS!R497</f>
        <v>1</v>
      </c>
      <c r="X497" t="str">
        <f>[1]LISTADO_OTS!P497</f>
        <v>TOMAS</v>
      </c>
      <c r="Y497">
        <v>1</v>
      </c>
      <c r="Z497">
        <f>[1]LISTADO_OTS!S497</f>
        <v>1</v>
      </c>
    </row>
    <row r="498" spans="1:26" x14ac:dyDescent="0.4">
      <c r="A498">
        <v>497</v>
      </c>
      <c r="B498" t="str">
        <f>[1]LISTADO_OTS!E498</f>
        <v>TP/0226</v>
      </c>
      <c r="C498">
        <f>VLOOKUP([1]LISTADO_OTS!B498,[1]Redes!$C$1:$E$5,3,FALSE)</f>
        <v>3</v>
      </c>
      <c r="D498">
        <f>[1]LISTADO_OTS!C498</f>
        <v>2</v>
      </c>
      <c r="E498">
        <f>[1]LISTADO_OTS!D498</f>
        <v>11</v>
      </c>
      <c r="F498">
        <f>[1]LISTADO_OTS!Q498</f>
        <v>3</v>
      </c>
      <c r="G498">
        <f>[1]LISTADO_OTS!R498</f>
        <v>3</v>
      </c>
      <c r="H498" t="str">
        <f>[1]LISTADO_OTS!H498</f>
        <v>Lectura de contadores Sectoriales en Agurain y Alegría</v>
      </c>
      <c r="I498" t="str">
        <f>[1]LISTADO_OTS!I498</f>
        <v>Lectura de contadores Sectoriales en Agurain y Alegría</v>
      </c>
      <c r="J498" s="1">
        <f>[1]LISTADO_OTS!F498</f>
        <v>45930</v>
      </c>
      <c r="K498" s="1">
        <f>[1]LISTADO_OTS!G498</f>
        <v>45930</v>
      </c>
      <c r="L498">
        <f>[1]LISTADO_OTS!M498</f>
        <v>0</v>
      </c>
      <c r="M498">
        <f>[1]LISTADO_OTS!N498</f>
        <v>0</v>
      </c>
      <c r="U498" t="b">
        <f>[1]LISTADO_OTS!O498</f>
        <v>1</v>
      </c>
      <c r="V498" t="str">
        <f>[1]LISTADO_OTS!J498</f>
        <v>Agurain</v>
      </c>
      <c r="W498">
        <f>[1]LISTADO_OTS!R498</f>
        <v>3</v>
      </c>
      <c r="X498" t="str">
        <f>[1]LISTADO_OTS!P498</f>
        <v>EDUARDO Y ENEKO</v>
      </c>
      <c r="Y498">
        <v>1</v>
      </c>
      <c r="Z498">
        <f>[1]LISTADO_OTS!S498</f>
        <v>0</v>
      </c>
    </row>
    <row r="499" spans="1:26" x14ac:dyDescent="0.4">
      <c r="A499">
        <v>498</v>
      </c>
      <c r="B499" t="str">
        <f>[1]LISTADO_OTS!E499</f>
        <v>TP/0227</v>
      </c>
      <c r="C499">
        <f>VLOOKUP([1]LISTADO_OTS!B499,[1]Redes!$C$1:$E$5,3,FALSE)</f>
        <v>3</v>
      </c>
      <c r="D499">
        <f>[1]LISTADO_OTS!C499</f>
        <v>2</v>
      </c>
      <c r="E499">
        <f>[1]LISTADO_OTS!D499</f>
        <v>8</v>
      </c>
      <c r="F499">
        <f>[1]LISTADO_OTS!Q499</f>
        <v>1</v>
      </c>
      <c r="G499">
        <f>[1]LISTADO_OTS!R499</f>
        <v>1</v>
      </c>
      <c r="H499" t="str">
        <f>[1]LISTADO_OTS!H499</f>
        <v>Intalacion de contador por alta en C/Mendiko n2 (Amurrio)</v>
      </c>
      <c r="I499" t="str">
        <f>[1]LISTADO_OTS!I499</f>
        <v>Intalacion de contador por alta en C/Mendiko n2</v>
      </c>
      <c r="J499" s="1">
        <f>[1]LISTADO_OTS!F499</f>
        <v>45924</v>
      </c>
      <c r="K499" s="1">
        <f>[1]LISTADO_OTS!G499</f>
        <v>45924</v>
      </c>
      <c r="L499">
        <f>[1]LISTADO_OTS!M499</f>
        <v>0</v>
      </c>
      <c r="M499">
        <f>[1]LISTADO_OTS!N499</f>
        <v>0</v>
      </c>
      <c r="U499" t="b">
        <f>[1]LISTADO_OTS!O499</f>
        <v>1</v>
      </c>
      <c r="V499" t="str">
        <f>[1]LISTADO_OTS!J499</f>
        <v>Amurrio</v>
      </c>
      <c r="W499">
        <f>[1]LISTADO_OTS!R499</f>
        <v>1</v>
      </c>
      <c r="X499" t="str">
        <f>[1]LISTADO_OTS!P499</f>
        <v>TOMAS</v>
      </c>
      <c r="Y499">
        <v>1</v>
      </c>
      <c r="Z499">
        <f>[1]LISTADO_OTS!S499</f>
        <v>0</v>
      </c>
    </row>
    <row r="500" spans="1:26" x14ac:dyDescent="0.4">
      <c r="A500">
        <v>499</v>
      </c>
      <c r="B500" t="str">
        <f>[1]LISTADO_OTS!E500</f>
        <v>TP/0228</v>
      </c>
      <c r="C500">
        <f>VLOOKUP([1]LISTADO_OTS!B500,[1]Redes!$C$1:$E$5,3,FALSE)</f>
        <v>3</v>
      </c>
      <c r="D500">
        <f>[1]LISTADO_OTS!C500</f>
        <v>2</v>
      </c>
      <c r="E500">
        <f>[1]LISTADO_OTS!D500</f>
        <v>7</v>
      </c>
      <c r="F500">
        <f>[1]LISTADO_OTS!Q500</f>
        <v>1</v>
      </c>
      <c r="G500">
        <f>[1]LISTADO_OTS!R500</f>
        <v>1</v>
      </c>
      <c r="H500" t="str">
        <f>[1]LISTADO_OTS!H500</f>
        <v>Localización de fugas en C/Atxeta n2 (Llodio)</v>
      </c>
      <c r="I500" t="str">
        <f>[1]LISTADO_OTS!I500</f>
        <v>Localización de fugas en C/Atxeta n2 (Llodio)</v>
      </c>
      <c r="J500" s="1">
        <f>[1]LISTADO_OTS!F500</f>
        <v>45926</v>
      </c>
      <c r="K500" s="1">
        <f>[1]LISTADO_OTS!G500</f>
        <v>45926</v>
      </c>
      <c r="L500">
        <f>[1]LISTADO_OTS!M500</f>
        <v>0</v>
      </c>
      <c r="M500">
        <f>[1]LISTADO_OTS!N500</f>
        <v>0</v>
      </c>
      <c r="U500" t="b">
        <f>[1]LISTADO_OTS!O500</f>
        <v>1</v>
      </c>
      <c r="V500" t="str">
        <f>[1]LISTADO_OTS!J500</f>
        <v>Llodio</v>
      </c>
      <c r="W500">
        <f>[1]LISTADO_OTS!R500</f>
        <v>1</v>
      </c>
      <c r="X500" t="str">
        <f>[1]LISTADO_OTS!P500</f>
        <v>TOMAS</v>
      </c>
      <c r="Y500">
        <v>1</v>
      </c>
      <c r="Z500">
        <f>[1]LISTADO_OTS!S500</f>
        <v>1</v>
      </c>
    </row>
    <row r="501" spans="1:26" x14ac:dyDescent="0.4">
      <c r="A501">
        <v>500</v>
      </c>
      <c r="B501" t="str">
        <f>[1]LISTADO_OTS!E501</f>
        <v>TP/0229</v>
      </c>
      <c r="C501">
        <f>VLOOKUP([1]LISTADO_OTS!B501,[1]Redes!$C$1:$E$5,3,FALSE)</f>
        <v>3</v>
      </c>
      <c r="D501">
        <f>[1]LISTADO_OTS!C501</f>
        <v>2</v>
      </c>
      <c r="E501">
        <f>[1]LISTADO_OTS!D501</f>
        <v>10</v>
      </c>
      <c r="F501">
        <f>[1]LISTADO_OTS!Q501</f>
        <v>6</v>
      </c>
      <c r="G501">
        <f>[1]LISTADO_OTS!R501</f>
        <v>6</v>
      </c>
      <c r="H501" t="str">
        <f>[1]LISTADO_OTS!H501</f>
        <v>Sustitución contador en Carretera vitoria Estella en Maeztu</v>
      </c>
      <c r="I501" t="str">
        <f>[1]LISTADO_OTS!I501</f>
        <v>Sustitución contador en Carretera vitoria Estella en Maeztu</v>
      </c>
      <c r="J501" s="1">
        <f>[1]LISTADO_OTS!F501</f>
        <v>45930</v>
      </c>
      <c r="K501" s="1">
        <f>[1]LISTADO_OTS!G501</f>
        <v>45930</v>
      </c>
      <c r="L501">
        <f>[1]LISTADO_OTS!M501</f>
        <v>0</v>
      </c>
      <c r="M501">
        <f>[1]LISTADO_OTS!N501</f>
        <v>0</v>
      </c>
      <c r="U501" t="b">
        <f>[1]LISTADO_OTS!O501</f>
        <v>1</v>
      </c>
      <c r="V501" t="str">
        <f>[1]LISTADO_OTS!J501</f>
        <v>Maeztu</v>
      </c>
      <c r="W501">
        <f>[1]LISTADO_OTS!R501</f>
        <v>6</v>
      </c>
      <c r="X501" t="str">
        <f>[1]LISTADO_OTS!P501</f>
        <v>IÑIGO</v>
      </c>
      <c r="Y501">
        <v>1</v>
      </c>
      <c r="Z501">
        <f>[1]LISTADO_OTS!S501</f>
        <v>0</v>
      </c>
    </row>
    <row r="502" spans="1:26" x14ac:dyDescent="0.4">
      <c r="A502">
        <v>501</v>
      </c>
      <c r="B502" t="str">
        <f>[1]LISTADO_OTS!E502</f>
        <v>TP/0230</v>
      </c>
      <c r="C502">
        <f>VLOOKUP([1]LISTADO_OTS!B502,[1]Redes!$C$1:$E$5,3,FALSE)</f>
        <v>3</v>
      </c>
      <c r="D502">
        <f>[1]LISTADO_OTS!C502</f>
        <v>2</v>
      </c>
      <c r="E502">
        <f>[1]LISTADO_OTS!D502</f>
        <v>10</v>
      </c>
      <c r="F502">
        <f>[1]LISTADO_OTS!Q502</f>
        <v>6</v>
      </c>
      <c r="G502">
        <f>[1]LISTADO_OTS!R502</f>
        <v>6</v>
      </c>
      <c r="H502" t="str">
        <f>[1]LISTADO_OTS!H502</f>
        <v>Sustitución contador en Apellaniz</v>
      </c>
      <c r="I502" t="str">
        <f>[1]LISTADO_OTS!I502</f>
        <v>Sustitución contador en Apellaniz</v>
      </c>
      <c r="J502" s="1">
        <f>[1]LISTADO_OTS!F502</f>
        <v>45930</v>
      </c>
      <c r="K502" s="1">
        <f>[1]LISTADO_OTS!G502</f>
        <v>45930</v>
      </c>
      <c r="L502">
        <f>[1]LISTADO_OTS!M502</f>
        <v>0</v>
      </c>
      <c r="M502">
        <f>[1]LISTADO_OTS!N502</f>
        <v>0</v>
      </c>
      <c r="U502" t="b">
        <f>[1]LISTADO_OTS!O502</f>
        <v>1</v>
      </c>
      <c r="V502" t="str">
        <f>[1]LISTADO_OTS!J502</f>
        <v>Apellaniz</v>
      </c>
      <c r="W502">
        <f>[1]LISTADO_OTS!R502</f>
        <v>6</v>
      </c>
      <c r="X502" t="str">
        <f>[1]LISTADO_OTS!P502</f>
        <v>IÑIGO</v>
      </c>
      <c r="Y502">
        <v>1</v>
      </c>
      <c r="Z502">
        <f>[1]LISTADO_OTS!S502</f>
        <v>0</v>
      </c>
    </row>
    <row r="503" spans="1:26" x14ac:dyDescent="0.4">
      <c r="A503">
        <v>502</v>
      </c>
      <c r="B503" t="str">
        <f>[1]LISTADO_OTS!E503</f>
        <v>OT/0367</v>
      </c>
      <c r="C503">
        <f>VLOOKUP([1]LISTADO_OTS!B503,[1]Redes!$C$1:$E$5,3,FALSE)</f>
        <v>3</v>
      </c>
      <c r="D503">
        <f>[1]LISTADO_OTS!C503</f>
        <v>1</v>
      </c>
      <c r="E503">
        <f>[1]LISTADO_OTS!D503</f>
        <v>0</v>
      </c>
      <c r="F503">
        <f>[1]LISTADO_OTS!Q503</f>
        <v>5</v>
      </c>
      <c r="G503">
        <f>[1]LISTADO_OTS!R503</f>
        <v>5</v>
      </c>
      <c r="H503" t="str">
        <f>[1]LISTADO_OTS!H503</f>
        <v>Reparación de fuga en Basquiñuelas (Añana)</v>
      </c>
      <c r="I503" t="str">
        <f>[1]LISTADO_OTS!I503</f>
        <v>Reparación de fuga en Basquiñuelas (Añana)</v>
      </c>
      <c r="J503" s="1">
        <f>[1]LISTADO_OTS!F503</f>
        <v>45930</v>
      </c>
      <c r="K503" s="1">
        <f>[1]LISTADO_OTS!G503</f>
        <v>45932</v>
      </c>
      <c r="L503">
        <f>[1]LISTADO_OTS!M503</f>
        <v>42.807850000000002</v>
      </c>
      <c r="M503">
        <f>[1]LISTADO_OTS!N503</f>
        <v>-2.9736980000000002</v>
      </c>
      <c r="U503" t="b">
        <f>[1]LISTADO_OTS!O503</f>
        <v>1</v>
      </c>
      <c r="V503" t="str">
        <f>[1]LISTADO_OTS!J503</f>
        <v>Basquiñuelas</v>
      </c>
      <c r="W503">
        <f>[1]LISTADO_OTS!R503</f>
        <v>5</v>
      </c>
      <c r="X503" t="str">
        <f>[1]LISTADO_OTS!P503</f>
        <v>MIGUEL Y JOSEBA</v>
      </c>
      <c r="Y503">
        <v>1</v>
      </c>
      <c r="Z503">
        <f>[1]LISTADO_OTS!S503</f>
        <v>1</v>
      </c>
    </row>
    <row r="504" spans="1:26" x14ac:dyDescent="0.4">
      <c r="A504">
        <v>503</v>
      </c>
      <c r="B504" t="str">
        <f>[1]LISTADO_OTS!E504</f>
        <v>OT/0368</v>
      </c>
      <c r="C504">
        <f>VLOOKUP([1]LISTADO_OTS!B504,[1]Redes!$C$1:$E$5,3,FALSE)</f>
        <v>5</v>
      </c>
      <c r="D504">
        <f>[1]LISTADO_OTS!C504</f>
        <v>1</v>
      </c>
      <c r="E504">
        <f>[1]LISTADO_OTS!D504</f>
        <v>0</v>
      </c>
      <c r="F504">
        <f>[1]LISTADO_OTS!Q504</f>
        <v>1</v>
      </c>
      <c r="G504">
        <f>[1]LISTADO_OTS!R504</f>
        <v>4</v>
      </c>
      <c r="H504" t="str">
        <f>[1]LISTADO_OTS!H504</f>
        <v>Aviso atasco saneamiento colector Landaluze (Llodio)</v>
      </c>
      <c r="I504" t="str">
        <f>[1]LISTADO_OTS!I504</f>
        <v>Aviso atasco saneamiento colector Landaluze (Llodio)</v>
      </c>
      <c r="J504" s="1">
        <f>[1]LISTADO_OTS!F504</f>
        <v>45931</v>
      </c>
      <c r="K504" s="1">
        <f>[1]LISTADO_OTS!G504</f>
        <v>45931</v>
      </c>
      <c r="L504">
        <f>[1]LISTADO_OTS!M504</f>
        <v>0</v>
      </c>
      <c r="M504">
        <f>[1]LISTADO_OTS!N504</f>
        <v>0</v>
      </c>
      <c r="U504" t="b">
        <f>[1]LISTADO_OTS!O504</f>
        <v>1</v>
      </c>
      <c r="V504" t="str">
        <f>[1]LISTADO_OTS!J504</f>
        <v>Llodio</v>
      </c>
      <c r="W504">
        <f>[1]LISTADO_OTS!R504</f>
        <v>4</v>
      </c>
      <c r="X504" t="str">
        <f>[1]LISTADO_OTS!P504</f>
        <v>EMILIO</v>
      </c>
      <c r="Y504">
        <v>1</v>
      </c>
      <c r="Z504">
        <f>[1]LISTADO_OTS!S504</f>
        <v>2</v>
      </c>
    </row>
    <row r="505" spans="1:26" x14ac:dyDescent="0.4">
      <c r="A505">
        <v>504</v>
      </c>
      <c r="B505" t="str">
        <f>[1]LISTADO_OTS!E505</f>
        <v>TP/0231</v>
      </c>
      <c r="C505">
        <f>VLOOKUP([1]LISTADO_OTS!B505,[1]Redes!$C$1:$E$5,3,FALSE)</f>
        <v>5</v>
      </c>
      <c r="D505">
        <f>[1]LISTADO_OTS!C505</f>
        <v>2</v>
      </c>
      <c r="E505">
        <f>[1]LISTADO_OTS!D505</f>
        <v>1</v>
      </c>
      <c r="F505">
        <f>[1]LISTADO_OTS!Q505</f>
        <v>3</v>
      </c>
      <c r="G505">
        <f>[1]LISTADO_OTS!R505</f>
        <v>26</v>
      </c>
      <c r="H505" t="str">
        <f>[1]LISTADO_OTS!H505</f>
        <v>Mantenimiento preventivo saneamiento Agurain</v>
      </c>
      <c r="I505" t="str">
        <f>[1]LISTADO_OTS!I505</f>
        <v>Mantenimiento preventivo saneamiento Agurain</v>
      </c>
      <c r="J505" s="1">
        <f>[1]LISTADO_OTS!F505</f>
        <v>45931</v>
      </c>
      <c r="K505" s="1">
        <f>[1]LISTADO_OTS!G505</f>
        <v>45931</v>
      </c>
      <c r="L505">
        <f>[1]LISTADO_OTS!M505</f>
        <v>0</v>
      </c>
      <c r="M505">
        <f>[1]LISTADO_OTS!N505</f>
        <v>0</v>
      </c>
      <c r="U505" t="b">
        <f>[1]LISTADO_OTS!O505</f>
        <v>1</v>
      </c>
      <c r="V505" t="str">
        <f>[1]LISTADO_OTS!J505</f>
        <v>Agurain</v>
      </c>
      <c r="W505">
        <f>[1]LISTADO_OTS!R505</f>
        <v>26</v>
      </c>
      <c r="X505" t="str">
        <f>[1]LISTADO_OTS!P505</f>
        <v>EMILIO,ANGEL,KERMAN</v>
      </c>
      <c r="Y505">
        <v>1</v>
      </c>
      <c r="Z505">
        <f>[1]LISTADO_OTS!S505</f>
        <v>0</v>
      </c>
    </row>
    <row r="506" spans="1:26" x14ac:dyDescent="0.4">
      <c r="A506">
        <v>505</v>
      </c>
      <c r="B506" t="str">
        <f>[1]LISTADO_OTS!E506</f>
        <v>TP/0232</v>
      </c>
      <c r="C506">
        <f>VLOOKUP([1]LISTADO_OTS!B506,[1]Redes!$C$1:$E$5,3,FALSE)</f>
        <v>3</v>
      </c>
      <c r="D506">
        <f>[1]LISTADO_OTS!C506</f>
        <v>2</v>
      </c>
      <c r="E506">
        <f>[1]LISTADO_OTS!D506</f>
        <v>11</v>
      </c>
      <c r="F506">
        <f>[1]LISTADO_OTS!Q506</f>
        <v>1</v>
      </c>
      <c r="G506">
        <f>[1]LISTADO_OTS!R506</f>
        <v>1</v>
      </c>
      <c r="H506" t="str">
        <f>[1]LISTADO_OTS!H506</f>
        <v>Lectura de contadores sectoriales en Respaldiza</v>
      </c>
      <c r="I506" t="str">
        <f>[1]LISTADO_OTS!I506</f>
        <v>Lectura de contadores sectoriales en Respaldiza</v>
      </c>
      <c r="J506" s="1">
        <f>[1]LISTADO_OTS!F506</f>
        <v>45931</v>
      </c>
      <c r="K506" s="1">
        <f>[1]LISTADO_OTS!G506</f>
        <v>45931</v>
      </c>
      <c r="L506">
        <f>[1]LISTADO_OTS!M506</f>
        <v>0</v>
      </c>
      <c r="M506">
        <f>[1]LISTADO_OTS!N506</f>
        <v>0</v>
      </c>
      <c r="U506" t="b">
        <f>[1]LISTADO_OTS!O506</f>
        <v>1</v>
      </c>
      <c r="V506" t="str">
        <f>[1]LISTADO_OTS!J506</f>
        <v>Respaldiza</v>
      </c>
      <c r="W506">
        <f>[1]LISTADO_OTS!R506</f>
        <v>1</v>
      </c>
      <c r="X506" t="str">
        <f>[1]LISTADO_OTS!P506</f>
        <v>KERMAN</v>
      </c>
      <c r="Y506">
        <v>1</v>
      </c>
      <c r="Z506">
        <f>[1]LISTADO_OTS!S506</f>
        <v>0</v>
      </c>
    </row>
    <row r="507" spans="1:26" x14ac:dyDescent="0.4">
      <c r="A507">
        <v>506</v>
      </c>
      <c r="B507" t="str">
        <f>[1]LISTADO_OTS!E507</f>
        <v>TP/0233</v>
      </c>
      <c r="C507">
        <f>VLOOKUP([1]LISTADO_OTS!B507,[1]Redes!$C$1:$E$5,3,FALSE)</f>
        <v>3</v>
      </c>
      <c r="D507">
        <f>[1]LISTADO_OTS!C507</f>
        <v>2</v>
      </c>
      <c r="E507">
        <f>[1]LISTADO_OTS!D507</f>
        <v>11</v>
      </c>
      <c r="F507">
        <f>[1]LISTADO_OTS!Q507</f>
        <v>1</v>
      </c>
      <c r="G507">
        <f>[1]LISTADO_OTS!R507</f>
        <v>1</v>
      </c>
      <c r="H507" t="str">
        <f>[1]LISTADO_OTS!H507</f>
        <v>Lectura de contadores sectoriales en Delika,Sojo</v>
      </c>
      <c r="I507" t="str">
        <f>[1]LISTADO_OTS!I507</f>
        <v>Lectura de contadores sectoriales en Delika,Sojo</v>
      </c>
      <c r="J507" s="1">
        <f>[1]LISTADO_OTS!F507</f>
        <v>45929</v>
      </c>
      <c r="K507" s="1">
        <f>[1]LISTADO_OTS!G507</f>
        <v>45929</v>
      </c>
      <c r="L507">
        <f>[1]LISTADO_OTS!M507</f>
        <v>0</v>
      </c>
      <c r="M507">
        <f>[1]LISTADO_OTS!N507</f>
        <v>0</v>
      </c>
      <c r="U507" t="b">
        <f>[1]LISTADO_OTS!O507</f>
        <v>1</v>
      </c>
      <c r="V507" t="str">
        <f>[1]LISTADO_OTS!J507</f>
        <v>Amurrio</v>
      </c>
      <c r="W507">
        <f>[1]LISTADO_OTS!R507</f>
        <v>1</v>
      </c>
      <c r="X507" t="str">
        <f>[1]LISTADO_OTS!P507</f>
        <v>KERMAN</v>
      </c>
      <c r="Y507">
        <v>1</v>
      </c>
      <c r="Z507">
        <f>[1]LISTADO_OTS!S507</f>
        <v>0</v>
      </c>
    </row>
    <row r="508" spans="1:26" x14ac:dyDescent="0.4">
      <c r="A508">
        <v>507</v>
      </c>
      <c r="B508" t="str">
        <f>[1]LISTADO_OTS!E508</f>
        <v>TP/0234</v>
      </c>
      <c r="C508">
        <f>VLOOKUP([1]LISTADO_OTS!B508,[1]Redes!$C$1:$E$5,3,FALSE)</f>
        <v>3</v>
      </c>
      <c r="D508">
        <f>[1]LISTADO_OTS!C508</f>
        <v>2</v>
      </c>
      <c r="E508">
        <f>[1]LISTADO_OTS!D508</f>
        <v>8</v>
      </c>
      <c r="F508">
        <f>[1]LISTADO_OTS!Q508</f>
        <v>3</v>
      </c>
      <c r="G508">
        <f>[1]LISTADO_OTS!R508</f>
        <v>3</v>
      </c>
      <c r="H508" t="str">
        <f>[1]LISTADO_OTS!H508</f>
        <v>Instalación contador en Agurain</v>
      </c>
      <c r="I508" t="str">
        <f>[1]LISTADO_OTS!I508</f>
        <v>Instalación contador en Agurain</v>
      </c>
      <c r="J508" s="1">
        <f>[1]LISTADO_OTS!F508</f>
        <v>45931</v>
      </c>
      <c r="K508" s="1">
        <f>[1]LISTADO_OTS!G508</f>
        <v>45931</v>
      </c>
      <c r="L508">
        <f>[1]LISTADO_OTS!M508</f>
        <v>0</v>
      </c>
      <c r="M508">
        <f>[1]LISTADO_OTS!N508</f>
        <v>0</v>
      </c>
      <c r="U508" t="b">
        <f>[1]LISTADO_OTS!O508</f>
        <v>1</v>
      </c>
      <c r="V508" t="str">
        <f>[1]LISTADO_OTS!J508</f>
        <v>Agurain</v>
      </c>
      <c r="W508">
        <f>[1]LISTADO_OTS!R508</f>
        <v>3</v>
      </c>
      <c r="X508" t="str">
        <f>[1]LISTADO_OTS!P508</f>
        <v>KERMAN</v>
      </c>
      <c r="Y508">
        <v>1</v>
      </c>
      <c r="Z508">
        <f>[1]LISTADO_OTS!S508</f>
        <v>0</v>
      </c>
    </row>
    <row r="509" spans="1:26" x14ac:dyDescent="0.4">
      <c r="A509">
        <v>508</v>
      </c>
      <c r="B509" t="str">
        <f>[1]LISTADO_OTS!E509</f>
        <v>OT/0369</v>
      </c>
      <c r="C509">
        <f>VLOOKUP([1]LISTADO_OTS!B509,[1]Redes!$C$1:$E$5,3,FALSE)</f>
        <v>3</v>
      </c>
      <c r="D509">
        <f>[1]LISTADO_OTS!C509</f>
        <v>1</v>
      </c>
      <c r="E509">
        <f>[1]LISTADO_OTS!D509</f>
        <v>0</v>
      </c>
      <c r="F509">
        <f>[1]LISTADO_OTS!Q509</f>
        <v>6</v>
      </c>
      <c r="G509">
        <f>[1]LISTADO_OTS!R509</f>
        <v>6</v>
      </c>
      <c r="H509" t="str">
        <f>[1]LISTADO_OTS!H509</f>
        <v>Aviso de fugas en Antoñana y Gauna</v>
      </c>
      <c r="I509" t="str">
        <f>[1]LISTADO_OTS!I509</f>
        <v>Aviso de fugas en Antoñana y Gauna</v>
      </c>
      <c r="J509" s="1">
        <f>[1]LISTADO_OTS!F509</f>
        <v>45931</v>
      </c>
      <c r="K509" s="1">
        <f>[1]LISTADO_OTS!G509</f>
        <v>45931</v>
      </c>
      <c r="L509">
        <f>[1]LISTADO_OTS!M509</f>
        <v>0</v>
      </c>
      <c r="M509">
        <f>[1]LISTADO_OTS!N509</f>
        <v>0</v>
      </c>
      <c r="U509" t="b">
        <f>[1]LISTADO_OTS!O509</f>
        <v>1</v>
      </c>
      <c r="V509" t="str">
        <f>[1]LISTADO_OTS!J509</f>
        <v>Antoñana</v>
      </c>
      <c r="W509">
        <f>[1]LISTADO_OTS!R509</f>
        <v>6</v>
      </c>
      <c r="X509" t="str">
        <f>[1]LISTADO_OTS!P509</f>
        <v>BEÑAT</v>
      </c>
      <c r="Y509">
        <v>1</v>
      </c>
      <c r="Z509">
        <f>[1]LISTADO_OTS!S509</f>
        <v>1</v>
      </c>
    </row>
    <row r="510" spans="1:26" x14ac:dyDescent="0.4">
      <c r="A510">
        <v>509</v>
      </c>
      <c r="B510" t="str">
        <f>[1]LISTADO_OTS!E510</f>
        <v>OT/0371</v>
      </c>
      <c r="C510">
        <f>VLOOKUP([1]LISTADO_OTS!B510,[1]Redes!$C$1:$E$5,3,FALSE)</f>
        <v>3</v>
      </c>
      <c r="D510">
        <f>[1]LISTADO_OTS!C510</f>
        <v>1</v>
      </c>
      <c r="E510">
        <f>[1]LISTADO_OTS!D510</f>
        <v>0</v>
      </c>
      <c r="F510">
        <f>[1]LISTADO_OTS!Q510</f>
        <v>1</v>
      </c>
      <c r="G510">
        <f>[1]LISTADO_OTS!R510</f>
        <v>1</v>
      </c>
      <c r="H510" t="str">
        <f>[1]LISTADO_OTS!H510</f>
        <v>Desatasco en San Roque Amurrio</v>
      </c>
      <c r="I510" t="str">
        <f>[1]LISTADO_OTS!I510</f>
        <v>Desatasco en San Roque Amurrio</v>
      </c>
      <c r="J510" s="1">
        <f>[1]LISTADO_OTS!F510</f>
        <v>45930</v>
      </c>
      <c r="K510" s="1">
        <f>[1]LISTADO_OTS!G510</f>
        <v>45930</v>
      </c>
      <c r="L510">
        <f>[1]LISTADO_OTS!M510</f>
        <v>43.069723000000003</v>
      </c>
      <c r="M510">
        <f>[1]LISTADO_OTS!N510</f>
        <v>-2.988658</v>
      </c>
      <c r="U510" t="b">
        <f>[1]LISTADO_OTS!O510</f>
        <v>1</v>
      </c>
      <c r="V510" t="str">
        <f>[1]LISTADO_OTS!J510</f>
        <v>Amurrio</v>
      </c>
      <c r="W510">
        <f>[1]LISTADO_OTS!R510</f>
        <v>1</v>
      </c>
      <c r="X510">
        <f>[1]LISTADO_OTS!P510</f>
        <v>0</v>
      </c>
      <c r="Y510">
        <v>1</v>
      </c>
      <c r="Z510">
        <f>[1]LISTADO_OTS!S510</f>
        <v>2</v>
      </c>
    </row>
    <row r="511" spans="1:26" x14ac:dyDescent="0.4">
      <c r="A511">
        <v>510</v>
      </c>
      <c r="B511" t="str">
        <f>[1]LISTADO_OTS!E511</f>
        <v>TP/0235</v>
      </c>
      <c r="C511">
        <f>VLOOKUP([1]LISTADO_OTS!B511,[1]Redes!$C$1:$E$5,3,FALSE)</f>
        <v>3</v>
      </c>
      <c r="D511">
        <f>[1]LISTADO_OTS!C511</f>
        <v>2</v>
      </c>
      <c r="E511">
        <f>[1]LISTADO_OTS!D511</f>
        <v>12</v>
      </c>
      <c r="F511">
        <f>[1]LISTADO_OTS!Q511</f>
        <v>1</v>
      </c>
      <c r="G511">
        <f>[1]LISTADO_OTS!R511</f>
        <v>1</v>
      </c>
      <c r="H511" t="str">
        <f>[1]LISTADO_OTS!H511</f>
        <v>Colocación de avisos de corte de agua en Berganza</v>
      </c>
      <c r="I511" t="str">
        <f>[1]LISTADO_OTS!I511</f>
        <v>Colocación de avisos de corte de agua en Berganza</v>
      </c>
      <c r="J511" s="1">
        <f>[1]LISTADO_OTS!F511</f>
        <v>45933</v>
      </c>
      <c r="K511" s="1">
        <f>[1]LISTADO_OTS!G511</f>
        <v>45933</v>
      </c>
      <c r="L511" t="str">
        <f>[1]LISTADO_OTS!M511</f>
        <v/>
      </c>
      <c r="M511" t="str">
        <f>[1]LISTADO_OTS!N511</f>
        <v/>
      </c>
      <c r="U511" t="b">
        <f>[1]LISTADO_OTS!O511</f>
        <v>1</v>
      </c>
      <c r="V511" t="str">
        <f>[1]LISTADO_OTS!J511</f>
        <v>Berganza</v>
      </c>
      <c r="W511">
        <f>[1]LISTADO_OTS!R511</f>
        <v>1</v>
      </c>
      <c r="X511" t="str">
        <f>[1]LISTADO_OTS!P511</f>
        <v>IÑIGO</v>
      </c>
      <c r="Y511">
        <v>1</v>
      </c>
      <c r="Z511">
        <f>[1]LISTADO_OTS!S511</f>
        <v>0</v>
      </c>
    </row>
    <row r="512" spans="1:26" x14ac:dyDescent="0.4">
      <c r="A512">
        <v>511</v>
      </c>
      <c r="B512" t="str">
        <f>[1]LISTADO_OTS!E512</f>
        <v>TP/0236</v>
      </c>
      <c r="C512">
        <f>VLOOKUP([1]LISTADO_OTS!B512,[1]Redes!$C$1:$E$5,3,FALSE)</f>
        <v>3</v>
      </c>
      <c r="D512">
        <f>[1]LISTADO_OTS!C512</f>
        <v>2</v>
      </c>
      <c r="E512">
        <f>[1]LISTADO_OTS!D512</f>
        <v>11</v>
      </c>
      <c r="F512">
        <f>[1]LISTADO_OTS!Q512</f>
        <v>3</v>
      </c>
      <c r="G512">
        <f>[1]LISTADO_OTS!R512</f>
        <v>3</v>
      </c>
      <c r="H512" t="str">
        <f>[1]LISTADO_OTS!H512</f>
        <v>Lectura contadores sectoriales en Cuencas Mediterraneas</v>
      </c>
      <c r="I512" t="str">
        <f>[1]LISTADO_OTS!I512</f>
        <v>Lectura contadores sectoriales en Cuencas Mediterraneas</v>
      </c>
      <c r="J512" s="1">
        <f>[1]LISTADO_OTS!F512</f>
        <v>45929</v>
      </c>
      <c r="K512" s="1">
        <f>[1]LISTADO_OTS!G512</f>
        <v>45929</v>
      </c>
      <c r="L512" t="str">
        <f>[1]LISTADO_OTS!M512</f>
        <v/>
      </c>
      <c r="M512" t="str">
        <f>[1]LISTADO_OTS!N512</f>
        <v/>
      </c>
      <c r="U512" t="b">
        <f>[1]LISTADO_OTS!O512</f>
        <v>1</v>
      </c>
      <c r="V512" t="str">
        <f>[1]LISTADO_OTS!J512</f>
        <v>Cuencas Mediterraneas</v>
      </c>
      <c r="W512">
        <f>[1]LISTADO_OTS!R512</f>
        <v>3</v>
      </c>
      <c r="X512" t="str">
        <f>[1]LISTADO_OTS!P512</f>
        <v>ENEKO</v>
      </c>
      <c r="Y512">
        <v>1</v>
      </c>
      <c r="Z512">
        <f>[1]LISTADO_OTS!S512</f>
        <v>0</v>
      </c>
    </row>
    <row r="513" spans="1:26" x14ac:dyDescent="0.4">
      <c r="A513">
        <v>512</v>
      </c>
      <c r="B513" t="str">
        <f>[1]LISTADO_OTS!E513</f>
        <v>TP/0237</v>
      </c>
      <c r="C513">
        <f>VLOOKUP([1]LISTADO_OTS!B513,[1]Redes!$C$1:$E$5,3,FALSE)</f>
        <v>3</v>
      </c>
      <c r="D513">
        <f>[1]LISTADO_OTS!C513</f>
        <v>2</v>
      </c>
      <c r="E513">
        <f>[1]LISTADO_OTS!D513</f>
        <v>10</v>
      </c>
      <c r="F513">
        <f>[1]LISTADO_OTS!Q513</f>
        <v>3</v>
      </c>
      <c r="G513">
        <f>[1]LISTADO_OTS!R513</f>
        <v>3</v>
      </c>
      <c r="H513" t="str">
        <f>[1]LISTADO_OTS!H513</f>
        <v>Sustitución contadores en Apellaniz ,Alegría,Alda,Ulibarri</v>
      </c>
      <c r="I513" t="str">
        <f>[1]LISTADO_OTS!I513</f>
        <v>Sustitución contadores en Apellaniz ,Alegría,Alda,Ulibarri</v>
      </c>
      <c r="J513" s="1">
        <f>[1]LISTADO_OTS!F513</f>
        <v>45930</v>
      </c>
      <c r="K513" s="1">
        <f>[1]LISTADO_OTS!G513</f>
        <v>45930</v>
      </c>
      <c r="L513" t="str">
        <f>[1]LISTADO_OTS!M513</f>
        <v/>
      </c>
      <c r="M513" t="str">
        <f>[1]LISTADO_OTS!N513</f>
        <v/>
      </c>
      <c r="U513" t="b">
        <f>[1]LISTADO_OTS!O513</f>
        <v>1</v>
      </c>
      <c r="V513" t="str">
        <f>[1]LISTADO_OTS!J513</f>
        <v>Alegría</v>
      </c>
      <c r="W513">
        <f>[1]LISTADO_OTS!R513</f>
        <v>3</v>
      </c>
      <c r="X513" t="str">
        <f>[1]LISTADO_OTS!P513</f>
        <v>IÑIGO</v>
      </c>
      <c r="Y513">
        <v>1</v>
      </c>
      <c r="Z513">
        <f>[1]LISTADO_OTS!S513</f>
        <v>0</v>
      </c>
    </row>
    <row r="514" spans="1:26" x14ac:dyDescent="0.4">
      <c r="A514">
        <v>513</v>
      </c>
      <c r="B514" t="str">
        <f>[1]LISTADO_OTS!E514</f>
        <v>TP/0238</v>
      </c>
      <c r="C514">
        <f>VLOOKUP([1]LISTADO_OTS!B514,[1]Redes!$C$1:$E$5,3,FALSE)</f>
        <v>3</v>
      </c>
      <c r="D514">
        <f>[1]LISTADO_OTS!C514</f>
        <v>2</v>
      </c>
      <c r="E514">
        <f>[1]LISTADO_OTS!D514</f>
        <v>7</v>
      </c>
      <c r="F514">
        <f>[1]LISTADO_OTS!Q514</f>
        <v>1</v>
      </c>
      <c r="G514">
        <f>[1]LISTADO_OTS!R514</f>
        <v>1</v>
      </c>
      <c r="H514" t="str">
        <f>[1]LISTADO_OTS!H514</f>
        <v>Recoger y leer equipos de fugas en el sector Isasi de Laudio</v>
      </c>
      <c r="I514" t="str">
        <f>[1]LISTADO_OTS!I514</f>
        <v>Recoger y leer equipos de fugas en el sector Isasi de Laudio</v>
      </c>
      <c r="J514" s="1">
        <f>[1]LISTADO_OTS!F514</f>
        <v>45930</v>
      </c>
      <c r="K514" s="1">
        <f>[1]LISTADO_OTS!G514</f>
        <v>45930</v>
      </c>
      <c r="L514" t="str">
        <f>[1]LISTADO_OTS!M514</f>
        <v/>
      </c>
      <c r="M514" t="str">
        <f>[1]LISTADO_OTS!N514</f>
        <v/>
      </c>
      <c r="U514" t="b">
        <f>[1]LISTADO_OTS!O514</f>
        <v>1</v>
      </c>
      <c r="V514" t="str">
        <f>[1]LISTADO_OTS!J514</f>
        <v>Llodio</v>
      </c>
      <c r="W514">
        <f>[1]LISTADO_OTS!R514</f>
        <v>1</v>
      </c>
      <c r="X514" t="str">
        <f>[1]LISTADO_OTS!P514</f>
        <v>ENEKO</v>
      </c>
      <c r="Y514">
        <v>1</v>
      </c>
      <c r="Z514">
        <f>[1]LISTADO_OTS!S514</f>
        <v>1</v>
      </c>
    </row>
    <row r="515" spans="1:26" x14ac:dyDescent="0.4">
      <c r="A515">
        <v>514</v>
      </c>
      <c r="B515" t="str">
        <f>[1]LISTADO_OTS!E515</f>
        <v>TP/0239</v>
      </c>
      <c r="C515">
        <f>VLOOKUP([1]LISTADO_OTS!B515,[1]Redes!$C$1:$E$5,3,FALSE)</f>
        <v>3</v>
      </c>
      <c r="D515">
        <f>[1]LISTADO_OTS!C515</f>
        <v>2</v>
      </c>
      <c r="E515">
        <f>[1]LISTADO_OTS!D515</f>
        <v>11</v>
      </c>
      <c r="F515">
        <f>[1]LISTADO_OTS!Q515</f>
        <v>3</v>
      </c>
      <c r="G515">
        <f>[1]LISTADO_OTS!R515</f>
        <v>3</v>
      </c>
      <c r="H515" t="str">
        <f>[1]LISTADO_OTS!H515</f>
        <v>Lectura de contadores en cuencas de Mediterranea y Cantábricas</v>
      </c>
      <c r="I515" t="str">
        <f>[1]LISTADO_OTS!I515</f>
        <v>Lectura de contadores en cuencas de Mediterranea y Cantábricas</v>
      </c>
      <c r="J515" s="1">
        <f>[1]LISTADO_OTS!F515</f>
        <v>45930</v>
      </c>
      <c r="K515" s="1">
        <f>[1]LISTADO_OTS!G515</f>
        <v>45930</v>
      </c>
      <c r="L515" t="str">
        <f>[1]LISTADO_OTS!M515</f>
        <v/>
      </c>
      <c r="M515" t="str">
        <f>[1]LISTADO_OTS!N515</f>
        <v/>
      </c>
      <c r="U515" t="b">
        <f>[1]LISTADO_OTS!O515</f>
        <v>1</v>
      </c>
      <c r="V515" t="str">
        <f>[1]LISTADO_OTS!J515</f>
        <v>Cuencas Mediterraneas</v>
      </c>
      <c r="W515">
        <f>[1]LISTADO_OTS!R515</f>
        <v>3</v>
      </c>
      <c r="X515" t="str">
        <f>[1]LISTADO_OTS!P515</f>
        <v>ENEKO</v>
      </c>
      <c r="Y515">
        <v>1</v>
      </c>
      <c r="Z515">
        <f>[1]LISTADO_OTS!S515</f>
        <v>0</v>
      </c>
    </row>
    <row r="516" spans="1:26" x14ac:dyDescent="0.4">
      <c r="A516">
        <v>515</v>
      </c>
      <c r="B516" t="str">
        <f>[1]LISTADO_OTS!E516</f>
        <v>TP/0240</v>
      </c>
      <c r="C516">
        <f>VLOOKUP([1]LISTADO_OTS!B516,[1]Redes!$C$1:$E$5,3,FALSE)</f>
        <v>3</v>
      </c>
      <c r="D516">
        <f>[1]LISTADO_OTS!C516</f>
        <v>2</v>
      </c>
      <c r="E516">
        <f>[1]LISTADO_OTS!D516</f>
        <v>11</v>
      </c>
      <c r="F516">
        <f>[1]LISTADO_OTS!Q516</f>
        <v>3</v>
      </c>
      <c r="G516">
        <f>[1]LISTADO_OTS!R516</f>
        <v>3</v>
      </c>
      <c r="H516" t="str">
        <f>[1]LISTADO_OTS!H516</f>
        <v>Lectura de contadores en cuencas de Mediterranea</v>
      </c>
      <c r="I516" t="str">
        <f>[1]LISTADO_OTS!I516</f>
        <v>Lectura de contadores en cuencas de Mediterranea</v>
      </c>
      <c r="J516" s="1">
        <f>[1]LISTADO_OTS!F516</f>
        <v>45931</v>
      </c>
      <c r="K516" s="1">
        <f>[1]LISTADO_OTS!G516</f>
        <v>45931</v>
      </c>
      <c r="L516" t="str">
        <f>[1]LISTADO_OTS!M516</f>
        <v/>
      </c>
      <c r="M516" t="str">
        <f>[1]LISTADO_OTS!N516</f>
        <v/>
      </c>
      <c r="U516" t="b">
        <f>[1]LISTADO_OTS!O516</f>
        <v>1</v>
      </c>
      <c r="V516" t="str">
        <f>[1]LISTADO_OTS!J516</f>
        <v>Cuencas Mediterraneas</v>
      </c>
      <c r="W516">
        <f>[1]LISTADO_OTS!R516</f>
        <v>3</v>
      </c>
      <c r="X516" t="str">
        <f>[1]LISTADO_OTS!P516</f>
        <v>ENEKO</v>
      </c>
      <c r="Y516">
        <v>1</v>
      </c>
      <c r="Z516">
        <f>[1]LISTADO_OTS!S516</f>
        <v>0</v>
      </c>
    </row>
    <row r="517" spans="1:26" x14ac:dyDescent="0.4">
      <c r="A517">
        <v>516</v>
      </c>
      <c r="B517" t="str">
        <f>[1]LISTADO_OTS!E517</f>
        <v>TP/0241</v>
      </c>
      <c r="C517">
        <f>VLOOKUP([1]LISTADO_OTS!B517,[1]Redes!$C$1:$E$5,3,FALSE)</f>
        <v>3</v>
      </c>
      <c r="D517">
        <f>[1]LISTADO_OTS!C517</f>
        <v>2</v>
      </c>
      <c r="E517">
        <f>[1]LISTADO_OTS!D517</f>
        <v>7</v>
      </c>
      <c r="F517">
        <f>[1]LISTADO_OTS!Q517</f>
        <v>3</v>
      </c>
      <c r="G517">
        <f>[1]LISTADO_OTS!R517</f>
        <v>3</v>
      </c>
      <c r="H517" t="str">
        <f>[1]LISTADO_OTS!H517</f>
        <v>Localización de fugas en Agurain</v>
      </c>
      <c r="I517" t="str">
        <f>[1]LISTADO_OTS!I517</f>
        <v>Localización de fugas en Agurain</v>
      </c>
      <c r="J517" s="1">
        <f>[1]LISTADO_OTS!F517</f>
        <v>45931</v>
      </c>
      <c r="K517" s="1">
        <f>[1]LISTADO_OTS!G517</f>
        <v>45931</v>
      </c>
      <c r="L517" t="str">
        <f>[1]LISTADO_OTS!M517</f>
        <v/>
      </c>
      <c r="M517" t="str">
        <f>[1]LISTADO_OTS!N517</f>
        <v/>
      </c>
      <c r="U517" t="b">
        <f>[1]LISTADO_OTS!O517</f>
        <v>1</v>
      </c>
      <c r="V517" t="str">
        <f>[1]LISTADO_OTS!J517</f>
        <v>Agurain</v>
      </c>
      <c r="W517">
        <f>[1]LISTADO_OTS!R517</f>
        <v>3</v>
      </c>
      <c r="X517" t="str">
        <f>[1]LISTADO_OTS!P517</f>
        <v>ENEKO</v>
      </c>
      <c r="Y517">
        <v>1</v>
      </c>
      <c r="Z517">
        <f>[1]LISTADO_OTS!S517</f>
        <v>1</v>
      </c>
    </row>
    <row r="518" spans="1:26" x14ac:dyDescent="0.4">
      <c r="A518">
        <v>517</v>
      </c>
      <c r="B518" t="str">
        <f>[1]LISTADO_OTS!E518</f>
        <v>TP/0242</v>
      </c>
      <c r="C518">
        <f>VLOOKUP([1]LISTADO_OTS!B518,[1]Redes!$C$1:$E$5,3,FALSE)</f>
        <v>3</v>
      </c>
      <c r="D518">
        <f>[1]LISTADO_OTS!C518</f>
        <v>2</v>
      </c>
      <c r="E518">
        <f>[1]LISTADO_OTS!D518</f>
        <v>7</v>
      </c>
      <c r="F518">
        <f>[1]LISTADO_OTS!Q518</f>
        <v>1</v>
      </c>
      <c r="G518">
        <f>[1]LISTADO_OTS!R518</f>
        <v>1</v>
      </c>
      <c r="H518" t="str">
        <f>[1]LISTADO_OTS!H518</f>
        <v>Localización de fuga en sactor de Isasi Laudio</v>
      </c>
      <c r="I518" t="str">
        <f>[1]LISTADO_OTS!I518</f>
        <v>Localización de fuga en sector de Isasi Laudio</v>
      </c>
      <c r="J518" s="1">
        <f>[1]LISTADO_OTS!F518</f>
        <v>45932</v>
      </c>
      <c r="K518" s="1">
        <f>[1]LISTADO_OTS!G518</f>
        <v>45932</v>
      </c>
      <c r="L518">
        <f>[1]LISTADO_OTS!M518</f>
        <v>43.152070000000002</v>
      </c>
      <c r="M518">
        <f>[1]LISTADO_OTS!N518</f>
        <v>-2.9725440000000001</v>
      </c>
      <c r="U518" t="b">
        <f>[1]LISTADO_OTS!O518</f>
        <v>1</v>
      </c>
      <c r="V518" t="str">
        <f>[1]LISTADO_OTS!J518</f>
        <v>Llodio</v>
      </c>
      <c r="W518">
        <f>[1]LISTADO_OTS!R518</f>
        <v>1</v>
      </c>
      <c r="X518" t="str">
        <f>[1]LISTADO_OTS!P518</f>
        <v>ENEKO</v>
      </c>
      <c r="Y518">
        <v>1</v>
      </c>
      <c r="Z518">
        <f>[1]LISTADO_OTS!S518</f>
        <v>1</v>
      </c>
    </row>
    <row r="519" spans="1:26" x14ac:dyDescent="0.4">
      <c r="A519">
        <v>518</v>
      </c>
      <c r="B519" t="str">
        <f>[1]LISTADO_OTS!E519</f>
        <v>TP/0243</v>
      </c>
      <c r="C519">
        <f>VLOOKUP([1]LISTADO_OTS!B519,[1]Redes!$C$1:$E$5,3,FALSE)</f>
        <v>3</v>
      </c>
      <c r="D519">
        <f>[1]LISTADO_OTS!C519</f>
        <v>2</v>
      </c>
      <c r="E519">
        <f>[1]LISTADO_OTS!D519</f>
        <v>11</v>
      </c>
      <c r="F519">
        <f>[1]LISTADO_OTS!Q519</f>
        <v>3</v>
      </c>
      <c r="G519">
        <f>[1]LISTADO_OTS!R519</f>
        <v>3</v>
      </c>
      <c r="H519" t="str">
        <f>[1]LISTADO_OTS!H519</f>
        <v>Lectura contadores sectoriales en Cuencas Mediterraneas</v>
      </c>
      <c r="I519" t="str">
        <f>[1]LISTADO_OTS!I519</f>
        <v>Lectura contadores sectoriales en Cuencas Mediterraneas</v>
      </c>
      <c r="J519" s="1">
        <f>[1]LISTADO_OTS!F519</f>
        <v>45932</v>
      </c>
      <c r="K519" s="1">
        <f>[1]LISTADO_OTS!G519</f>
        <v>45932</v>
      </c>
      <c r="L519" t="str">
        <f>[1]LISTADO_OTS!M519</f>
        <v/>
      </c>
      <c r="M519" t="str">
        <f>[1]LISTADO_OTS!N519</f>
        <v/>
      </c>
      <c r="U519" t="b">
        <f>[1]LISTADO_OTS!O519</f>
        <v>1</v>
      </c>
      <c r="V519" t="str">
        <f>[1]LISTADO_OTS!J519</f>
        <v>Cuencas Mediterraneas</v>
      </c>
      <c r="W519">
        <f>[1]LISTADO_OTS!R519</f>
        <v>3</v>
      </c>
      <c r="X519" t="str">
        <f>[1]LISTADO_OTS!P519</f>
        <v>ENEKO</v>
      </c>
      <c r="Y519">
        <v>1</v>
      </c>
      <c r="Z519">
        <f>[1]LISTADO_OTS!S519</f>
        <v>0</v>
      </c>
    </row>
    <row r="520" spans="1:26" x14ac:dyDescent="0.4">
      <c r="A520">
        <v>519</v>
      </c>
      <c r="B520" t="str">
        <f>[1]LISTADO_OTS!E520</f>
        <v>OT/0372</v>
      </c>
      <c r="C520">
        <f>VLOOKUP([1]LISTADO_OTS!B520,[1]Redes!$C$1:$E$5,3,FALSE)</f>
        <v>5</v>
      </c>
      <c r="D520">
        <f>[1]LISTADO_OTS!C520</f>
        <v>1</v>
      </c>
      <c r="E520">
        <f>[1]LISTADO_OTS!D520</f>
        <v>0</v>
      </c>
      <c r="F520">
        <f>[1]LISTADO_OTS!Q520</f>
        <v>1</v>
      </c>
      <c r="G520">
        <f>[1]LISTADO_OTS!R520</f>
        <v>1</v>
      </c>
      <c r="H520" t="str">
        <f>[1]LISTADO_OTS!H520</f>
        <v>Desatasco saneamiento en C/Jose Madinabeitia (Amurrio)</v>
      </c>
      <c r="I520" t="str">
        <f>[1]LISTADO_OTS!I520</f>
        <v>Desatasco saneamiento en C/Jose Madinabeitia (Amurrio)</v>
      </c>
      <c r="J520" s="1">
        <f>[1]LISTADO_OTS!F520</f>
        <v>45929</v>
      </c>
      <c r="K520" s="1">
        <f>[1]LISTADO_OTS!G520</f>
        <v>45929</v>
      </c>
      <c r="L520">
        <f>[1]LISTADO_OTS!M520</f>
        <v>43.053075999999997</v>
      </c>
      <c r="M520">
        <f>[1]LISTADO_OTS!N520</f>
        <v>-3.0023469999999999</v>
      </c>
      <c r="U520" t="b">
        <f>[1]LISTADO_OTS!O520</f>
        <v>1</v>
      </c>
      <c r="V520" t="str">
        <f>[1]LISTADO_OTS!J520</f>
        <v>Amurrio</v>
      </c>
      <c r="W520">
        <f>[1]LISTADO_OTS!R520</f>
        <v>1</v>
      </c>
      <c r="X520" t="str">
        <f>[1]LISTADO_OTS!P520</f>
        <v/>
      </c>
      <c r="Y520">
        <v>1</v>
      </c>
      <c r="Z520">
        <f>[1]LISTADO_OTS!S520</f>
        <v>2</v>
      </c>
    </row>
    <row r="521" spans="1:26" x14ac:dyDescent="0.4">
      <c r="A521">
        <v>520</v>
      </c>
      <c r="B521" t="str">
        <f>[1]LISTADO_OTS!E521</f>
        <v>OT/0373</v>
      </c>
      <c r="C521">
        <f>VLOOKUP([1]LISTADO_OTS!B521,[1]Redes!$C$1:$E$5,3,FALSE)</f>
        <v>5</v>
      </c>
      <c r="D521">
        <f>[1]LISTADO_OTS!C521</f>
        <v>1</v>
      </c>
      <c r="E521">
        <f>[1]LISTADO_OTS!D521</f>
        <v>0</v>
      </c>
      <c r="F521">
        <f>[1]LISTADO_OTS!Q521</f>
        <v>6</v>
      </c>
      <c r="G521">
        <f>[1]LISTADO_OTS!R521</f>
        <v>6</v>
      </c>
      <c r="H521" t="str">
        <f>[1]LISTADO_OTS!H521</f>
        <v>Desatasco saneamiento Maeztu C/Tellazar</v>
      </c>
      <c r="I521" t="str">
        <f>[1]LISTADO_OTS!I521</f>
        <v>Desatasco saneamiento Maeztu C/Tellazar</v>
      </c>
      <c r="J521" s="1">
        <f>[1]LISTADO_OTS!F521</f>
        <v>45932</v>
      </c>
      <c r="K521" s="1">
        <f>[1]LISTADO_OTS!G521</f>
        <v>45932</v>
      </c>
      <c r="L521">
        <f>[1]LISTADO_OTS!M521</f>
        <v>42.738390000000003</v>
      </c>
      <c r="M521">
        <f>[1]LISTADO_OTS!N521</f>
        <v>-2.4485260000000002</v>
      </c>
      <c r="U521" t="b">
        <f>[1]LISTADO_OTS!O521</f>
        <v>1</v>
      </c>
      <c r="V521" t="str">
        <f>[1]LISTADO_OTS!J521</f>
        <v>Maeztu</v>
      </c>
      <c r="W521">
        <f>[1]LISTADO_OTS!R521</f>
        <v>6</v>
      </c>
      <c r="X521" t="str">
        <f>[1]LISTADO_OTS!P521</f>
        <v/>
      </c>
      <c r="Y521">
        <v>1</v>
      </c>
      <c r="Z521">
        <f>[1]LISTADO_OTS!S521</f>
        <v>2</v>
      </c>
    </row>
    <row r="522" spans="1:26" x14ac:dyDescent="0.4">
      <c r="A522">
        <v>521</v>
      </c>
      <c r="B522" t="str">
        <f>[1]LISTADO_OTS!E522</f>
        <v>TP/0244</v>
      </c>
      <c r="C522">
        <f>VLOOKUP([1]LISTADO_OTS!B522,[1]Redes!$C$1:$E$5,3,FALSE)</f>
        <v>3</v>
      </c>
      <c r="D522">
        <f>[1]LISTADO_OTS!C522</f>
        <v>2</v>
      </c>
      <c r="E522">
        <f>[1]LISTADO_OTS!D522</f>
        <v>12</v>
      </c>
      <c r="F522">
        <f>[1]LISTADO_OTS!Q522</f>
        <v>1</v>
      </c>
      <c r="G522">
        <f>[1]LISTADO_OTS!R522</f>
        <v>1</v>
      </c>
      <c r="H522" t="str">
        <f>[1]LISTADO_OTS!H522</f>
        <v>Corte de agua en Amurrio C/Frontón n4</v>
      </c>
      <c r="I522" t="str">
        <f>[1]LISTADO_OTS!I522</f>
        <v>Corte de agua en Amurrio  C/Frontón n4</v>
      </c>
      <c r="J522" s="1">
        <f>[1]LISTADO_OTS!F522</f>
        <v>45932</v>
      </c>
      <c r="K522" s="1">
        <f>[1]LISTADO_OTS!G522</f>
        <v>45932</v>
      </c>
      <c r="L522">
        <f>[1]LISTADO_OTS!M522</f>
        <v>43.052953000000002</v>
      </c>
      <c r="M522">
        <f>[1]LISTADO_OTS!N522</f>
        <v>-3.0006849999999998</v>
      </c>
      <c r="U522" t="b">
        <f>[1]LISTADO_OTS!O522</f>
        <v>1</v>
      </c>
      <c r="V522" t="str">
        <f>[1]LISTADO_OTS!J522</f>
        <v>Amurrio</v>
      </c>
      <c r="W522">
        <f>[1]LISTADO_OTS!R522</f>
        <v>1</v>
      </c>
      <c r="X522" t="str">
        <f>[1]LISTADO_OTS!P522</f>
        <v/>
      </c>
      <c r="Y522">
        <v>1</v>
      </c>
      <c r="Z522">
        <f>[1]LISTADO_OTS!S522</f>
        <v>0</v>
      </c>
    </row>
    <row r="523" spans="1:26" x14ac:dyDescent="0.4">
      <c r="A523">
        <v>522</v>
      </c>
      <c r="B523" t="str">
        <f>[1]LISTADO_OTS!E523</f>
        <v>OT/0374</v>
      </c>
      <c r="C523">
        <f>VLOOKUP([1]LISTADO_OTS!B523,[1]Redes!$C$1:$E$5,3,FALSE)</f>
        <v>3</v>
      </c>
      <c r="D523">
        <f>[1]LISTADO_OTS!C523</f>
        <v>1</v>
      </c>
      <c r="E523">
        <f>[1]LISTADO_OTS!D523</f>
        <v>0</v>
      </c>
      <c r="F523">
        <f>[1]LISTADO_OTS!Q523</f>
        <v>1</v>
      </c>
      <c r="G523">
        <f>[1]LISTADO_OTS!R523</f>
        <v>1</v>
      </c>
      <c r="H523" t="str">
        <f>[1]LISTADO_OTS!H523</f>
        <v>Aviso falta de presión en la calle Otazu n2 (Luiando)</v>
      </c>
      <c r="I523" t="str">
        <f>[1]LISTADO_OTS!I523</f>
        <v>Aviso falta de presión en la calle Otazu n2 (Luiando)</v>
      </c>
      <c r="J523" s="1">
        <f>[1]LISTADO_OTS!F523</f>
        <v>45932</v>
      </c>
      <c r="K523" s="1">
        <f>[1]LISTADO_OTS!G523</f>
        <v>45932</v>
      </c>
      <c r="L523">
        <f>[1]LISTADO_OTS!M523</f>
        <v>43.10736</v>
      </c>
      <c r="M523">
        <f>[1]LISTADO_OTS!N523</f>
        <v>-2.99594</v>
      </c>
      <c r="U523" t="b">
        <f>[1]LISTADO_OTS!O523</f>
        <v>1</v>
      </c>
      <c r="V523" t="str">
        <f>[1]LISTADO_OTS!J523</f>
        <v>Luiando</v>
      </c>
      <c r="W523">
        <f>[1]LISTADO_OTS!R523</f>
        <v>1</v>
      </c>
      <c r="X523" t="str">
        <f>[1]LISTADO_OTS!P523</f>
        <v/>
      </c>
      <c r="Y523">
        <v>1</v>
      </c>
      <c r="Z523">
        <f>[1]LISTADO_OTS!S523</f>
        <v>3</v>
      </c>
    </row>
    <row r="524" spans="1:26" x14ac:dyDescent="0.4">
      <c r="A524">
        <v>523</v>
      </c>
      <c r="B524" t="str">
        <f>[1]LISTADO_OTS!E524</f>
        <v>OT/0375</v>
      </c>
      <c r="C524">
        <f>VLOOKUP([1]LISTADO_OTS!B524,[1]Redes!$C$1:$E$5,3,FALSE)</f>
        <v>3</v>
      </c>
      <c r="D524">
        <f>[1]LISTADO_OTS!C524</f>
        <v>1</v>
      </c>
      <c r="E524">
        <f>[1]LISTADO_OTS!D524</f>
        <v>0</v>
      </c>
      <c r="F524">
        <f>[1]LISTADO_OTS!Q524</f>
        <v>6</v>
      </c>
      <c r="G524">
        <f>[1]LISTADO_OTS!R524</f>
        <v>6</v>
      </c>
      <c r="H524" t="str">
        <f>[1]LISTADO_OTS!H524</f>
        <v>Fuga en Antoñana</v>
      </c>
      <c r="I524" t="str">
        <f>[1]LISTADO_OTS!I524</f>
        <v>Fuga en Antoñana</v>
      </c>
      <c r="J524" s="1">
        <f>[1]LISTADO_OTS!F524</f>
        <v>45932</v>
      </c>
      <c r="K524" s="1">
        <f>[1]LISTADO_OTS!G524</f>
        <v>45933</v>
      </c>
      <c r="L524">
        <f>[1]LISTADO_OTS!M524</f>
        <v>42.695858999999999</v>
      </c>
      <c r="M524">
        <f>[1]LISTADO_OTS!N524</f>
        <v>-2.3974060000000001</v>
      </c>
      <c r="U524" t="b">
        <f>[1]LISTADO_OTS!O524</f>
        <v>1</v>
      </c>
      <c r="V524" t="str">
        <f>[1]LISTADO_OTS!J524</f>
        <v>Antoñana</v>
      </c>
      <c r="W524">
        <f>[1]LISTADO_OTS!R524</f>
        <v>6</v>
      </c>
      <c r="X524" t="str">
        <f>[1]LISTADO_OTS!P524</f>
        <v/>
      </c>
      <c r="Y524">
        <v>1</v>
      </c>
      <c r="Z524">
        <f>[1]LISTADO_OTS!S524</f>
        <v>1</v>
      </c>
    </row>
    <row r="525" spans="1:26" x14ac:dyDescent="0.4">
      <c r="A525">
        <v>524</v>
      </c>
      <c r="B525" t="str">
        <f>[1]LISTADO_OTS!E525</f>
        <v>TP/0245</v>
      </c>
      <c r="C525">
        <f>VLOOKUP([1]LISTADO_OTS!B525,[1]Redes!$C$1:$E$5,3,FALSE)</f>
        <v>1</v>
      </c>
      <c r="D525">
        <f>[1]LISTADO_OTS!C525</f>
        <v>2</v>
      </c>
      <c r="E525">
        <f>[1]LISTADO_OTS!D525</f>
        <v>2</v>
      </c>
      <c r="F525">
        <f>[1]LISTADO_OTS!Q525</f>
        <v>1</v>
      </c>
      <c r="G525">
        <f>[1]LISTADO_OTS!R525</f>
        <v>1</v>
      </c>
      <c r="H525" t="str">
        <f>[1]LISTADO_OTS!H525</f>
        <v>Limpieza de captaciones Agiel,Txintxetru,Lejarzo</v>
      </c>
      <c r="I525" t="str">
        <f>[1]LISTADO_OTS!I525</f>
        <v>Limpieza de captaciones Agiel,Txintxetru,Lejarzo</v>
      </c>
      <c r="J525" s="1">
        <f>[1]LISTADO_OTS!F525</f>
        <v>45933</v>
      </c>
      <c r="K525" s="1">
        <f>[1]LISTADO_OTS!G525</f>
        <v>45933</v>
      </c>
      <c r="L525" t="str">
        <f>[1]LISTADO_OTS!M525</f>
        <v/>
      </c>
      <c r="M525" t="str">
        <f>[1]LISTADO_OTS!N525</f>
        <v/>
      </c>
      <c r="U525" t="b">
        <f>[1]LISTADO_OTS!O525</f>
        <v>1</v>
      </c>
      <c r="V525" t="str">
        <f>[1]LISTADO_OTS!J525</f>
        <v>Maroño</v>
      </c>
      <c r="W525">
        <f>[1]LISTADO_OTS!R525</f>
        <v>1</v>
      </c>
      <c r="X525" t="str">
        <f>[1]LISTADO_OTS!P525</f>
        <v/>
      </c>
      <c r="Y525">
        <v>1</v>
      </c>
      <c r="Z525">
        <f>[1]LISTADO_OTS!S525</f>
        <v>0</v>
      </c>
    </row>
    <row r="526" spans="1:26" x14ac:dyDescent="0.4">
      <c r="A526">
        <v>525</v>
      </c>
      <c r="B526" t="str">
        <f>[1]LISTADO_OTS!E526</f>
        <v>TP/0246</v>
      </c>
      <c r="C526">
        <f>VLOOKUP([1]LISTADO_OTS!B526,[1]Redes!$C$1:$E$5,3,FALSE)</f>
        <v>3</v>
      </c>
      <c r="D526">
        <f>[1]LISTADO_OTS!C526</f>
        <v>2</v>
      </c>
      <c r="E526">
        <f>[1]LISTADO_OTS!D526</f>
        <v>1</v>
      </c>
      <c r="F526">
        <f>[1]LISTADO_OTS!Q526</f>
        <v>1</v>
      </c>
      <c r="G526">
        <f>[1]LISTADO_OTS!R526</f>
        <v>1</v>
      </c>
      <c r="H526" t="str">
        <f>[1]LISTADO_OTS!H526</f>
        <v>Mantenimiento preventivo saneamiento Llodio</v>
      </c>
      <c r="I526" t="str">
        <f>[1]LISTADO_OTS!I526</f>
        <v>Mantenimiento preventivo saneamiento Llodio</v>
      </c>
      <c r="J526" s="1">
        <f>[1]LISTADO_OTS!F526</f>
        <v>45933</v>
      </c>
      <c r="K526" s="1">
        <f>[1]LISTADO_OTS!G526</f>
        <v>45933</v>
      </c>
      <c r="L526" t="str">
        <f>[1]LISTADO_OTS!M526</f>
        <v/>
      </c>
      <c r="M526" t="str">
        <f>[1]LISTADO_OTS!N526</f>
        <v/>
      </c>
      <c r="U526" t="b">
        <f>[1]LISTADO_OTS!O526</f>
        <v>1</v>
      </c>
      <c r="V526" t="str">
        <f>[1]LISTADO_OTS!J526</f>
        <v>Llodio</v>
      </c>
      <c r="W526">
        <f>[1]LISTADO_OTS!R526</f>
        <v>1</v>
      </c>
      <c r="X526" t="str">
        <f>[1]LISTADO_OTS!P526</f>
        <v/>
      </c>
      <c r="Y526">
        <v>1</v>
      </c>
      <c r="Z526">
        <f>[1]LISTADO_OTS!S526</f>
        <v>0</v>
      </c>
    </row>
    <row r="527" spans="1:26" x14ac:dyDescent="0.4">
      <c r="A527">
        <v>526</v>
      </c>
      <c r="B527" t="str">
        <f>[1]LISTADO_OTS!E527</f>
        <v>OT/0376</v>
      </c>
      <c r="C527">
        <f>VLOOKUP([1]LISTADO_OTS!B527,[1]Redes!$C$1:$E$5,3,FALSE)</f>
        <v>3</v>
      </c>
      <c r="D527">
        <f>[1]LISTADO_OTS!C527</f>
        <v>1</v>
      </c>
      <c r="E527">
        <f>[1]LISTADO_OTS!D527</f>
        <v>0</v>
      </c>
      <c r="F527">
        <f>[1]LISTADO_OTS!Q527</f>
        <v>1</v>
      </c>
      <c r="G527">
        <f>[1]LISTADO_OTS!R527</f>
        <v>1</v>
      </c>
      <c r="H527" t="str">
        <f>[1]LISTADO_OTS!H527</f>
        <v>Reparación de fuga en Erbi</v>
      </c>
      <c r="I527" t="str">
        <f>[1]LISTADO_OTS!I527</f>
        <v>Reparación de fuga en Erbi</v>
      </c>
      <c r="J527" s="1">
        <f>[1]LISTADO_OTS!F527</f>
        <v>45933</v>
      </c>
      <c r="K527" s="1">
        <f>[1]LISTADO_OTS!G527</f>
        <v>45934</v>
      </c>
      <c r="L527">
        <f>[1]LISTADO_OTS!M527</f>
        <v>43.072037999999999</v>
      </c>
      <c r="M527">
        <f>[1]LISTADO_OTS!N527</f>
        <v>-3.1161469999999998</v>
      </c>
      <c r="U527" t="b">
        <f>[1]LISTADO_OTS!O527</f>
        <v>1</v>
      </c>
      <c r="V527" t="str">
        <f>[1]LISTADO_OTS!J527</f>
        <v>Erbi</v>
      </c>
      <c r="W527">
        <f>[1]LISTADO_OTS!R527</f>
        <v>1</v>
      </c>
      <c r="X527" t="str">
        <f>[1]LISTADO_OTS!P527</f>
        <v/>
      </c>
      <c r="Y527">
        <v>1</v>
      </c>
      <c r="Z527">
        <f>[1]LISTADO_OTS!S527</f>
        <v>1</v>
      </c>
    </row>
    <row r="528" spans="1:26" x14ac:dyDescent="0.4">
      <c r="A528">
        <v>527</v>
      </c>
      <c r="B528" t="str">
        <f>[1]LISTADO_OTS!E528</f>
        <v>OT/0377</v>
      </c>
      <c r="C528">
        <f>VLOOKUP([1]LISTADO_OTS!B528,[1]Redes!$C$1:$E$5,3,FALSE)</f>
        <v>3</v>
      </c>
      <c r="D528">
        <f>[1]LISTADO_OTS!C528</f>
        <v>1</v>
      </c>
      <c r="E528">
        <f>[1]LISTADO_OTS!D528</f>
        <v>0</v>
      </c>
      <c r="F528">
        <f>[1]LISTADO_OTS!Q528</f>
        <v>3</v>
      </c>
      <c r="G528">
        <f>[1]LISTADO_OTS!R528</f>
        <v>3</v>
      </c>
      <c r="H528" t="str">
        <f>[1]LISTADO_OTS!H528</f>
        <v>Fuga en vías del tren de Edar en Alegría</v>
      </c>
      <c r="I528" t="str">
        <f>[1]LISTADO_OTS!I528</f>
        <v>Fuga en vías del tren de Edar en Alegría</v>
      </c>
      <c r="J528" s="1">
        <f>[1]LISTADO_OTS!F528</f>
        <v>45932</v>
      </c>
      <c r="K528" s="1">
        <f>[1]LISTADO_OTS!G528</f>
        <v>45959</v>
      </c>
      <c r="L528">
        <f>[1]LISTADO_OTS!M528</f>
        <v>42.848764000000003</v>
      </c>
      <c r="M528">
        <f>[1]LISTADO_OTS!N528</f>
        <v>-2.5137260000000001</v>
      </c>
      <c r="U528" t="b">
        <f>[1]LISTADO_OTS!O528</f>
        <v>1</v>
      </c>
      <c r="V528" t="str">
        <f>[1]LISTADO_OTS!J528</f>
        <v>Alegría</v>
      </c>
      <c r="W528">
        <f>[1]LISTADO_OTS!R528</f>
        <v>3</v>
      </c>
      <c r="X528" t="str">
        <f>[1]LISTADO_OTS!P528</f>
        <v/>
      </c>
      <c r="Y528">
        <v>1</v>
      </c>
      <c r="Z528">
        <f>[1]LISTADO_OTS!S528</f>
        <v>1</v>
      </c>
    </row>
    <row r="529" spans="1:26" x14ac:dyDescent="0.4">
      <c r="A529">
        <v>528</v>
      </c>
      <c r="B529" t="str">
        <f>[1]LISTADO_OTS!E529</f>
        <v>OT/0378</v>
      </c>
      <c r="C529">
        <f>VLOOKUP([1]LISTADO_OTS!B529,[1]Redes!$C$1:$E$5,3,FALSE)</f>
        <v>5</v>
      </c>
      <c r="D529">
        <f>[1]LISTADO_OTS!C529</f>
        <v>1</v>
      </c>
      <c r="E529">
        <f>[1]LISTADO_OTS!D529</f>
        <v>0</v>
      </c>
      <c r="F529">
        <f>[1]LISTADO_OTS!Q529</f>
        <v>1</v>
      </c>
      <c r="G529">
        <f>[1]LISTADO_OTS!R529</f>
        <v>1</v>
      </c>
      <c r="H529" t="str">
        <f>[1]LISTADO_OTS!H529</f>
        <v>Desatasco en Murga en la campa</v>
      </c>
      <c r="I529" t="str">
        <f>[1]LISTADO_OTS!I529</f>
        <v>Desatasco en Murga en la campa</v>
      </c>
      <c r="J529" s="1">
        <f>[1]LISTADO_OTS!F529</f>
        <v>45934</v>
      </c>
      <c r="K529" s="1">
        <f>[1]LISTADO_OTS!G529</f>
        <v>45934</v>
      </c>
      <c r="L529">
        <f>[1]LISTADO_OTS!M529</f>
        <v>43.079734999999999</v>
      </c>
      <c r="M529">
        <f>[1]LISTADO_OTS!N529</f>
        <v>-3.02196</v>
      </c>
      <c r="U529" t="b">
        <f>[1]LISTADO_OTS!O529</f>
        <v>1</v>
      </c>
      <c r="V529" t="str">
        <f>[1]LISTADO_OTS!J529</f>
        <v>Murga</v>
      </c>
      <c r="W529">
        <f>[1]LISTADO_OTS!R529</f>
        <v>1</v>
      </c>
      <c r="X529" t="str">
        <f>[1]LISTADO_OTS!P529</f>
        <v/>
      </c>
      <c r="Y529">
        <v>1</v>
      </c>
      <c r="Z529">
        <f>[1]LISTADO_OTS!S529</f>
        <v>2</v>
      </c>
    </row>
    <row r="530" spans="1:26" x14ac:dyDescent="0.4">
      <c r="A530">
        <v>529</v>
      </c>
      <c r="B530" t="str">
        <f>[1]LISTADO_OTS!E530</f>
        <v>OT/0379</v>
      </c>
      <c r="C530">
        <f>VLOOKUP([1]LISTADO_OTS!B530,[1]Redes!$C$1:$E$5,3,FALSE)</f>
        <v>3</v>
      </c>
      <c r="D530">
        <f>[1]LISTADO_OTS!C530</f>
        <v>1</v>
      </c>
      <c r="E530">
        <f>[1]LISTADO_OTS!D530</f>
        <v>0</v>
      </c>
      <c r="F530">
        <f>[1]LISTADO_OTS!Q530</f>
        <v>1</v>
      </c>
      <c r="G530">
        <f>[1]LISTADO_OTS!R530</f>
        <v>1</v>
      </c>
      <c r="H530" t="str">
        <f>[1]LISTADO_OTS!H530</f>
        <v>Fuga en Artziniega en Barrataguren</v>
      </c>
      <c r="I530" t="str">
        <f>[1]LISTADO_OTS!I530</f>
        <v>Fuga en Artziniega en Barrataguren</v>
      </c>
      <c r="J530" s="1">
        <f>[1]LISTADO_OTS!F530</f>
        <v>45933</v>
      </c>
      <c r="K530" s="1">
        <f>[1]LISTADO_OTS!G530</f>
        <v>45934</v>
      </c>
      <c r="L530">
        <f>[1]LISTADO_OTS!M530</f>
        <v>43.138241999999998</v>
      </c>
      <c r="M530">
        <f>[1]LISTADO_OTS!N530</f>
        <v>-3.1127319999999998</v>
      </c>
      <c r="U530" t="b">
        <f>[1]LISTADO_OTS!O530</f>
        <v>1</v>
      </c>
      <c r="V530" t="str">
        <f>[1]LISTADO_OTS!J530</f>
        <v>Artziniega</v>
      </c>
      <c r="W530">
        <f>[1]LISTADO_OTS!R530</f>
        <v>1</v>
      </c>
      <c r="X530" t="str">
        <f>[1]LISTADO_OTS!P530</f>
        <v/>
      </c>
      <c r="Y530">
        <v>1</v>
      </c>
      <c r="Z530">
        <f>[1]LISTADO_OTS!S530</f>
        <v>1</v>
      </c>
    </row>
    <row r="531" spans="1:26" x14ac:dyDescent="0.4">
      <c r="A531">
        <v>530</v>
      </c>
      <c r="B531" t="str">
        <f>[1]LISTADO_OTS!E531</f>
        <v>OT/0380</v>
      </c>
      <c r="C531">
        <f>VLOOKUP([1]LISTADO_OTS!B531,[1]Redes!$C$1:$E$5,3,FALSE)</f>
        <v>3</v>
      </c>
      <c r="D531">
        <f>[1]LISTADO_OTS!C531</f>
        <v>1</v>
      </c>
      <c r="E531">
        <f>[1]LISTADO_OTS!D531</f>
        <v>0</v>
      </c>
      <c r="F531">
        <f>[1]LISTADO_OTS!Q531</f>
        <v>5</v>
      </c>
      <c r="G531">
        <f>[1]LISTADO_OTS!R531</f>
        <v>5</v>
      </c>
      <c r="H531" t="str">
        <f>[1]LISTADO_OTS!H531</f>
        <v>Fuga en Espejo C/La Iglesia n11</v>
      </c>
      <c r="I531" t="str">
        <f>[1]LISTADO_OTS!I531</f>
        <v>Fuga en Espejo C/La Iglesia n11</v>
      </c>
      <c r="J531" s="1">
        <f>[1]LISTADO_OTS!F531</f>
        <v>45936</v>
      </c>
      <c r="K531" s="1">
        <f>[1]LISTADO_OTS!G531</f>
        <v>45937</v>
      </c>
      <c r="L531">
        <f>[1]LISTADO_OTS!M531</f>
        <v>42.808605999999997</v>
      </c>
      <c r="M531">
        <f>[1]LISTADO_OTS!N531</f>
        <v>-3.049674</v>
      </c>
      <c r="U531" t="b">
        <f>[1]LISTADO_OTS!O531</f>
        <v>1</v>
      </c>
      <c r="V531" t="str">
        <f>[1]LISTADO_OTS!J531</f>
        <v>Espejo</v>
      </c>
      <c r="W531">
        <f>[1]LISTADO_OTS!R531</f>
        <v>5</v>
      </c>
      <c r="X531" t="str">
        <f>[1]LISTADO_OTS!P531</f>
        <v/>
      </c>
      <c r="Y531">
        <v>1</v>
      </c>
      <c r="Z531">
        <f>[1]LISTADO_OTS!S531</f>
        <v>1</v>
      </c>
    </row>
    <row r="532" spans="1:26" x14ac:dyDescent="0.4">
      <c r="A532">
        <v>531</v>
      </c>
      <c r="B532" t="str">
        <f>[1]LISTADO_OTS!E532</f>
        <v>TP/0247</v>
      </c>
      <c r="C532">
        <f>VLOOKUP([1]LISTADO_OTS!B532,[1]Redes!$C$1:$E$5,3,FALSE)</f>
        <v>3</v>
      </c>
      <c r="D532">
        <f>[1]LISTADO_OTS!C532</f>
        <v>2</v>
      </c>
      <c r="E532">
        <f>[1]LISTADO_OTS!D532</f>
        <v>7</v>
      </c>
      <c r="F532">
        <f>[1]LISTADO_OTS!Q532</f>
        <v>1</v>
      </c>
      <c r="G532">
        <f>[1]LISTADO_OTS!R532</f>
        <v>1</v>
      </c>
      <c r="H532" t="str">
        <f>[1]LISTADO_OTS!H532</f>
        <v>Localizacion de fugas en Llodio</v>
      </c>
      <c r="I532" t="str">
        <f>[1]LISTADO_OTS!I532</f>
        <v>Localizacion de fugas en Llodio</v>
      </c>
      <c r="J532" s="1">
        <f>[1]LISTADO_OTS!F532</f>
        <v>45930</v>
      </c>
      <c r="K532" s="1">
        <f>[1]LISTADO_OTS!G532</f>
        <v>45930</v>
      </c>
      <c r="L532" t="str">
        <f>[1]LISTADO_OTS!M532</f>
        <v/>
      </c>
      <c r="M532" t="str">
        <f>[1]LISTADO_OTS!N532</f>
        <v/>
      </c>
      <c r="U532" t="b">
        <f>[1]LISTADO_OTS!O532</f>
        <v>1</v>
      </c>
      <c r="V532" t="str">
        <f>[1]LISTADO_OTS!J532</f>
        <v>Llodio</v>
      </c>
      <c r="W532">
        <f>[1]LISTADO_OTS!R532</f>
        <v>1</v>
      </c>
      <c r="X532" t="str">
        <f>[1]LISTADO_OTS!P532</f>
        <v/>
      </c>
      <c r="Y532">
        <v>1</v>
      </c>
      <c r="Z532">
        <f>[1]LISTADO_OTS!S532</f>
        <v>1</v>
      </c>
    </row>
    <row r="533" spans="1:26" x14ac:dyDescent="0.4">
      <c r="A533">
        <v>532</v>
      </c>
      <c r="B533" t="str">
        <f>[1]LISTADO_OTS!E533</f>
        <v>OT/0381</v>
      </c>
      <c r="C533">
        <f>VLOOKUP([1]LISTADO_OTS!B533,[1]Redes!$C$1:$E$5,3,FALSE)</f>
        <v>3</v>
      </c>
      <c r="D533">
        <f>[1]LISTADO_OTS!C533</f>
        <v>1</v>
      </c>
      <c r="E533">
        <f>[1]LISTADO_OTS!D533</f>
        <v>0</v>
      </c>
      <c r="F533">
        <f>[1]LISTADO_OTS!Q533</f>
        <v>1</v>
      </c>
      <c r="G533">
        <f>[1]LISTADO_OTS!R533</f>
        <v>1</v>
      </c>
      <c r="H533" t="str">
        <f>[1]LISTADO_OTS!H533</f>
        <v>Fuga en Larrinbe</v>
      </c>
      <c r="I533" t="str">
        <f>[1]LISTADO_OTS!I533</f>
        <v>Fuga en Larrinbe</v>
      </c>
      <c r="J533" s="1">
        <f>[1]LISTADO_OTS!F533</f>
        <v>45936</v>
      </c>
      <c r="K533" s="1">
        <f>[1]LISTADO_OTS!G533</f>
        <v>45937</v>
      </c>
      <c r="L533">
        <f>[1]LISTADO_OTS!M533</f>
        <v>43.038108000000001</v>
      </c>
      <c r="M533">
        <f>[1]LISTADO_OTS!N533</f>
        <v>-2.978011</v>
      </c>
      <c r="U533" t="b">
        <f>[1]LISTADO_OTS!O533</f>
        <v>1</v>
      </c>
      <c r="V533" t="str">
        <f>[1]LISTADO_OTS!J533</f>
        <v>Larrinbe</v>
      </c>
      <c r="W533">
        <f>[1]LISTADO_OTS!R533</f>
        <v>1</v>
      </c>
      <c r="X533" t="str">
        <f>[1]LISTADO_OTS!P533</f>
        <v/>
      </c>
      <c r="Y533">
        <v>1</v>
      </c>
      <c r="Z533">
        <f>[1]LISTADO_OTS!S533</f>
        <v>1</v>
      </c>
    </row>
    <row r="534" spans="1:26" x14ac:dyDescent="0.4">
      <c r="A534">
        <v>533</v>
      </c>
      <c r="B534" t="str">
        <f>[1]LISTADO_OTS!E534</f>
        <v>OT/0382</v>
      </c>
      <c r="C534">
        <f>VLOOKUP([1]LISTADO_OTS!B534,[1]Redes!$C$1:$E$5,3,FALSE)</f>
        <v>3</v>
      </c>
      <c r="D534">
        <f>[1]LISTADO_OTS!C534</f>
        <v>1</v>
      </c>
      <c r="E534">
        <f>[1]LISTADO_OTS!D534</f>
        <v>0</v>
      </c>
      <c r="F534">
        <f>[1]LISTADO_OTS!Q534</f>
        <v>3</v>
      </c>
      <c r="G534">
        <f>[1]LISTADO_OTS!R534</f>
        <v>3</v>
      </c>
      <c r="H534" t="str">
        <f>[1]LISTADO_OTS!H534</f>
        <v>Reparación de fuga en Agurain C/Zadorra n33</v>
      </c>
      <c r="I534" t="str">
        <f>[1]LISTADO_OTS!I534</f>
        <v>Reparación de fuga en Agurain C/Zadorra n33</v>
      </c>
      <c r="J534" s="1">
        <f>[1]LISTADO_OTS!F534</f>
        <v>45933</v>
      </c>
      <c r="K534" s="1">
        <f>[1]LISTADO_OTS!G534</f>
        <v>45938</v>
      </c>
      <c r="L534">
        <f>[1]LISTADO_OTS!M534</f>
        <v>42.854613000000001</v>
      </c>
      <c r="M534">
        <f>[1]LISTADO_OTS!N534</f>
        <v>-2.3904450000000002</v>
      </c>
      <c r="U534" t="b">
        <f>[1]LISTADO_OTS!O534</f>
        <v>1</v>
      </c>
      <c r="V534" t="str">
        <f>[1]LISTADO_OTS!J534</f>
        <v>Agurain</v>
      </c>
      <c r="W534">
        <f>[1]LISTADO_OTS!R534</f>
        <v>3</v>
      </c>
      <c r="X534" t="str">
        <f>[1]LISTADO_OTS!P534</f>
        <v>JOSEBA E IÑIGO</v>
      </c>
      <c r="Y534">
        <v>1</v>
      </c>
      <c r="Z534">
        <f>[1]LISTADO_OTS!S534</f>
        <v>1</v>
      </c>
    </row>
    <row r="535" spans="1:26" x14ac:dyDescent="0.4">
      <c r="A535">
        <v>534</v>
      </c>
      <c r="B535" t="str">
        <f>[1]LISTADO_OTS!E535</f>
        <v>TP/0248</v>
      </c>
      <c r="C535">
        <f>VLOOKUP([1]LISTADO_OTS!B535,[1]Redes!$C$1:$E$5,3,FALSE)</f>
        <v>3</v>
      </c>
      <c r="D535">
        <f>[1]LISTADO_OTS!C535</f>
        <v>2</v>
      </c>
      <c r="E535">
        <f>[1]LISTADO_OTS!D535</f>
        <v>9</v>
      </c>
      <c r="F535">
        <f>[1]LISTADO_OTS!Q535</f>
        <v>3</v>
      </c>
      <c r="G535">
        <f>[1]LISTADO_OTS!R535</f>
        <v>3</v>
      </c>
      <c r="H535" t="str">
        <f>[1]LISTADO_OTS!H535</f>
        <v>Desistalación de contador en Agurain C/Entzia n7</v>
      </c>
      <c r="I535" t="str">
        <f>[1]LISTADO_OTS!I535</f>
        <v>Desistalación de contador en Agurain C/Entzia n7</v>
      </c>
      <c r="J535" s="1">
        <f>[1]LISTADO_OTS!F535</f>
        <v>45932</v>
      </c>
      <c r="K535" s="1">
        <f>[1]LISTADO_OTS!G535</f>
        <v>45932</v>
      </c>
      <c r="L535">
        <f>[1]LISTADO_OTS!M535</f>
        <v>42.848011</v>
      </c>
      <c r="M535">
        <f>[1]LISTADO_OTS!N535</f>
        <v>-2.3914879999999998</v>
      </c>
      <c r="U535" t="b">
        <f>[1]LISTADO_OTS!O535</f>
        <v>1</v>
      </c>
      <c r="V535" t="str">
        <f>[1]LISTADO_OTS!J535</f>
        <v>Agurain</v>
      </c>
      <c r="W535">
        <f>[1]LISTADO_OTS!R535</f>
        <v>3</v>
      </c>
      <c r="X535" t="str">
        <f>[1]LISTADO_OTS!P535</f>
        <v>KERMAN</v>
      </c>
      <c r="Y535">
        <v>1</v>
      </c>
      <c r="Z535">
        <f>[1]LISTADO_OTS!S535</f>
        <v>0</v>
      </c>
    </row>
    <row r="536" spans="1:26" x14ac:dyDescent="0.4">
      <c r="A536">
        <v>535</v>
      </c>
      <c r="B536" t="str">
        <f>[1]LISTADO_OTS!E536</f>
        <v>TP/0249</v>
      </c>
      <c r="C536">
        <f>VLOOKUP([1]LISTADO_OTS!B536,[1]Redes!$C$1:$E$5,3,FALSE)</f>
        <v>5</v>
      </c>
      <c r="D536">
        <f>[1]LISTADO_OTS!C536</f>
        <v>2</v>
      </c>
      <c r="E536">
        <f>[1]LISTADO_OTS!D536</f>
        <v>1</v>
      </c>
      <c r="F536">
        <f>[1]LISTADO_OTS!Q536</f>
        <v>3</v>
      </c>
      <c r="G536">
        <f>[1]LISTADO_OTS!R536</f>
        <v>3</v>
      </c>
      <c r="H536" t="str">
        <f>[1]LISTADO_OTS!H536</f>
        <v>Desatasco en parque de C/Urzabal en Agurain</v>
      </c>
      <c r="I536" t="str">
        <f>[1]LISTADO_OTS!I536</f>
        <v>Desatasco en parque de C/Urzabal en Agurain</v>
      </c>
      <c r="J536" s="1">
        <f>[1]LISTADO_OTS!F536</f>
        <v>45932</v>
      </c>
      <c r="K536" s="1">
        <f>[1]LISTADO_OTS!G536</f>
        <v>45933</v>
      </c>
      <c r="L536">
        <f>[1]LISTADO_OTS!M536</f>
        <v>42.848472000000001</v>
      </c>
      <c r="M536">
        <f>[1]LISTADO_OTS!N536</f>
        <v>-2.3907020000000001</v>
      </c>
      <c r="U536" t="b">
        <f>[1]LISTADO_OTS!O536</f>
        <v>1</v>
      </c>
      <c r="V536" t="str">
        <f>[1]LISTADO_OTS!J536</f>
        <v>Agurain</v>
      </c>
      <c r="W536">
        <f>[1]LISTADO_OTS!R536</f>
        <v>3</v>
      </c>
      <c r="X536" t="str">
        <f>[1]LISTADO_OTS!P536</f>
        <v>EMILIO</v>
      </c>
      <c r="Y536">
        <v>1</v>
      </c>
      <c r="Z536">
        <f>[1]LISTADO_OTS!S536</f>
        <v>2</v>
      </c>
    </row>
    <row r="537" spans="1:26" x14ac:dyDescent="0.4">
      <c r="A537">
        <v>536</v>
      </c>
      <c r="B537" t="str">
        <f>[1]LISTADO_OTS!E537</f>
        <v>TP/0250</v>
      </c>
      <c r="C537">
        <f>VLOOKUP([1]LISTADO_OTS!B537,[1]Redes!$C$1:$E$5,3,FALSE)</f>
        <v>3</v>
      </c>
      <c r="D537">
        <f>[1]LISTADO_OTS!C537</f>
        <v>2</v>
      </c>
      <c r="E537">
        <f>[1]LISTADO_OTS!D537</f>
        <v>9</v>
      </c>
      <c r="F537">
        <f>[1]LISTADO_OTS!Q537</f>
        <v>6</v>
      </c>
      <c r="G537">
        <f>[1]LISTADO_OTS!R537</f>
        <v>6</v>
      </c>
      <c r="H537" t="str">
        <f>[1]LISTADO_OTS!H537</f>
        <v>Retirada de contador C/Mayor n B (kontrasta)</v>
      </c>
      <c r="I537" t="str">
        <f>[1]LISTADO_OTS!I537</f>
        <v>Retirada de contador C/Mayor n B (kontrasta)</v>
      </c>
      <c r="J537" s="1">
        <f>[1]LISTADO_OTS!F537</f>
        <v>45932</v>
      </c>
      <c r="K537" s="1">
        <f>[1]LISTADO_OTS!G537</f>
        <v>45932</v>
      </c>
      <c r="L537">
        <f>[1]LISTADO_OTS!M537</f>
        <v>42.771026999999997</v>
      </c>
      <c r="M537">
        <f>[1]LISTADO_OTS!N537</f>
        <v>-2.2958769999999999</v>
      </c>
      <c r="U537" t="b">
        <f>[1]LISTADO_OTS!O537</f>
        <v>1</v>
      </c>
      <c r="V537" t="str">
        <f>[1]LISTADO_OTS!J537</f>
        <v>Kontrasta</v>
      </c>
      <c r="W537">
        <f>[1]LISTADO_OTS!R537</f>
        <v>6</v>
      </c>
      <c r="X537" t="str">
        <f>[1]LISTADO_OTS!P537</f>
        <v>KERMAN</v>
      </c>
      <c r="Y537">
        <v>1</v>
      </c>
      <c r="Z537">
        <f>[1]LISTADO_OTS!S537</f>
        <v>0</v>
      </c>
    </row>
    <row r="538" spans="1:26" x14ac:dyDescent="0.4">
      <c r="A538">
        <v>537</v>
      </c>
      <c r="B538" t="str">
        <f>[1]LISTADO_OTS!E538</f>
        <v>TP/0251</v>
      </c>
      <c r="C538">
        <f>VLOOKUP([1]LISTADO_OTS!B538,[1]Redes!$C$1:$E$5,3,FALSE)</f>
        <v>3</v>
      </c>
      <c r="D538">
        <f>[1]LISTADO_OTS!C538</f>
        <v>2</v>
      </c>
      <c r="E538">
        <f>[1]LISTADO_OTS!D538</f>
        <v>10</v>
      </c>
      <c r="F538">
        <f>[1]LISTADO_OTS!Q538</f>
        <v>3</v>
      </c>
      <c r="G538">
        <f>[1]LISTADO_OTS!R538</f>
        <v>3</v>
      </c>
      <c r="H538" t="str">
        <f>[1]LISTADO_OTS!H538</f>
        <v>Cambio de contador en Añua Bidea n11 en Alegria</v>
      </c>
      <c r="I538" t="str">
        <f>[1]LISTADO_OTS!I538</f>
        <v>Cambio de contador en Añua Bidea n11 en Alegria</v>
      </c>
      <c r="J538" s="1">
        <f>[1]LISTADO_OTS!F538</f>
        <v>45932</v>
      </c>
      <c r="K538" s="1">
        <f>[1]LISTADO_OTS!G538</f>
        <v>45932</v>
      </c>
      <c r="L538">
        <f>[1]LISTADO_OTS!M538</f>
        <v>42.839629000000002</v>
      </c>
      <c r="M538">
        <f>[1]LISTADO_OTS!N538</f>
        <v>-2.5140560000000001</v>
      </c>
      <c r="U538" t="b">
        <f>[1]LISTADO_OTS!O538</f>
        <v>1</v>
      </c>
      <c r="V538" t="str">
        <f>[1]LISTADO_OTS!J538</f>
        <v>Alegría</v>
      </c>
      <c r="W538">
        <f>[1]LISTADO_OTS!R538</f>
        <v>3</v>
      </c>
      <c r="X538" t="str">
        <f>[1]LISTADO_OTS!P538</f>
        <v>KERMAN</v>
      </c>
      <c r="Y538">
        <v>1</v>
      </c>
      <c r="Z538">
        <f>[1]LISTADO_OTS!S538</f>
        <v>0</v>
      </c>
    </row>
    <row r="539" spans="1:26" x14ac:dyDescent="0.4">
      <c r="A539">
        <v>538</v>
      </c>
      <c r="B539" t="str">
        <f>[1]LISTADO_OTS!E539</f>
        <v>TP/0252</v>
      </c>
      <c r="C539">
        <f>VLOOKUP([1]LISTADO_OTS!B539,[1]Redes!$C$1:$E$5,3,FALSE)</f>
        <v>5</v>
      </c>
      <c r="D539">
        <f>[1]LISTADO_OTS!C539</f>
        <v>2</v>
      </c>
      <c r="E539">
        <f>[1]LISTADO_OTS!D539</f>
        <v>1</v>
      </c>
      <c r="F539">
        <f>[1]LISTADO_OTS!Q539</f>
        <v>3</v>
      </c>
      <c r="G539">
        <f>[1]LISTADO_OTS!R539</f>
        <v>3</v>
      </c>
      <c r="H539" t="str">
        <f>[1]LISTADO_OTS!H539</f>
        <v>Mantenimiento preventivo saneamiento C/Urzabal en Agurain</v>
      </c>
      <c r="I539" t="str">
        <f>[1]LISTADO_OTS!I539</f>
        <v>Mantenimiento preventivo saneamiento C/Urzabal en Agurain</v>
      </c>
      <c r="J539" s="1">
        <f>[1]LISTADO_OTS!F539</f>
        <v>45936</v>
      </c>
      <c r="K539" s="1">
        <f>[1]LISTADO_OTS!G539</f>
        <v>45936</v>
      </c>
      <c r="L539">
        <f>[1]LISTADO_OTS!M539</f>
        <v>42.848553000000003</v>
      </c>
      <c r="M539">
        <f>[1]LISTADO_OTS!N539</f>
        <v>-2.3907600000000002</v>
      </c>
      <c r="U539" t="b">
        <f>[1]LISTADO_OTS!O539</f>
        <v>1</v>
      </c>
      <c r="V539" t="str">
        <f>[1]LISTADO_OTS!J539</f>
        <v>Agurain</v>
      </c>
      <c r="W539">
        <f>[1]LISTADO_OTS!R539</f>
        <v>3</v>
      </c>
      <c r="X539" t="str">
        <f>[1]LISTADO_OTS!P539</f>
        <v>EMILIO</v>
      </c>
      <c r="Y539">
        <v>1</v>
      </c>
      <c r="Z539">
        <f>[1]LISTADO_OTS!S539</f>
        <v>0</v>
      </c>
    </row>
    <row r="540" spans="1:26" x14ac:dyDescent="0.4">
      <c r="A540">
        <v>539</v>
      </c>
      <c r="B540" t="str">
        <f>[1]LISTADO_OTS!E540</f>
        <v>OT/0383</v>
      </c>
      <c r="C540">
        <f>VLOOKUP([1]LISTADO_OTS!B540,[1]Redes!$C$1:$E$5,3,FALSE)</f>
        <v>3</v>
      </c>
      <c r="D540">
        <f>[1]LISTADO_OTS!C540</f>
        <v>1</v>
      </c>
      <c r="E540">
        <f>[1]LISTADO_OTS!D540</f>
        <v>0</v>
      </c>
      <c r="F540">
        <f>[1]LISTADO_OTS!Q540</f>
        <v>1</v>
      </c>
      <c r="G540">
        <f>[1]LISTADO_OTS!R540</f>
        <v>1</v>
      </c>
      <c r="H540" t="str">
        <f>[1]LISTADO_OTS!H540</f>
        <v>Conexión nueva tubería y VRP (Bergantza)</v>
      </c>
      <c r="I540" t="str">
        <f>[1]LISTADO_OTS!I540</f>
        <v>Conexión nueva tubería y VRP (Bergantza)</v>
      </c>
      <c r="J540" s="1">
        <f>[1]LISTADO_OTS!F540</f>
        <v>45932</v>
      </c>
      <c r="K540" s="1">
        <f>[1]LISTADO_OTS!G540</f>
        <v>45938</v>
      </c>
      <c r="L540">
        <f>[1]LISTADO_OTS!M540</f>
        <v>43.057099000000001</v>
      </c>
      <c r="M540">
        <f>[1]LISTADO_OTS!N540</f>
        <v>-2.9321380000000001</v>
      </c>
      <c r="U540" t="b">
        <f>[1]LISTADO_OTS!O540</f>
        <v>1</v>
      </c>
      <c r="V540" t="str">
        <f>[1]LISTADO_OTS!J540</f>
        <v>Berganza</v>
      </c>
      <c r="W540">
        <f>[1]LISTADO_OTS!R540</f>
        <v>1</v>
      </c>
      <c r="X540" t="str">
        <f>[1]LISTADO_OTS!P540</f>
        <v>MIGUEL Y ANGEL</v>
      </c>
      <c r="Y540">
        <v>1</v>
      </c>
      <c r="Z540">
        <f>[1]LISTADO_OTS!S540</f>
        <v>3</v>
      </c>
    </row>
    <row r="541" spans="1:26" x14ac:dyDescent="0.4">
      <c r="A541">
        <v>540</v>
      </c>
      <c r="B541" t="str">
        <f>[1]LISTADO_OTS!E541</f>
        <v>OT/0384</v>
      </c>
      <c r="C541">
        <f>VLOOKUP([1]LISTADO_OTS!B541,[1]Redes!$C$1:$E$5,3,FALSE)</f>
        <v>3</v>
      </c>
      <c r="D541">
        <f>[1]LISTADO_OTS!C541</f>
        <v>1</v>
      </c>
      <c r="E541">
        <f>[1]LISTADO_OTS!D541</f>
        <v>0</v>
      </c>
      <c r="F541">
        <f>[1]LISTADO_OTS!Q541</f>
        <v>3</v>
      </c>
      <c r="G541">
        <f>[1]LISTADO_OTS!R541</f>
        <v>3</v>
      </c>
      <c r="H541" t="str">
        <f>[1]LISTADO_OTS!H541</f>
        <v>Fuga en acometida en Alegria C/Ursuleta n2</v>
      </c>
      <c r="I541" t="str">
        <f>[1]LISTADO_OTS!I541</f>
        <v>Fuga en acometida en Alegria C/Ursuleta n2</v>
      </c>
      <c r="J541" s="1">
        <f>[1]LISTADO_OTS!F541</f>
        <v>45931</v>
      </c>
      <c r="K541" s="1">
        <f>[1]LISTADO_OTS!G541</f>
        <v>45932</v>
      </c>
      <c r="L541">
        <f>[1]LISTADO_OTS!M541</f>
        <v>42.844119999999997</v>
      </c>
      <c r="M541">
        <f>[1]LISTADO_OTS!N541</f>
        <v>-2.512686</v>
      </c>
      <c r="U541" t="b">
        <f>[1]LISTADO_OTS!O541</f>
        <v>1</v>
      </c>
      <c r="V541" t="str">
        <f>[1]LISTADO_OTS!J541</f>
        <v>Alegría</v>
      </c>
      <c r="W541">
        <f>[1]LISTADO_OTS!R541</f>
        <v>3</v>
      </c>
      <c r="X541" t="str">
        <f>[1]LISTADO_OTS!P541</f>
        <v>JOSEBA Y RAFHIR</v>
      </c>
      <c r="Y541">
        <v>1</v>
      </c>
      <c r="Z541">
        <f>[1]LISTADO_OTS!S541</f>
        <v>1</v>
      </c>
    </row>
    <row r="542" spans="1:26" x14ac:dyDescent="0.4">
      <c r="A542">
        <v>541</v>
      </c>
      <c r="B542" t="str">
        <f>[1]LISTADO_OTS!E542</f>
        <v>OT/0385</v>
      </c>
      <c r="C542">
        <f>VLOOKUP([1]LISTADO_OTS!B542,[1]Redes!$C$1:$E$5,3,FALSE)</f>
        <v>3</v>
      </c>
      <c r="D542">
        <f>[1]LISTADO_OTS!C542</f>
        <v>1</v>
      </c>
      <c r="E542">
        <f>[1]LISTADO_OTS!D542</f>
        <v>0</v>
      </c>
      <c r="F542">
        <f>[1]LISTADO_OTS!Q542</f>
        <v>1</v>
      </c>
      <c r="G542">
        <f>[1]LISTADO_OTS!R542</f>
        <v>1</v>
      </c>
      <c r="H542" t="str">
        <f>[1]LISTADO_OTS!H542</f>
        <v>Aviso de fuga en Zubiaur n3 (Llodio)</v>
      </c>
      <c r="I542" t="str">
        <f>[1]LISTADO_OTS!I542</f>
        <v>Aviso de fuga en Zubiaur n3 (Llodio)</v>
      </c>
      <c r="J542" s="1">
        <f>[1]LISTADO_OTS!F542</f>
        <v>45931</v>
      </c>
      <c r="K542" s="1">
        <f>[1]LISTADO_OTS!G542</f>
        <v>45931</v>
      </c>
      <c r="L542">
        <f>[1]LISTADO_OTS!M542</f>
        <v>43.140611</v>
      </c>
      <c r="M542">
        <f>[1]LISTADO_OTS!N542</f>
        <v>-2.9637039999999999</v>
      </c>
      <c r="U542" t="b">
        <f>[1]LISTADO_OTS!O542</f>
        <v>1</v>
      </c>
      <c r="V542" t="str">
        <f>[1]LISTADO_OTS!J542</f>
        <v>Llodio</v>
      </c>
      <c r="W542">
        <f>[1]LISTADO_OTS!R542</f>
        <v>1</v>
      </c>
      <c r="X542" t="str">
        <f>[1]LISTADO_OTS!P542</f>
        <v>TOMAS</v>
      </c>
      <c r="Y542">
        <v>1</v>
      </c>
      <c r="Z542">
        <f>[1]LISTADO_OTS!S542</f>
        <v>1</v>
      </c>
    </row>
    <row r="543" spans="1:26" x14ac:dyDescent="0.4">
      <c r="A543">
        <v>542</v>
      </c>
      <c r="B543" t="str">
        <f>[1]LISTADO_OTS!E543</f>
        <v>OT/0386</v>
      </c>
      <c r="C543">
        <f>VLOOKUP([1]LISTADO_OTS!B543,[1]Redes!$C$1:$E$5,3,FALSE)</f>
        <v>3</v>
      </c>
      <c r="D543">
        <f>[1]LISTADO_OTS!C543</f>
        <v>1</v>
      </c>
      <c r="E543">
        <f>[1]LISTADO_OTS!D543</f>
        <v>0</v>
      </c>
      <c r="F543">
        <f>[1]LISTADO_OTS!Q543</f>
        <v>3</v>
      </c>
      <c r="G543">
        <f>[1]LISTADO_OTS!R543</f>
        <v>3</v>
      </c>
      <c r="H543" t="str">
        <f>[1]LISTADO_OTS!H543</f>
        <v>Atendemos llamada de falta de agua en Agurain C/Mayor n24</v>
      </c>
      <c r="I543" t="str">
        <f>[1]LISTADO_OTS!I543</f>
        <v>Atendemos llamada de falta de agua en Agurain C/Mayor n24</v>
      </c>
      <c r="J543" s="1">
        <f>[1]LISTADO_OTS!F543</f>
        <v>45932</v>
      </c>
      <c r="K543" s="1">
        <f>[1]LISTADO_OTS!G543</f>
        <v>45932</v>
      </c>
      <c r="L543">
        <f>[1]LISTADO_OTS!M543</f>
        <v>42.850999999999999</v>
      </c>
      <c r="M543">
        <f>[1]LISTADO_OTS!N543</f>
        <v>-2.3891300000000002</v>
      </c>
      <c r="U543" t="b">
        <f>[1]LISTADO_OTS!O543</f>
        <v>1</v>
      </c>
      <c r="V543" t="str">
        <f>[1]LISTADO_OTS!J543</f>
        <v>Agurain</v>
      </c>
      <c r="W543">
        <f>[1]LISTADO_OTS!R543</f>
        <v>3</v>
      </c>
      <c r="X543" t="str">
        <f>[1]LISTADO_OTS!P543</f>
        <v>EDUARDO Y BEÑAT</v>
      </c>
      <c r="Y543">
        <v>1</v>
      </c>
      <c r="Z543">
        <f>[1]LISTADO_OTS!S543</f>
        <v>3</v>
      </c>
    </row>
    <row r="544" spans="1:26" x14ac:dyDescent="0.4">
      <c r="A544">
        <v>543</v>
      </c>
      <c r="B544" t="str">
        <f>[1]LISTADO_OTS!E544</f>
        <v>OT/0387</v>
      </c>
      <c r="C544">
        <f>VLOOKUP([1]LISTADO_OTS!B544,[1]Redes!$C$1:$E$5,3,FALSE)</f>
        <v>3</v>
      </c>
      <c r="D544">
        <f>[1]LISTADO_OTS!C544</f>
        <v>1</v>
      </c>
      <c r="E544">
        <f>[1]LISTADO_OTS!D544</f>
        <v>0</v>
      </c>
      <c r="F544">
        <f>[1]LISTADO_OTS!Q544</f>
        <v>1</v>
      </c>
      <c r="G544">
        <f>[1]LISTADO_OTS!R544</f>
        <v>1</v>
      </c>
      <c r="H544" t="str">
        <f>[1]LISTADO_OTS!H544</f>
        <v>Reparación de fuga en Atxarte n8 (Llodio)</v>
      </c>
      <c r="I544" t="str">
        <f>[1]LISTADO_OTS!I544</f>
        <v>Reparación de fuga en Atxarte n8 (Llodio)</v>
      </c>
      <c r="J544" s="1">
        <f>[1]LISTADO_OTS!F544</f>
        <v>45932</v>
      </c>
      <c r="K544" s="1">
        <f>[1]LISTADO_OTS!G544</f>
        <v>45939</v>
      </c>
      <c r="L544">
        <f>[1]LISTADO_OTS!M544</f>
        <v>43.148282000000002</v>
      </c>
      <c r="M544">
        <f>[1]LISTADO_OTS!N544</f>
        <v>-2.9463780000000002</v>
      </c>
      <c r="U544" t="b">
        <f>[1]LISTADO_OTS!O544</f>
        <v>1</v>
      </c>
      <c r="V544" t="str">
        <f>[1]LISTADO_OTS!J544</f>
        <v>Llodio</v>
      </c>
      <c r="W544">
        <f>[1]LISTADO_OTS!R544</f>
        <v>1</v>
      </c>
      <c r="X544" t="str">
        <f>[1]LISTADO_OTS!P544</f>
        <v>TOMAS,IÑIGO,BEÑAT,JAGOBA,ZOVITA,MIGUEL,EMILO,ANGEL</v>
      </c>
      <c r="Y544">
        <v>1</v>
      </c>
      <c r="Z544">
        <f>[1]LISTADO_OTS!S544</f>
        <v>1</v>
      </c>
    </row>
    <row r="545" spans="1:26" x14ac:dyDescent="0.4">
      <c r="A545">
        <v>544</v>
      </c>
      <c r="B545" t="str">
        <f>[1]LISTADO_OTS!E545</f>
        <v>TP/0252</v>
      </c>
      <c r="C545">
        <f>VLOOKUP([1]LISTADO_OTS!B545,[1]Redes!$C$1:$E$5,3,FALSE)</f>
        <v>3</v>
      </c>
      <c r="D545">
        <f>[1]LISTADO_OTS!C545</f>
        <v>2</v>
      </c>
      <c r="E545">
        <f>[1]LISTADO_OTS!D545</f>
        <v>8</v>
      </c>
      <c r="F545">
        <f>[1]LISTADO_OTS!Q545</f>
        <v>1</v>
      </c>
      <c r="G545">
        <f>[1]LISTADO_OTS!R545</f>
        <v>1</v>
      </c>
      <c r="H545" t="str">
        <f>[1]LISTADO_OTS!H545</f>
        <v>Instalación de contador en C/Batzalarrim n8 (Llodio)</v>
      </c>
      <c r="I545" t="str">
        <f>[1]LISTADO_OTS!I545</f>
        <v>Instalación de contador en C/Batzalarrim n8 (Llodio)</v>
      </c>
      <c r="J545" s="1">
        <f>[1]LISTADO_OTS!F545</f>
        <v>45932</v>
      </c>
      <c r="K545" s="1">
        <f>[1]LISTADO_OTS!G545</f>
        <v>45932</v>
      </c>
      <c r="L545">
        <f>[1]LISTADO_OTS!M545</f>
        <v>43.142359999999996</v>
      </c>
      <c r="M545">
        <f>[1]LISTADO_OTS!N545</f>
        <v>-2.9630070000000002</v>
      </c>
      <c r="U545" t="b">
        <f>[1]LISTADO_OTS!O545</f>
        <v>1</v>
      </c>
      <c r="V545" t="str">
        <f>[1]LISTADO_OTS!J545</f>
        <v>Llodio</v>
      </c>
      <c r="W545">
        <f>[1]LISTADO_OTS!R545</f>
        <v>1</v>
      </c>
      <c r="X545" t="str">
        <f>[1]LISTADO_OTS!P545</f>
        <v>TOMAS</v>
      </c>
      <c r="Y545">
        <v>1</v>
      </c>
      <c r="Z545">
        <f>[1]LISTADO_OTS!S545</f>
        <v>0</v>
      </c>
    </row>
    <row r="546" spans="1:26" x14ac:dyDescent="0.4">
      <c r="A546">
        <v>545</v>
      </c>
      <c r="B546" t="str">
        <f>[1]LISTADO_OTS!E546</f>
        <v>TP/0253</v>
      </c>
      <c r="C546">
        <f>VLOOKUP([1]LISTADO_OTS!B546,[1]Redes!$C$1:$E$5,3,FALSE)</f>
        <v>3</v>
      </c>
      <c r="D546">
        <f>[1]LISTADO_OTS!C546</f>
        <v>2</v>
      </c>
      <c r="E546">
        <f>[1]LISTADO_OTS!D546</f>
        <v>7</v>
      </c>
      <c r="F546">
        <f>[1]LISTADO_OTS!Q546</f>
        <v>1</v>
      </c>
      <c r="G546">
        <f>[1]LISTADO_OTS!R546</f>
        <v>1</v>
      </c>
      <c r="H546" t="str">
        <f>[1]LISTADO_OTS!H546</f>
        <v>Localización de toma pirata en C/Zumalakarregui n50 (Llodio)</v>
      </c>
      <c r="I546" t="str">
        <f>[1]LISTADO_OTS!I546</f>
        <v>Localización de toma pirata en C/Zumalakarregui n50 (Llodio)</v>
      </c>
      <c r="J546" s="1">
        <f>[1]LISTADO_OTS!F546</f>
        <v>45932</v>
      </c>
      <c r="K546" s="1">
        <f>[1]LISTADO_OTS!G546</f>
        <v>45932</v>
      </c>
      <c r="L546">
        <f>[1]LISTADO_OTS!M546</f>
        <v>43.141630999999997</v>
      </c>
      <c r="M546">
        <f>[1]LISTADO_OTS!N546</f>
        <v>-2.9645160000000002</v>
      </c>
      <c r="U546" t="b">
        <f>[1]LISTADO_OTS!O546</f>
        <v>1</v>
      </c>
      <c r="V546" t="str">
        <f>[1]LISTADO_OTS!J546</f>
        <v>Llodio</v>
      </c>
      <c r="W546">
        <f>[1]LISTADO_OTS!R546</f>
        <v>1</v>
      </c>
      <c r="X546" t="str">
        <f>[1]LISTADO_OTS!P546</f>
        <v>TOMAS</v>
      </c>
      <c r="Y546">
        <v>1</v>
      </c>
      <c r="Z546">
        <f>[1]LISTADO_OTS!S546</f>
        <v>0</v>
      </c>
    </row>
    <row r="547" spans="1:26" x14ac:dyDescent="0.4">
      <c r="A547">
        <v>546</v>
      </c>
      <c r="B547" t="str">
        <f>[1]LISTADO_OTS!E547</f>
        <v>TP/0254</v>
      </c>
      <c r="C547">
        <f>VLOOKUP([1]LISTADO_OTS!B547,[1]Redes!$C$1:$E$5,3,FALSE)</f>
        <v>3</v>
      </c>
      <c r="D547">
        <f>[1]LISTADO_OTS!C547</f>
        <v>2</v>
      </c>
      <c r="E547">
        <f>[1]LISTADO_OTS!D547</f>
        <v>13</v>
      </c>
      <c r="F547">
        <f>[1]LISTADO_OTS!Q547</f>
        <v>3</v>
      </c>
      <c r="G547">
        <f>[1]LISTADO_OTS!R547</f>
        <v>3</v>
      </c>
      <c r="H547" t="str">
        <f>[1]LISTADO_OTS!H547</f>
        <v>Toma de datos para obras y servicios Alegría</v>
      </c>
      <c r="I547" t="str">
        <f>[1]LISTADO_OTS!I547</f>
        <v>Toma de datos para obras y servicios Alegría</v>
      </c>
      <c r="J547" s="1">
        <f>[1]LISTADO_OTS!F547</f>
        <v>45933</v>
      </c>
      <c r="K547" s="1">
        <f>[1]LISTADO_OTS!G547</f>
        <v>45946</v>
      </c>
      <c r="L547" t="str">
        <f>[1]LISTADO_OTS!M547</f>
        <v/>
      </c>
      <c r="M547" t="str">
        <f>[1]LISTADO_OTS!N547</f>
        <v/>
      </c>
      <c r="U547" t="b">
        <f>[1]LISTADO_OTS!O547</f>
        <v>1</v>
      </c>
      <c r="V547" t="str">
        <f>[1]LISTADO_OTS!J547</f>
        <v>Alegría</v>
      </c>
      <c r="W547">
        <f>[1]LISTADO_OTS!R547</f>
        <v>3</v>
      </c>
      <c r="X547" t="str">
        <f>[1]LISTADO_OTS!P547</f>
        <v>ENEKO</v>
      </c>
      <c r="Y547">
        <v>1</v>
      </c>
      <c r="Z547">
        <f>[1]LISTADO_OTS!S547</f>
        <v>0</v>
      </c>
    </row>
    <row r="548" spans="1:26" x14ac:dyDescent="0.4">
      <c r="A548">
        <v>547</v>
      </c>
      <c r="B548" t="str">
        <f>[1]LISTADO_OTS!E548</f>
        <v>OT/0388</v>
      </c>
      <c r="C548">
        <f>VLOOKUP([1]LISTADO_OTS!B548,[1]Redes!$C$1:$E$5,3,FALSE)</f>
        <v>5</v>
      </c>
      <c r="D548">
        <f>[1]LISTADO_OTS!C548</f>
        <v>1</v>
      </c>
      <c r="E548">
        <f>[1]LISTADO_OTS!D548</f>
        <v>0</v>
      </c>
      <c r="F548">
        <f>[1]LISTADO_OTS!Q548</f>
        <v>1</v>
      </c>
      <c r="G548">
        <f>[1]LISTADO_OTS!R548</f>
        <v>1</v>
      </c>
      <c r="H548" t="str">
        <f>[1]LISTADO_OTS!H548</f>
        <v>Atasco en Llanteno en Barrio Petiz</v>
      </c>
      <c r="I548" t="str">
        <f>[1]LISTADO_OTS!I548</f>
        <v>Atasco en Llanteno en Barrio Petiz</v>
      </c>
      <c r="J548" s="1">
        <f>[1]LISTADO_OTS!F548</f>
        <v>45935</v>
      </c>
      <c r="K548" s="1">
        <f>[1]LISTADO_OTS!G548</f>
        <v>45935</v>
      </c>
      <c r="L548">
        <f>[1]LISTADO_OTS!M548</f>
        <v>43.109146000000003</v>
      </c>
      <c r="M548">
        <f>[1]LISTADO_OTS!N548</f>
        <v>-3.097283</v>
      </c>
      <c r="U548" t="b">
        <f>[1]LISTADO_OTS!O548</f>
        <v>1</v>
      </c>
      <c r="V548" t="str">
        <f>[1]LISTADO_OTS!J548</f>
        <v>Llanteno</v>
      </c>
      <c r="W548">
        <f>[1]LISTADO_OTS!R548</f>
        <v>1</v>
      </c>
      <c r="X548" t="str">
        <f>[1]LISTADO_OTS!P548</f>
        <v>V</v>
      </c>
      <c r="Y548">
        <v>1</v>
      </c>
      <c r="Z548">
        <f>[1]LISTADO_OTS!S548</f>
        <v>2</v>
      </c>
    </row>
    <row r="549" spans="1:26" x14ac:dyDescent="0.4">
      <c r="A549">
        <v>548</v>
      </c>
      <c r="B549" t="str">
        <f>[1]LISTADO_OTS!E549</f>
        <v>TP/0255</v>
      </c>
      <c r="C549">
        <f>VLOOKUP([1]LISTADO_OTS!B549,[1]Redes!$C$1:$E$5,3,FALSE)</f>
        <v>3</v>
      </c>
      <c r="D549">
        <f>[1]LISTADO_OTS!C549</f>
        <v>2</v>
      </c>
      <c r="E549">
        <f>[1]LISTADO_OTS!D549</f>
        <v>17</v>
      </c>
      <c r="F549">
        <f>[1]LISTADO_OTS!Q549</f>
        <v>1</v>
      </c>
      <c r="G549">
        <f>[1]LISTADO_OTS!R549</f>
        <v>1</v>
      </c>
      <c r="H549" t="str">
        <f>[1]LISTADO_OTS!H549</f>
        <v>Limpieza en red Artziniega</v>
      </c>
      <c r="I549" t="str">
        <f>[1]LISTADO_OTS!I549</f>
        <v>Limpieza en red Artziniega</v>
      </c>
      <c r="J549" s="1">
        <f>[1]LISTADO_OTS!F549</f>
        <v>45935</v>
      </c>
      <c r="K549" s="1">
        <f>[1]LISTADO_OTS!G549</f>
        <v>45935</v>
      </c>
      <c r="L549" t="str">
        <f>[1]LISTADO_OTS!M549</f>
        <v/>
      </c>
      <c r="M549" t="str">
        <f>[1]LISTADO_OTS!N549</f>
        <v/>
      </c>
      <c r="U549" t="b">
        <f>[1]LISTADO_OTS!O549</f>
        <v>1</v>
      </c>
      <c r="V549" t="str">
        <f>[1]LISTADO_OTS!J549</f>
        <v>Artziniega</v>
      </c>
      <c r="W549">
        <f>[1]LISTADO_OTS!R549</f>
        <v>1</v>
      </c>
      <c r="X549" t="str">
        <f>[1]LISTADO_OTS!P549</f>
        <v>V</v>
      </c>
      <c r="Y549">
        <v>1</v>
      </c>
      <c r="Z549">
        <f>[1]LISTADO_OTS!S549</f>
        <v>0</v>
      </c>
    </row>
    <row r="550" spans="1:26" x14ac:dyDescent="0.4">
      <c r="A550">
        <v>549</v>
      </c>
      <c r="B550" t="str">
        <f>[1]LISTADO_OTS!E550</f>
        <v>TP/0256</v>
      </c>
      <c r="C550">
        <f>VLOOKUP([1]LISTADO_OTS!B550,[1]Redes!$C$1:$E$5,3,FALSE)</f>
        <v>3</v>
      </c>
      <c r="D550">
        <f>[1]LISTADO_OTS!C550</f>
        <v>2</v>
      </c>
      <c r="E550">
        <f>[1]LISTADO_OTS!D550</f>
        <v>12</v>
      </c>
      <c r="F550">
        <f>[1]LISTADO_OTS!Q550</f>
        <v>1</v>
      </c>
      <c r="G550">
        <f>[1]LISTADO_OTS!R550</f>
        <v>1</v>
      </c>
      <c r="H550" t="str">
        <f>[1]LISTADO_OTS!H550</f>
        <v>Corte de Agua Luiando  (Las Vegas)</v>
      </c>
      <c r="I550" t="str">
        <f>[1]LISTADO_OTS!I550</f>
        <v>Corte de Agua Luyando (Las Vegas)</v>
      </c>
      <c r="J550" s="1">
        <f>[1]LISTADO_OTS!F550</f>
        <v>45935</v>
      </c>
      <c r="K550" s="1">
        <f>[1]LISTADO_OTS!G550</f>
        <v>45935</v>
      </c>
      <c r="L550">
        <f>[1]LISTADO_OTS!M550</f>
        <v>43.105145999999998</v>
      </c>
      <c r="M550">
        <f>[1]LISTADO_OTS!N550</f>
        <v>-2.9968149999999998</v>
      </c>
      <c r="U550" t="b">
        <f>[1]LISTADO_OTS!O550</f>
        <v>1</v>
      </c>
      <c r="V550" t="str">
        <f>[1]LISTADO_OTS!J550</f>
        <v>Luiando</v>
      </c>
      <c r="W550">
        <f>[1]LISTADO_OTS!R550</f>
        <v>1</v>
      </c>
      <c r="X550" t="str">
        <f>[1]LISTADO_OTS!P550</f>
        <v>V</v>
      </c>
      <c r="Y550">
        <v>1</v>
      </c>
      <c r="Z550">
        <f>[1]LISTADO_OTS!S550</f>
        <v>0</v>
      </c>
    </row>
    <row r="551" spans="1:26" x14ac:dyDescent="0.4">
      <c r="A551">
        <v>550</v>
      </c>
      <c r="B551" t="str">
        <f>[1]LISTADO_OTS!E551</f>
        <v>TP/0257</v>
      </c>
      <c r="C551">
        <f>VLOOKUP([1]LISTADO_OTS!B551,[1]Redes!$C$1:$E$5,3,FALSE)</f>
        <v>3</v>
      </c>
      <c r="D551">
        <f>[1]LISTADO_OTS!C551</f>
        <v>2</v>
      </c>
      <c r="E551">
        <f>[1]LISTADO_OTS!D551</f>
        <v>17</v>
      </c>
      <c r="F551">
        <f>[1]LISTADO_OTS!Q551</f>
        <v>1</v>
      </c>
      <c r="G551">
        <f>[1]LISTADO_OTS!R551</f>
        <v>1</v>
      </c>
      <c r="H551" t="str">
        <f>[1]LISTADO_OTS!H551</f>
        <v>Limpieza de red Luiando</v>
      </c>
      <c r="I551" t="str">
        <f>[1]LISTADO_OTS!I551</f>
        <v>Limpieza de red Luiando</v>
      </c>
      <c r="J551" s="1">
        <f>[1]LISTADO_OTS!F551</f>
        <v>45935</v>
      </c>
      <c r="K551" s="1">
        <f>[1]LISTADO_OTS!G551</f>
        <v>45935</v>
      </c>
      <c r="L551" t="str">
        <f>[1]LISTADO_OTS!M551</f>
        <v/>
      </c>
      <c r="M551" t="str">
        <f>[1]LISTADO_OTS!N551</f>
        <v/>
      </c>
      <c r="U551" t="b">
        <f>[1]LISTADO_OTS!O551</f>
        <v>1</v>
      </c>
      <c r="V551" t="str">
        <f>[1]LISTADO_OTS!J551</f>
        <v>Luiando</v>
      </c>
      <c r="W551">
        <f>[1]LISTADO_OTS!R551</f>
        <v>1</v>
      </c>
      <c r="X551" t="str">
        <f>[1]LISTADO_OTS!P551</f>
        <v>V</v>
      </c>
      <c r="Y551">
        <v>1</v>
      </c>
      <c r="Z551">
        <f>[1]LISTADO_OTS!S551</f>
        <v>0</v>
      </c>
    </row>
    <row r="552" spans="1:26" x14ac:dyDescent="0.4">
      <c r="A552">
        <v>551</v>
      </c>
      <c r="B552" t="str">
        <f>[1]LISTADO_OTS!E552</f>
        <v>OT/0389</v>
      </c>
      <c r="C552">
        <f>VLOOKUP([1]LISTADO_OTS!B552,[1]Redes!$C$1:$E$5,3,FALSE)</f>
        <v>3</v>
      </c>
      <c r="D552">
        <f>[1]LISTADO_OTS!C552</f>
        <v>1</v>
      </c>
      <c r="E552">
        <f>[1]LISTADO_OTS!D552</f>
        <v>0</v>
      </c>
      <c r="F552">
        <f>[1]LISTADO_OTS!Q552</f>
        <v>1</v>
      </c>
      <c r="G552">
        <f>[1]LISTADO_OTS!R552</f>
        <v>1</v>
      </c>
      <c r="H552" t="str">
        <f>[1]LISTADO_OTS!H552</f>
        <v>Reparación de fuga en Arraño (Llodio)</v>
      </c>
      <c r="I552" t="str">
        <f>[1]LISTADO_OTS!I552</f>
        <v>Reparación de fuga en Arraño (Llodio)</v>
      </c>
      <c r="J552" s="1">
        <f>[1]LISTADO_OTS!F552</f>
        <v>45937</v>
      </c>
      <c r="K552" s="1">
        <f>[1]LISTADO_OTS!G552</f>
        <v>45937</v>
      </c>
      <c r="L552">
        <f>[1]LISTADO_OTS!M552</f>
        <v>43.147441999999998</v>
      </c>
      <c r="M552">
        <f>[1]LISTADO_OTS!N552</f>
        <v>-2.9756629999999999</v>
      </c>
      <c r="U552" t="b">
        <f>[1]LISTADO_OTS!O552</f>
        <v>1</v>
      </c>
      <c r="V552" t="str">
        <f>[1]LISTADO_OTS!J552</f>
        <v>Llodio</v>
      </c>
      <c r="W552">
        <f>[1]LISTADO_OTS!R552</f>
        <v>1</v>
      </c>
      <c r="X552" t="str">
        <f>[1]LISTADO_OTS!P552</f>
        <v>MIGUEL Y ANGEL</v>
      </c>
      <c r="Y552">
        <v>1</v>
      </c>
      <c r="Z552">
        <f>[1]LISTADO_OTS!S552</f>
        <v>1</v>
      </c>
    </row>
    <row r="553" spans="1:26" x14ac:dyDescent="0.4">
      <c r="A553">
        <v>552</v>
      </c>
      <c r="B553" t="str">
        <f>[1]LISTADO_OTS!E553</f>
        <v>OT/0390</v>
      </c>
      <c r="C553">
        <f>VLOOKUP([1]LISTADO_OTS!B553,[1]Redes!$C$1:$E$5,3,FALSE)</f>
        <v>3</v>
      </c>
      <c r="D553">
        <f>[1]LISTADO_OTS!C553</f>
        <v>1</v>
      </c>
      <c r="E553">
        <f>[1]LISTADO_OTS!D553</f>
        <v>0</v>
      </c>
      <c r="F553">
        <f>[1]LISTADO_OTS!Q553</f>
        <v>1</v>
      </c>
      <c r="G553">
        <f>[1]LISTADO_OTS!R553</f>
        <v>1</v>
      </c>
      <c r="H553" t="str">
        <f>[1]LISTADO_OTS!H553</f>
        <v>Reparación de fuga en Isasi n32 (Llodio)</v>
      </c>
      <c r="I553" t="str">
        <f>[1]LISTADO_OTS!I553</f>
        <v>Reparación de fuga en Isasi n32 (Llodio)</v>
      </c>
      <c r="J553" s="1">
        <f>[1]LISTADO_OTS!F553</f>
        <v>45936</v>
      </c>
      <c r="K553" s="1">
        <f>[1]LISTADO_OTS!G553</f>
        <v>45938</v>
      </c>
      <c r="L553">
        <f>[1]LISTADO_OTS!M553</f>
        <v>43.151944999999998</v>
      </c>
      <c r="M553">
        <f>[1]LISTADO_OTS!N553</f>
        <v>-2.9725269999999999</v>
      </c>
      <c r="U553" t="b">
        <f>[1]LISTADO_OTS!O553</f>
        <v>1</v>
      </c>
      <c r="V553" t="str">
        <f>[1]LISTADO_OTS!J553</f>
        <v>Llodio</v>
      </c>
      <c r="W553">
        <f>[1]LISTADO_OTS!R553</f>
        <v>1</v>
      </c>
      <c r="X553" t="str">
        <f>[1]LISTADO_OTS!P553</f>
        <v>TOMAS,IÑIGO,JAGOBA,MIGUEL,EMILIO,ZOVITA,RAFNIR</v>
      </c>
      <c r="Y553">
        <v>1</v>
      </c>
      <c r="Z553">
        <f>[1]LISTADO_OTS!S553</f>
        <v>1</v>
      </c>
    </row>
    <row r="554" spans="1:26" x14ac:dyDescent="0.4">
      <c r="A554">
        <v>553</v>
      </c>
      <c r="B554" t="str">
        <f>[1]LISTADO_OTS!E554</f>
        <v>OT/0391</v>
      </c>
      <c r="C554">
        <f>VLOOKUP([1]LISTADO_OTS!B554,[1]Redes!$C$1:$E$5,3,FALSE)</f>
        <v>5</v>
      </c>
      <c r="D554">
        <f>[1]LISTADO_OTS!C554</f>
        <v>1</v>
      </c>
      <c r="E554">
        <f>[1]LISTADO_OTS!D554</f>
        <v>0</v>
      </c>
      <c r="F554">
        <f>[1]LISTADO_OTS!Q554</f>
        <v>5</v>
      </c>
      <c r="G554">
        <f>[1]LISTADO_OTS!R554</f>
        <v>5</v>
      </c>
      <c r="H554" t="str">
        <f>[1]LISTADO_OTS!H554</f>
        <v>Desatasco saneamiento en C/Solana en Zambrana</v>
      </c>
      <c r="I554" t="str">
        <f>[1]LISTADO_OTS!I554</f>
        <v>Desatasco saneamiento en C/Solana en Zambrana</v>
      </c>
      <c r="J554" s="1">
        <f>[1]LISTADO_OTS!F554</f>
        <v>45937</v>
      </c>
      <c r="K554" s="1">
        <f>[1]LISTADO_OTS!G554</f>
        <v>45937</v>
      </c>
      <c r="L554">
        <f>[1]LISTADO_OTS!M554</f>
        <v>42.660471999999999</v>
      </c>
      <c r="M554">
        <f>[1]LISTADO_OTS!N554</f>
        <v>-2.878625</v>
      </c>
      <c r="U554" t="b">
        <f>[1]LISTADO_OTS!O554</f>
        <v>1</v>
      </c>
      <c r="V554" t="str">
        <f>[1]LISTADO_OTS!J554</f>
        <v>Zambrana</v>
      </c>
      <c r="W554">
        <f>[1]LISTADO_OTS!R554</f>
        <v>5</v>
      </c>
      <c r="X554" t="str">
        <f>[1]LISTADO_OTS!P554</f>
        <v>EDU,EMILIO,KERMAN</v>
      </c>
      <c r="Y554">
        <v>1</v>
      </c>
      <c r="Z554">
        <f>[1]LISTADO_OTS!S554</f>
        <v>2</v>
      </c>
    </row>
    <row r="555" spans="1:26" x14ac:dyDescent="0.4">
      <c r="A555">
        <v>554</v>
      </c>
      <c r="B555" t="str">
        <f>[1]LISTADO_OTS!E555</f>
        <v>OT/0392</v>
      </c>
      <c r="C555">
        <f>VLOOKUP([1]LISTADO_OTS!B555,[1]Redes!$C$1:$E$5,3,FALSE)</f>
        <v>3</v>
      </c>
      <c r="D555">
        <f>[1]LISTADO_OTS!C555</f>
        <v>1</v>
      </c>
      <c r="E555">
        <f>[1]LISTADO_OTS!D555</f>
        <v>0</v>
      </c>
      <c r="F555">
        <f>[1]LISTADO_OTS!Q555</f>
        <v>1</v>
      </c>
      <c r="G555">
        <f>[1]LISTADO_OTS!R555</f>
        <v>1</v>
      </c>
      <c r="H555" t="str">
        <f>[1]LISTADO_OTS!H555</f>
        <v>Aviso por fuga en Larrazabal n2 (Llodio)</v>
      </c>
      <c r="I555" t="str">
        <f>[1]LISTADO_OTS!I555</f>
        <v>Aviso por fuga en Larrazabal n2 (Llodio)</v>
      </c>
      <c r="J555" s="1">
        <f>[1]LISTADO_OTS!F555</f>
        <v>45937</v>
      </c>
      <c r="K555" s="1">
        <f>[1]LISTADO_OTS!G555</f>
        <v>45937</v>
      </c>
      <c r="L555">
        <f>[1]LISTADO_OTS!M555</f>
        <v>43.140835699999997</v>
      </c>
      <c r="M555">
        <f>[1]LISTADO_OTS!N555</f>
        <v>-2.9791306</v>
      </c>
      <c r="U555" t="b">
        <f>[1]LISTADO_OTS!O555</f>
        <v>1</v>
      </c>
      <c r="V555" t="str">
        <f>[1]LISTADO_OTS!J555</f>
        <v>Llodio</v>
      </c>
      <c r="W555">
        <f>[1]LISTADO_OTS!R555</f>
        <v>1</v>
      </c>
      <c r="X555" t="str">
        <f>[1]LISTADO_OTS!P555</f>
        <v>TOMAS E IÑIGO</v>
      </c>
      <c r="Y555">
        <v>1</v>
      </c>
      <c r="Z555">
        <f>[1]LISTADO_OTS!S555</f>
        <v>1</v>
      </c>
    </row>
    <row r="556" spans="1:26" x14ac:dyDescent="0.4">
      <c r="A556">
        <v>555</v>
      </c>
      <c r="B556" t="str">
        <f>[1]LISTADO_OTS!E556</f>
        <v>TP/0258</v>
      </c>
      <c r="C556">
        <f>VLOOKUP([1]LISTADO_OTS!B556,[1]Redes!$C$1:$E$5,3,FALSE)</f>
        <v>5</v>
      </c>
      <c r="D556">
        <f>[1]LISTADO_OTS!C556</f>
        <v>2</v>
      </c>
      <c r="E556">
        <f>[1]LISTADO_OTS!D556</f>
        <v>1</v>
      </c>
      <c r="F556">
        <f>[1]LISTADO_OTS!Q556</f>
        <v>1</v>
      </c>
      <c r="G556">
        <f>[1]LISTADO_OTS!R556</f>
        <v>1</v>
      </c>
      <c r="H556" t="str">
        <f>[1]LISTADO_OTS!H556</f>
        <v>Mantenimiento preventivo en Plaza Estación (Alegría)</v>
      </c>
      <c r="I556" t="str">
        <f>[1]LISTADO_OTS!I556</f>
        <v>Mantenimiento preventivo en Plaza Estación (Alegría)</v>
      </c>
      <c r="J556" s="1">
        <f>[1]LISTADO_OTS!F556</f>
        <v>45937</v>
      </c>
      <c r="K556" s="1">
        <f>[1]LISTADO_OTS!G556</f>
        <v>45937</v>
      </c>
      <c r="L556">
        <f>[1]LISTADO_OTS!M556</f>
        <v>42.848793999999998</v>
      </c>
      <c r="M556">
        <f>[1]LISTADO_OTS!N556</f>
        <v>-2.514262</v>
      </c>
      <c r="U556" t="b">
        <f>[1]LISTADO_OTS!O556</f>
        <v>1</v>
      </c>
      <c r="V556" t="str">
        <f>[1]LISTADO_OTS!J556</f>
        <v>Llodio</v>
      </c>
      <c r="W556">
        <f>[1]LISTADO_OTS!R556</f>
        <v>1</v>
      </c>
      <c r="X556" t="str">
        <f>[1]LISTADO_OTS!P556</f>
        <v>EMILIO Y KERMAN</v>
      </c>
      <c r="Y556">
        <v>1</v>
      </c>
      <c r="Z556">
        <f>[1]LISTADO_OTS!S556</f>
        <v>0</v>
      </c>
    </row>
    <row r="557" spans="1:26" x14ac:dyDescent="0.4">
      <c r="A557">
        <v>556</v>
      </c>
      <c r="B557" t="str">
        <f>[1]LISTADO_OTS!E557</f>
        <v>TP/0259</v>
      </c>
      <c r="C557">
        <f>VLOOKUP([1]LISTADO_OTS!B557,[1]Redes!$C$1:$E$5,3,FALSE)</f>
        <v>2</v>
      </c>
      <c r="D557">
        <f>[1]LISTADO_OTS!C557</f>
        <v>2</v>
      </c>
      <c r="E557">
        <f>[1]LISTADO_OTS!D557</f>
        <v>7</v>
      </c>
      <c r="F557">
        <f>[1]LISTADO_OTS!Q557</f>
        <v>3</v>
      </c>
      <c r="G557">
        <f>[1]LISTADO_OTS!R557</f>
        <v>3</v>
      </c>
      <c r="H557" t="str">
        <f>[1]LISTADO_OTS!H557</f>
        <v>Revisión de fosas septicas cuencas mediterraneas</v>
      </c>
      <c r="I557" t="str">
        <f>[1]LISTADO_OTS!I557</f>
        <v>Revisión de fosas septicas cuencas mediterraneas</v>
      </c>
      <c r="J557" s="1">
        <f>[1]LISTADO_OTS!F557</f>
        <v>45937</v>
      </c>
      <c r="K557" s="1">
        <f>[1]LISTADO_OTS!G557</f>
        <v>45937</v>
      </c>
      <c r="L557" t="str">
        <f>[1]LISTADO_OTS!M557</f>
        <v/>
      </c>
      <c r="M557" t="str">
        <f>[1]LISTADO_OTS!N557</f>
        <v/>
      </c>
      <c r="U557" t="b">
        <f>[1]LISTADO_OTS!O557</f>
        <v>1</v>
      </c>
      <c r="V557" t="str">
        <f>[1]LISTADO_OTS!J557</f>
        <v>Cuencas Mediterraneas</v>
      </c>
      <c r="W557">
        <f>[1]LISTADO_OTS!R557</f>
        <v>3</v>
      </c>
      <c r="X557" t="str">
        <f>[1]LISTADO_OTS!P557</f>
        <v>ENEKO</v>
      </c>
      <c r="Y557">
        <v>1</v>
      </c>
      <c r="Z557">
        <f>[1]LISTADO_OTS!S557</f>
        <v>0</v>
      </c>
    </row>
    <row r="558" spans="1:26" x14ac:dyDescent="0.4">
      <c r="A558">
        <v>557</v>
      </c>
      <c r="B558" t="str">
        <f>[1]LISTADO_OTS!E558</f>
        <v>OT/0393</v>
      </c>
      <c r="C558">
        <f>VLOOKUP([1]LISTADO_OTS!B558,[1]Redes!$C$1:$E$5,3,FALSE)</f>
        <v>3</v>
      </c>
      <c r="D558">
        <f>[1]LISTADO_OTS!C558</f>
        <v>1</v>
      </c>
      <c r="E558">
        <f>[1]LISTADO_OTS!D558</f>
        <v>0</v>
      </c>
      <c r="F558">
        <f>[1]LISTADO_OTS!Q558</f>
        <v>3</v>
      </c>
      <c r="G558">
        <f>[1]LISTADO_OTS!R558</f>
        <v>3</v>
      </c>
      <c r="H558" t="str">
        <f>[1]LISTADO_OTS!H558</f>
        <v>Fuga en C/San Jorge n1 en Gazeta</v>
      </c>
      <c r="I558" t="str">
        <f>[1]LISTADO_OTS!I558</f>
        <v>Fuga en C/San Jorge n1 en Gazeta</v>
      </c>
      <c r="J558" s="1">
        <f>[1]LISTADO_OTS!F558</f>
        <v>45937</v>
      </c>
      <c r="K558" s="1">
        <f>[1]LISTADO_OTS!G558</f>
        <v>45937</v>
      </c>
      <c r="L558">
        <f>[1]LISTADO_OTS!M558</f>
        <v>42.844486000000003</v>
      </c>
      <c r="M558">
        <f>[1]LISTADO_OTS!N558</f>
        <v>-2.5379510000000001</v>
      </c>
      <c r="U558" t="b">
        <f>[1]LISTADO_OTS!O558</f>
        <v>1</v>
      </c>
      <c r="V558" t="str">
        <f>[1]LISTADO_OTS!J558</f>
        <v>Gazeta</v>
      </c>
      <c r="W558">
        <f>[1]LISTADO_OTS!R558</f>
        <v>3</v>
      </c>
      <c r="X558" t="str">
        <f>[1]LISTADO_OTS!P558</f>
        <v>V</v>
      </c>
      <c r="Y558">
        <v>1</v>
      </c>
      <c r="Z558">
        <f>[1]LISTADO_OTS!S558</f>
        <v>1</v>
      </c>
    </row>
    <row r="559" spans="1:26" x14ac:dyDescent="0.4">
      <c r="A559">
        <v>558</v>
      </c>
      <c r="B559" t="str">
        <f>[1]LISTADO_OTS!E559</f>
        <v>OT/0394</v>
      </c>
      <c r="C559">
        <f>VLOOKUP([1]LISTADO_OTS!B559,[1]Redes!$C$1:$E$5,3,FALSE)</f>
        <v>3</v>
      </c>
      <c r="D559">
        <f>[1]LISTADO_OTS!C559</f>
        <v>1</v>
      </c>
      <c r="E559">
        <f>[1]LISTADO_OTS!D559</f>
        <v>0</v>
      </c>
      <c r="F559">
        <f>[1]LISTADO_OTS!Q559</f>
        <v>1</v>
      </c>
      <c r="G559">
        <f>[1]LISTADO_OTS!R559</f>
        <v>1</v>
      </c>
      <c r="H559" t="str">
        <f>[1]LISTADO_OTS!H559</f>
        <v>Fuga en Santacoloma (Artziniega)</v>
      </c>
      <c r="I559" t="str">
        <f>[1]LISTADO_OTS!I559</f>
        <v>Fuga en Santacoloma (Artziniega)</v>
      </c>
      <c r="J559" s="1">
        <f>[1]LISTADO_OTS!F559</f>
        <v>45937</v>
      </c>
      <c r="K559" s="1">
        <f>[1]LISTADO_OTS!G559</f>
        <v>45938</v>
      </c>
      <c r="L559">
        <f>[1]LISTADO_OTS!M559</f>
        <v>43.138170000000002</v>
      </c>
      <c r="M559">
        <f>[1]LISTADO_OTS!N559</f>
        <v>-3.15801</v>
      </c>
      <c r="U559" t="b">
        <f>[1]LISTADO_OTS!O559</f>
        <v>1</v>
      </c>
      <c r="V559" t="str">
        <f>[1]LISTADO_OTS!J559</f>
        <v>Artziniega</v>
      </c>
      <c r="W559">
        <f>[1]LISTADO_OTS!R559</f>
        <v>1</v>
      </c>
      <c r="X559" t="str">
        <f>[1]LISTADO_OTS!P559</f>
        <v>V</v>
      </c>
      <c r="Y559">
        <v>1</v>
      </c>
      <c r="Z559">
        <f>[1]LISTADO_OTS!S559</f>
        <v>1</v>
      </c>
    </row>
    <row r="560" spans="1:26" x14ac:dyDescent="0.4">
      <c r="A560">
        <v>559</v>
      </c>
      <c r="B560" t="str">
        <f>[1]LISTADO_OTS!E560</f>
        <v>TP/0260</v>
      </c>
      <c r="C560">
        <f>VLOOKUP([1]LISTADO_OTS!B560,[1]Redes!$C$1:$E$5,3,FALSE)</f>
        <v>3</v>
      </c>
      <c r="D560">
        <f>[1]LISTADO_OTS!C560</f>
        <v>2</v>
      </c>
      <c r="E560">
        <f>[1]LISTADO_OTS!D560</f>
        <v>12</v>
      </c>
      <c r="F560">
        <f>[1]LISTADO_OTS!Q560</f>
        <v>1</v>
      </c>
      <c r="G560">
        <f>[1]LISTADO_OTS!R560</f>
        <v>1</v>
      </c>
      <c r="H560" t="str">
        <f>[1]LISTADO_OTS!H560</f>
        <v>Corte de agua en C/Jose Madinabeitia (Amurrio)</v>
      </c>
      <c r="I560" t="str">
        <f>[1]LISTADO_OTS!I560</f>
        <v>Corte de agua en C/Jose Madinabeitia (Amurrio)</v>
      </c>
      <c r="J560" s="1">
        <f>[1]LISTADO_OTS!F560</f>
        <v>45937</v>
      </c>
      <c r="K560" s="1">
        <f>[1]LISTADO_OTS!G560</f>
        <v>45937</v>
      </c>
      <c r="L560">
        <f>[1]LISTADO_OTS!M560</f>
        <v>43.053944999999999</v>
      </c>
      <c r="M560">
        <f>[1]LISTADO_OTS!N560</f>
        <v>-3.001862</v>
      </c>
      <c r="U560" t="b">
        <f>[1]LISTADO_OTS!O560</f>
        <v>1</v>
      </c>
      <c r="V560" t="str">
        <f>[1]LISTADO_OTS!J560</f>
        <v>Amurrio</v>
      </c>
      <c r="W560">
        <f>[1]LISTADO_OTS!R560</f>
        <v>1</v>
      </c>
      <c r="X560" t="str">
        <f>[1]LISTADO_OTS!P560</f>
        <v>V</v>
      </c>
      <c r="Y560">
        <v>1</v>
      </c>
      <c r="Z560">
        <f>[1]LISTADO_OTS!S560</f>
        <v>0</v>
      </c>
    </row>
    <row r="561" spans="1:26" x14ac:dyDescent="0.4">
      <c r="A561">
        <v>560</v>
      </c>
      <c r="B561" t="str">
        <f>[1]LISTADO_OTS!E561</f>
        <v>OT/0395</v>
      </c>
      <c r="C561">
        <f>VLOOKUP([1]LISTADO_OTS!B561,[1]Redes!$C$1:$E$5,3,FALSE)</f>
        <v>5</v>
      </c>
      <c r="D561">
        <f>[1]LISTADO_OTS!C561</f>
        <v>1</v>
      </c>
      <c r="E561">
        <f>[1]LISTADO_OTS!D561</f>
        <v>0</v>
      </c>
      <c r="F561">
        <f>[1]LISTADO_OTS!Q561</f>
        <v>3</v>
      </c>
      <c r="G561">
        <f>[1]LISTADO_OTS!R561</f>
        <v>3</v>
      </c>
      <c r="H561" t="str">
        <f>[1]LISTADO_OTS!H561</f>
        <v>Descubrir tapa de saneamiento en Alegría</v>
      </c>
      <c r="I561" t="str">
        <f>[1]LISTADO_OTS!I561</f>
        <v>Descubrir tapa de saneamiento en Alegría</v>
      </c>
      <c r="J561" s="1">
        <f>[1]LISTADO_OTS!F561</f>
        <v>45938</v>
      </c>
      <c r="K561" s="1">
        <f>[1]LISTADO_OTS!G561</f>
        <v>45938</v>
      </c>
      <c r="L561">
        <f>[1]LISTADO_OTS!M561</f>
        <v>42.849389000000002</v>
      </c>
      <c r="M561">
        <f>[1]LISTADO_OTS!N561</f>
        <v>-2.5133070000000002</v>
      </c>
      <c r="U561" t="b">
        <f>[1]LISTADO_OTS!O561</f>
        <v>1</v>
      </c>
      <c r="V561" t="str">
        <f>[1]LISTADO_OTS!J561</f>
        <v>Alegría</v>
      </c>
      <c r="W561">
        <f>[1]LISTADO_OTS!R561</f>
        <v>3</v>
      </c>
      <c r="X561" t="str">
        <f>[1]LISTADO_OTS!P561</f>
        <v>EDUARDO</v>
      </c>
      <c r="Y561">
        <v>1</v>
      </c>
      <c r="Z561">
        <f>[1]LISTADO_OTS!S561</f>
        <v>3</v>
      </c>
    </row>
    <row r="562" spans="1:26" x14ac:dyDescent="0.4">
      <c r="A562">
        <v>561</v>
      </c>
      <c r="B562" t="str">
        <f>[1]LISTADO_OTS!E562</f>
        <v>OT/0396</v>
      </c>
      <c r="C562">
        <f>VLOOKUP([1]LISTADO_OTS!B562,[1]Redes!$C$1:$E$5,3,FALSE)</f>
        <v>3</v>
      </c>
      <c r="D562">
        <f>[1]LISTADO_OTS!C562</f>
        <v>1</v>
      </c>
      <c r="E562">
        <f>[1]LISTADO_OTS!D562</f>
        <v>0</v>
      </c>
      <c r="F562">
        <f>[1]LISTADO_OTS!Q562</f>
        <v>3</v>
      </c>
      <c r="G562">
        <f>[1]LISTADO_OTS!R562</f>
        <v>3</v>
      </c>
      <c r="H562" t="str">
        <f>[1]LISTADO_OTS!H562</f>
        <v>Reparación de tubo en Agurain</v>
      </c>
      <c r="I562" t="str">
        <f>[1]LISTADO_OTS!I562</f>
        <v>Reparación de tubo en Agurain</v>
      </c>
      <c r="J562" s="1">
        <f>[1]LISTADO_OTS!F562</f>
        <v>45938</v>
      </c>
      <c r="K562" s="1">
        <f>[1]LISTADO_OTS!G562</f>
        <v>45938</v>
      </c>
      <c r="L562">
        <f>[1]LISTADO_OTS!M562</f>
        <v>42.849761999999998</v>
      </c>
      <c r="M562">
        <f>[1]LISTADO_OTS!N562</f>
        <v>-2.3904299999999998</v>
      </c>
      <c r="U562" t="b">
        <f>[1]LISTADO_OTS!O562</f>
        <v>1</v>
      </c>
      <c r="V562" t="str">
        <f>[1]LISTADO_OTS!J562</f>
        <v>Agurain</v>
      </c>
      <c r="W562">
        <f>[1]LISTADO_OTS!R562</f>
        <v>3</v>
      </c>
      <c r="X562" t="str">
        <f>[1]LISTADO_OTS!P562</f>
        <v>EDUARDO</v>
      </c>
      <c r="Y562">
        <v>1</v>
      </c>
      <c r="Z562">
        <f>[1]LISTADO_OTS!S562</f>
        <v>3</v>
      </c>
    </row>
    <row r="563" spans="1:26" x14ac:dyDescent="0.4">
      <c r="A563">
        <v>562</v>
      </c>
      <c r="B563" t="str">
        <f>[1]LISTADO_OTS!E563</f>
        <v>OT/0397</v>
      </c>
      <c r="C563">
        <f>VLOOKUP([1]LISTADO_OTS!B563,[1]Redes!$C$1:$E$5,3,FALSE)</f>
        <v>5</v>
      </c>
      <c r="D563">
        <f>[1]LISTADO_OTS!C563</f>
        <v>1</v>
      </c>
      <c r="E563">
        <f>[1]LISTADO_OTS!D563</f>
        <v>0</v>
      </c>
      <c r="F563">
        <f>[1]LISTADO_OTS!Q563</f>
        <v>3</v>
      </c>
      <c r="G563">
        <f>[1]LISTADO_OTS!R563</f>
        <v>3</v>
      </c>
      <c r="H563" t="str">
        <f>[1]LISTADO_OTS!H563</f>
        <v>Reparación en saneamiento Raíces-parque Aniturri (Agurain)</v>
      </c>
      <c r="I563" t="str">
        <f>[1]LISTADO_OTS!I563</f>
        <v>Reparación en saneamiento Raíces-parque Aniturri (Agurain)</v>
      </c>
      <c r="J563" s="1">
        <f>[1]LISTADO_OTS!F563</f>
        <v>45938</v>
      </c>
      <c r="K563" s="1">
        <f>[1]LISTADO_OTS!G563</f>
        <v>45944</v>
      </c>
      <c r="L563">
        <f>[1]LISTADO_OTS!M563</f>
        <v>42.849761999999998</v>
      </c>
      <c r="M563">
        <f>[1]LISTADO_OTS!N563</f>
        <v>-2.3904299999999998</v>
      </c>
      <c r="U563" t="b">
        <f>[1]LISTADO_OTS!O563</f>
        <v>1</v>
      </c>
      <c r="V563" t="str">
        <f>[1]LISTADO_OTS!J563</f>
        <v>Agurain</v>
      </c>
      <c r="W563">
        <f>[1]LISTADO_OTS!R563</f>
        <v>3</v>
      </c>
      <c r="X563" t="str">
        <f>[1]LISTADO_OTS!P563</f>
        <v>BEÑAT,ZOVITA,RAFNIR</v>
      </c>
      <c r="Y563">
        <v>1</v>
      </c>
      <c r="Z563">
        <f>[1]LISTADO_OTS!S563</f>
        <v>3</v>
      </c>
    </row>
    <row r="564" spans="1:26" x14ac:dyDescent="0.4">
      <c r="A564">
        <v>563</v>
      </c>
      <c r="B564" t="str">
        <f>[1]LISTADO_OTS!E564</f>
        <v>TP/0261</v>
      </c>
      <c r="C564">
        <f>VLOOKUP([1]LISTADO_OTS!B564,[1]Redes!$C$1:$E$5,3,FALSE)</f>
        <v>3</v>
      </c>
      <c r="D564">
        <f>[1]LISTADO_OTS!C564</f>
        <v>2</v>
      </c>
      <c r="E564">
        <f>[1]LISTADO_OTS!D564</f>
        <v>8</v>
      </c>
      <c r="F564">
        <f>[1]LISTADO_OTS!Q564</f>
        <v>1</v>
      </c>
      <c r="G564">
        <f>[1]LISTADO_OTS!R564</f>
        <v>1</v>
      </c>
      <c r="H564" t="str">
        <f>[1]LISTADO_OTS!H564</f>
        <v>Instalación de contador en Lateorro n 2 (Llodio)</v>
      </c>
      <c r="I564" t="str">
        <f>[1]LISTADO_OTS!I564</f>
        <v>Instalación de contador en Lateorro n 2 (Llodio)</v>
      </c>
      <c r="J564" s="1">
        <f>[1]LISTADO_OTS!F564</f>
        <v>45938</v>
      </c>
      <c r="K564" s="1">
        <f>[1]LISTADO_OTS!G564</f>
        <v>45938</v>
      </c>
      <c r="L564">
        <f>[1]LISTADO_OTS!M564</f>
        <v>43.137760999999998</v>
      </c>
      <c r="M564">
        <f>[1]LISTADO_OTS!N564</f>
        <v>-2.9633449999999999</v>
      </c>
      <c r="U564" t="b">
        <f>[1]LISTADO_OTS!O564</f>
        <v>1</v>
      </c>
      <c r="V564" t="str">
        <f>[1]LISTADO_OTS!J564</f>
        <v>Llodio</v>
      </c>
      <c r="W564">
        <f>[1]LISTADO_OTS!R564</f>
        <v>1</v>
      </c>
      <c r="X564" t="str">
        <f>[1]LISTADO_OTS!P564</f>
        <v>IÑIGO</v>
      </c>
      <c r="Y564">
        <v>1</v>
      </c>
      <c r="Z564">
        <f>[1]LISTADO_OTS!S564</f>
        <v>0</v>
      </c>
    </row>
    <row r="565" spans="1:26" x14ac:dyDescent="0.4">
      <c r="A565">
        <v>564</v>
      </c>
      <c r="B565" t="str">
        <f>[1]LISTADO_OTS!E565</f>
        <v>TP/0262</v>
      </c>
      <c r="C565">
        <f>VLOOKUP([1]LISTADO_OTS!B565,[1]Redes!$C$1:$E$5,3,FALSE)</f>
        <v>3</v>
      </c>
      <c r="D565">
        <f>[1]LISTADO_OTS!C565</f>
        <v>2</v>
      </c>
      <c r="E565">
        <f>[1]LISTADO_OTS!D565</f>
        <v>8</v>
      </c>
      <c r="F565">
        <f>[1]LISTADO_OTS!Q565</f>
        <v>1</v>
      </c>
      <c r="G565">
        <f>[1]LISTADO_OTS!R565</f>
        <v>1</v>
      </c>
      <c r="H565" t="str">
        <f>[1]LISTADO_OTS!H565</f>
        <v>Instalación de contador en C/Padura n39 en Luiando</v>
      </c>
      <c r="I565" t="str">
        <f>[1]LISTADO_OTS!I565</f>
        <v>Instalación de contador en C/Padura n39 en Luiando</v>
      </c>
      <c r="J565" s="1">
        <f>[1]LISTADO_OTS!F565</f>
        <v>45938</v>
      </c>
      <c r="K565" s="1">
        <f>[1]LISTADO_OTS!G565</f>
        <v>45938</v>
      </c>
      <c r="L565">
        <f>[1]LISTADO_OTS!M565</f>
        <v>43.095363999999996</v>
      </c>
      <c r="M565">
        <f>[1]LISTADO_OTS!N565</f>
        <v>-3.0012189999999999</v>
      </c>
      <c r="U565" t="b">
        <f>[1]LISTADO_OTS!O565</f>
        <v>1</v>
      </c>
      <c r="V565" t="str">
        <f>[1]LISTADO_OTS!J565</f>
        <v>Luiando</v>
      </c>
      <c r="W565">
        <f>[1]LISTADO_OTS!R565</f>
        <v>1</v>
      </c>
      <c r="X565" t="str">
        <f>[1]LISTADO_OTS!P565</f>
        <v>IÑIGO</v>
      </c>
      <c r="Y565">
        <v>1</v>
      </c>
      <c r="Z565">
        <f>[1]LISTADO_OTS!S565</f>
        <v>0</v>
      </c>
    </row>
    <row r="566" spans="1:26" x14ac:dyDescent="0.4">
      <c r="A566">
        <v>565</v>
      </c>
      <c r="B566" t="str">
        <f>[1]LISTADO_OTS!E566</f>
        <v>TP/0263</v>
      </c>
      <c r="C566">
        <f>VLOOKUP([1]LISTADO_OTS!B566,[1]Redes!$C$1:$E$5,3,FALSE)</f>
        <v>3</v>
      </c>
      <c r="D566">
        <f>[1]LISTADO_OTS!C566</f>
        <v>2</v>
      </c>
      <c r="E566">
        <f>[1]LISTADO_OTS!D566</f>
        <v>13</v>
      </c>
      <c r="F566">
        <f>[1]LISTADO_OTS!Q566</f>
        <v>1</v>
      </c>
      <c r="G566">
        <f>[1]LISTADO_OTS!R566</f>
        <v>1</v>
      </c>
      <c r="H566" t="str">
        <f>[1]LISTADO_OTS!H566</f>
        <v>Asistencia técnica a Ayto Llodio para obra ambulatorio</v>
      </c>
      <c r="I566" t="str">
        <f>[1]LISTADO_OTS!I566</f>
        <v>Asistencia técnica a Ayto Llodio para obra ambulatorio</v>
      </c>
      <c r="J566" s="1">
        <f>[1]LISTADO_OTS!F566</f>
        <v>45938</v>
      </c>
      <c r="K566" s="1">
        <f>[1]LISTADO_OTS!G566</f>
        <v>45938</v>
      </c>
      <c r="L566">
        <f>[1]LISTADO_OTS!M566</f>
        <v>43.140844999999999</v>
      </c>
      <c r="M566">
        <f>[1]LISTADO_OTS!N566</f>
        <v>-2.9595359999999999</v>
      </c>
      <c r="U566" t="b">
        <f>[1]LISTADO_OTS!O566</f>
        <v>1</v>
      </c>
      <c r="V566" t="str">
        <f>[1]LISTADO_OTS!J566</f>
        <v>Llodio</v>
      </c>
      <c r="W566">
        <f>[1]LISTADO_OTS!R566</f>
        <v>1</v>
      </c>
      <c r="X566" t="str">
        <f>[1]LISTADO_OTS!P566</f>
        <v>TOMAS</v>
      </c>
      <c r="Y566">
        <v>1</v>
      </c>
      <c r="Z566">
        <f>[1]LISTADO_OTS!S566</f>
        <v>0</v>
      </c>
    </row>
    <row r="567" spans="1:26" x14ac:dyDescent="0.4">
      <c r="A567">
        <v>566</v>
      </c>
      <c r="B567" t="str">
        <f>[1]LISTADO_OTS!E567</f>
        <v>TP/0264</v>
      </c>
      <c r="C567">
        <f>VLOOKUP([1]LISTADO_OTS!B567,[1]Redes!$C$1:$E$5,3,FALSE)</f>
        <v>3</v>
      </c>
      <c r="D567">
        <f>[1]LISTADO_OTS!C567</f>
        <v>2</v>
      </c>
      <c r="E567">
        <f>[1]LISTADO_OTS!D567</f>
        <v>7</v>
      </c>
      <c r="F567">
        <f>[1]LISTADO_OTS!Q567</f>
        <v>1</v>
      </c>
      <c r="G567">
        <f>[1]LISTADO_OTS!R567</f>
        <v>1</v>
      </c>
      <c r="H567" t="str">
        <f>[1]LISTADO_OTS!H567</f>
        <v>Localización de fugas, restablecimiento en Sector Isasi (Llodio)</v>
      </c>
      <c r="I567" t="str">
        <f>[1]LISTADO_OTS!I567</f>
        <v>Localización de fugas, restablecimiento en Sector Isasi (Llodio)</v>
      </c>
      <c r="J567" s="1">
        <f>[1]LISTADO_OTS!F567</f>
        <v>45938</v>
      </c>
      <c r="K567" s="1">
        <f>[1]LISTADO_OTS!G567</f>
        <v>45938</v>
      </c>
      <c r="L567">
        <f>[1]LISTADO_OTS!M567</f>
        <v>43.151079000000003</v>
      </c>
      <c r="M567">
        <f>[1]LISTADO_OTS!N567</f>
        <v>-2.9727380999999999</v>
      </c>
      <c r="U567" t="b">
        <f>[1]LISTADO_OTS!O567</f>
        <v>1</v>
      </c>
      <c r="V567" t="str">
        <f>[1]LISTADO_OTS!J567</f>
        <v>Llodio</v>
      </c>
      <c r="W567">
        <f>[1]LISTADO_OTS!R567</f>
        <v>1</v>
      </c>
      <c r="X567" t="str">
        <f>[1]LISTADO_OTS!P567</f>
        <v>TOMAS</v>
      </c>
      <c r="Y567">
        <v>1</v>
      </c>
      <c r="Z567">
        <f>[1]LISTADO_OTS!S567</f>
        <v>1</v>
      </c>
    </row>
    <row r="568" spans="1:26" x14ac:dyDescent="0.4">
      <c r="A568">
        <v>567</v>
      </c>
      <c r="B568" t="str">
        <f>[1]LISTADO_OTS!E568</f>
        <v>TP/0265</v>
      </c>
      <c r="C568">
        <f>VLOOKUP([1]LISTADO_OTS!B568,[1]Redes!$C$1:$E$5,3,FALSE)</f>
        <v>3</v>
      </c>
      <c r="D568">
        <f>[1]LISTADO_OTS!C568</f>
        <v>2</v>
      </c>
      <c r="E568">
        <f>[1]LISTADO_OTS!D568</f>
        <v>8</v>
      </c>
      <c r="F568">
        <f>[1]LISTADO_OTS!Q568</f>
        <v>1</v>
      </c>
      <c r="G568">
        <f>[1]LISTADO_OTS!R568</f>
        <v>1</v>
      </c>
      <c r="H568" t="str">
        <f>[1]LISTADO_OTS!H568</f>
        <v>Instalación de contador en Zumalakarregui n48 (Clarel)(Llodio)</v>
      </c>
      <c r="I568" t="str">
        <f>[1]LISTADO_OTS!I568</f>
        <v>Instalación de contador en Zumalakarregui n48 (Clarel)(Llodio)</v>
      </c>
      <c r="J568" s="1">
        <f>[1]LISTADO_OTS!F568</f>
        <v>45938</v>
      </c>
      <c r="K568" s="1">
        <f>[1]LISTADO_OTS!G568</f>
        <v>45938</v>
      </c>
      <c r="L568">
        <f>[1]LISTADO_OTS!M568</f>
        <v>43.141630999999997</v>
      </c>
      <c r="M568">
        <f>[1]LISTADO_OTS!N568</f>
        <v>-2.9645160000000002</v>
      </c>
      <c r="U568" t="b">
        <f>[1]LISTADO_OTS!O568</f>
        <v>1</v>
      </c>
      <c r="V568" t="str">
        <f>[1]LISTADO_OTS!J568</f>
        <v>Llodio</v>
      </c>
      <c r="W568">
        <f>[1]LISTADO_OTS!R568</f>
        <v>1</v>
      </c>
      <c r="X568" t="str">
        <f>[1]LISTADO_OTS!P568</f>
        <v>TOMAS</v>
      </c>
      <c r="Y568">
        <v>1</v>
      </c>
      <c r="Z568">
        <f>[1]LISTADO_OTS!S568</f>
        <v>0</v>
      </c>
    </row>
    <row r="569" spans="1:26" x14ac:dyDescent="0.4">
      <c r="A569">
        <v>568</v>
      </c>
      <c r="B569" t="str">
        <f>[1]LISTADO_OTS!E569</f>
        <v>TP/0266</v>
      </c>
      <c r="C569">
        <f>VLOOKUP([1]LISTADO_OTS!B569,[1]Redes!$C$1:$E$5,3,FALSE)</f>
        <v>3</v>
      </c>
      <c r="D569">
        <f>[1]LISTADO_OTS!C569</f>
        <v>2</v>
      </c>
      <c r="E569">
        <f>[1]LISTADO_OTS!D569</f>
        <v>8</v>
      </c>
      <c r="F569">
        <f>[1]LISTADO_OTS!Q569</f>
        <v>1</v>
      </c>
      <c r="G569">
        <f>[1]LISTADO_OTS!R569</f>
        <v>1</v>
      </c>
      <c r="H569" t="str">
        <f>[1]LISTADO_OTS!H569</f>
        <v>Instalación de contador en Irukurutzeta n19 (Llodio)</v>
      </c>
      <c r="I569" t="str">
        <f>[1]LISTADO_OTS!I569</f>
        <v>Instalación de contador en Irukurutzeta n19 (Llodio)</v>
      </c>
      <c r="J569" s="1">
        <f>[1]LISTADO_OTS!F569</f>
        <v>45940</v>
      </c>
      <c r="K569" s="1">
        <f>[1]LISTADO_OTS!G569</f>
        <v>45940</v>
      </c>
      <c r="L569">
        <f>[1]LISTADO_OTS!M569</f>
        <v>43.135160999999997</v>
      </c>
      <c r="M569">
        <f>[1]LISTADO_OTS!N569</f>
        <v>-2.9685139999999999</v>
      </c>
      <c r="U569" t="b">
        <f>[1]LISTADO_OTS!O569</f>
        <v>1</v>
      </c>
      <c r="V569" t="str">
        <f>[1]LISTADO_OTS!J569</f>
        <v>Llodio</v>
      </c>
      <c r="W569">
        <f>[1]LISTADO_OTS!R569</f>
        <v>1</v>
      </c>
      <c r="X569" t="str">
        <f>[1]LISTADO_OTS!P569</f>
        <v>TOMAS</v>
      </c>
      <c r="Y569">
        <v>1</v>
      </c>
      <c r="Z569">
        <f>[1]LISTADO_OTS!S569</f>
        <v>0</v>
      </c>
    </row>
    <row r="570" spans="1:26" x14ac:dyDescent="0.4">
      <c r="A570">
        <v>569</v>
      </c>
      <c r="B570" t="str">
        <f>[1]LISTADO_OTS!E570</f>
        <v>TP/0267</v>
      </c>
      <c r="C570">
        <f>VLOOKUP([1]LISTADO_OTS!B570,[1]Redes!$C$1:$E$5,3,FALSE)</f>
        <v>3</v>
      </c>
      <c r="D570">
        <f>[1]LISTADO_OTS!C570</f>
        <v>2</v>
      </c>
      <c r="E570">
        <f>[1]LISTADO_OTS!D570</f>
        <v>10</v>
      </c>
      <c r="F570">
        <f>[1]LISTADO_OTS!Q570</f>
        <v>6</v>
      </c>
      <c r="G570">
        <f>[1]LISTADO_OTS!R570</f>
        <v>6</v>
      </c>
      <c r="H570" t="str">
        <f>[1]LISTADO_OTS!H570</f>
        <v>Sustitución contador en Pol.Salbarte (Talcer S.L) en Alda</v>
      </c>
      <c r="I570" t="str">
        <f>[1]LISTADO_OTS!I570</f>
        <v>Sustitución contador en Pol.Salbarte (Talcer S.L) en Alda</v>
      </c>
      <c r="J570" s="1">
        <f>[1]LISTADO_OTS!F570</f>
        <v>45939</v>
      </c>
      <c r="K570" s="1">
        <f>[1]LISTADO_OTS!G570</f>
        <v>45939</v>
      </c>
      <c r="L570">
        <f>[1]LISTADO_OTS!M570</f>
        <v>42.750463000000003</v>
      </c>
      <c r="M570">
        <f>[1]LISTADO_OTS!N570</f>
        <v>-2.3443179999999999</v>
      </c>
      <c r="U570" t="b">
        <f>[1]LISTADO_OTS!O570</f>
        <v>1</v>
      </c>
      <c r="V570" t="str">
        <f>[1]LISTADO_OTS!J570</f>
        <v>Alda</v>
      </c>
      <c r="W570">
        <f>[1]LISTADO_OTS!R570</f>
        <v>6</v>
      </c>
      <c r="X570" t="str">
        <f>[1]LISTADO_OTS!P570</f>
        <v>TOMAS</v>
      </c>
      <c r="Y570">
        <v>1</v>
      </c>
      <c r="Z570">
        <f>[1]LISTADO_OTS!S570</f>
        <v>0</v>
      </c>
    </row>
    <row r="571" spans="1:26" x14ac:dyDescent="0.4">
      <c r="A571">
        <v>570</v>
      </c>
      <c r="B571" t="str">
        <f>[1]LISTADO_OTS!E571</f>
        <v>TP/0268</v>
      </c>
      <c r="C571">
        <f>VLOOKUP([1]LISTADO_OTS!B571,[1]Redes!$C$1:$E$5,3,FALSE)</f>
        <v>3</v>
      </c>
      <c r="D571">
        <f>[1]LISTADO_OTS!C571</f>
        <v>2</v>
      </c>
      <c r="E571">
        <f>[1]LISTADO_OTS!D571</f>
        <v>8</v>
      </c>
      <c r="F571">
        <f>[1]LISTADO_OTS!Q571</f>
        <v>3</v>
      </c>
      <c r="G571">
        <f>[1]LISTADO_OTS!R571</f>
        <v>3</v>
      </c>
      <c r="H571" t="str">
        <f>[1]LISTADO_OTS!H571</f>
        <v>Instalación de contador en Gauna n66</v>
      </c>
      <c r="I571" t="str">
        <f>[1]LISTADO_OTS!I571</f>
        <v>Instalación de contador en Gauna n66</v>
      </c>
      <c r="J571" s="1">
        <f>[1]LISTADO_OTS!F571</f>
        <v>45939</v>
      </c>
      <c r="K571" s="1">
        <f>[1]LISTADO_OTS!G571</f>
        <v>45939</v>
      </c>
      <c r="L571">
        <f>[1]LISTADO_OTS!M571</f>
        <v>42.825707999999999</v>
      </c>
      <c r="M571">
        <f>[1]LISTADO_OTS!N571</f>
        <v>-2.493293</v>
      </c>
      <c r="U571" t="b">
        <f>[1]LISTADO_OTS!O571</f>
        <v>1</v>
      </c>
      <c r="V571" t="str">
        <f>[1]LISTADO_OTS!J571</f>
        <v>Gauna</v>
      </c>
      <c r="W571">
        <f>[1]LISTADO_OTS!R571</f>
        <v>3</v>
      </c>
      <c r="X571" t="str">
        <f>[1]LISTADO_OTS!P571</f>
        <v>IÑIGO</v>
      </c>
      <c r="Y571">
        <v>1</v>
      </c>
      <c r="Z571">
        <f>[1]LISTADO_OTS!S571</f>
        <v>0</v>
      </c>
    </row>
    <row r="572" spans="1:26" x14ac:dyDescent="0.4">
      <c r="A572">
        <v>571</v>
      </c>
      <c r="B572" t="str">
        <f>[1]LISTADO_OTS!E572</f>
        <v>TP/0269</v>
      </c>
      <c r="C572">
        <f>VLOOKUP([1]LISTADO_OTS!B572,[1]Redes!$C$1:$E$5,3,FALSE)</f>
        <v>3</v>
      </c>
      <c r="D572">
        <f>[1]LISTADO_OTS!C572</f>
        <v>2</v>
      </c>
      <c r="E572">
        <f>[1]LISTADO_OTS!D572</f>
        <v>19</v>
      </c>
      <c r="F572">
        <f>[1]LISTADO_OTS!Q572</f>
        <v>6</v>
      </c>
      <c r="G572">
        <f>[1]LISTADO_OTS!R572</f>
        <v>6</v>
      </c>
      <c r="H572" t="str">
        <f>[1]LISTADO_OTS!H572</f>
        <v>Sustitución de contador en Edar San Vicente Arana C/Virgen de Uralde S/N</v>
      </c>
      <c r="I572" t="str">
        <f>[1]LISTADO_OTS!I572</f>
        <v>Sustitución de contador en San Vicente C/Virgen de Uralde S/N</v>
      </c>
      <c r="J572" s="1">
        <f>[1]LISTADO_OTS!F572</f>
        <v>45939</v>
      </c>
      <c r="K572" s="1">
        <f>[1]LISTADO_OTS!G572</f>
        <v>45939</v>
      </c>
      <c r="L572">
        <f>[1]LISTADO_OTS!M572</f>
        <v>42.736573</v>
      </c>
      <c r="M572">
        <f>[1]LISTADO_OTS!N572</f>
        <v>-2.361599</v>
      </c>
      <c r="U572" t="b">
        <f>[1]LISTADO_OTS!O572</f>
        <v>1</v>
      </c>
      <c r="V572" t="str">
        <f>[1]LISTADO_OTS!J572</f>
        <v>San Vicente de Arana</v>
      </c>
      <c r="W572">
        <f>[1]LISTADO_OTS!R572</f>
        <v>6</v>
      </c>
      <c r="X572" t="str">
        <f>[1]LISTADO_OTS!P572</f>
        <v>TOMAS E IÑIGO</v>
      </c>
      <c r="Y572">
        <v>1</v>
      </c>
      <c r="Z572">
        <f>[1]LISTADO_OTS!S572</f>
        <v>0</v>
      </c>
    </row>
    <row r="573" spans="1:26" x14ac:dyDescent="0.4">
      <c r="A573">
        <v>572</v>
      </c>
      <c r="B573" t="str">
        <f>[1]LISTADO_OTS!E573</f>
        <v>TP/0270</v>
      </c>
      <c r="C573">
        <f>VLOOKUP([1]LISTADO_OTS!B573,[1]Redes!$C$1:$E$5,3,FALSE)</f>
        <v>3</v>
      </c>
      <c r="D573">
        <f>[1]LISTADO_OTS!C573</f>
        <v>2</v>
      </c>
      <c r="E573">
        <f>[1]LISTADO_OTS!D573</f>
        <v>8</v>
      </c>
      <c r="F573">
        <f>[1]LISTADO_OTS!Q573</f>
        <v>1</v>
      </c>
      <c r="G573">
        <f>[1]LISTADO_OTS!R573</f>
        <v>1</v>
      </c>
      <c r="H573" t="str">
        <f>[1]LISTADO_OTS!H573</f>
        <v>Instalación contador en C/Pintor Jose Arrue en (Llodio)</v>
      </c>
      <c r="I573" t="str">
        <f>[1]LISTADO_OTS!I573</f>
        <v>Instalación contador en  C/Pintor Jose Arrue en (Llodio)</v>
      </c>
      <c r="J573" s="1">
        <f>[1]LISTADO_OTS!F573</f>
        <v>45938</v>
      </c>
      <c r="K573" s="1">
        <f>[1]LISTADO_OTS!G573</f>
        <v>45938</v>
      </c>
      <c r="L573">
        <f>[1]LISTADO_OTS!M573</f>
        <v>43.145560000000003</v>
      </c>
      <c r="M573">
        <f>[1]LISTADO_OTS!N573</f>
        <v>-2.9595039999999999</v>
      </c>
      <c r="U573" t="b">
        <f>[1]LISTADO_OTS!O573</f>
        <v>1</v>
      </c>
      <c r="V573" t="str">
        <f>[1]LISTADO_OTS!J573</f>
        <v>Llodio</v>
      </c>
      <c r="W573">
        <f>[1]LISTADO_OTS!R573</f>
        <v>1</v>
      </c>
      <c r="X573" t="str">
        <f>[1]LISTADO_OTS!P573</f>
        <v>IÑIGO</v>
      </c>
      <c r="Y573">
        <v>1</v>
      </c>
      <c r="Z573">
        <f>[1]LISTADO_OTS!S573</f>
        <v>0</v>
      </c>
    </row>
    <row r="574" spans="1:26" x14ac:dyDescent="0.4">
      <c r="A574">
        <v>573</v>
      </c>
      <c r="B574" t="str">
        <f>[1]LISTADO_OTS!E574</f>
        <v>TP/0271</v>
      </c>
      <c r="C574">
        <f>VLOOKUP([1]LISTADO_OTS!B574,[1]Redes!$C$1:$E$5,3,FALSE)</f>
        <v>5</v>
      </c>
      <c r="D574">
        <f>[1]LISTADO_OTS!C574</f>
        <v>2</v>
      </c>
      <c r="E574">
        <f>[1]LISTADO_OTS!D574</f>
        <v>7</v>
      </c>
      <c r="F574">
        <f>[1]LISTADO_OTS!Q574</f>
        <v>3</v>
      </c>
      <c r="G574">
        <f>[1]LISTADO_OTS!R574</f>
        <v>3</v>
      </c>
      <c r="H574" t="str">
        <f>[1]LISTADO_OTS!H574</f>
        <v>Recoger información en campo de las redes de saneamiento (Alegría)</v>
      </c>
      <c r="I574" t="str">
        <f>[1]LISTADO_OTS!I574</f>
        <v>Recoger información en campo de las redes de pluviales en saneamiento (Alegría)</v>
      </c>
      <c r="J574" s="1">
        <f>[1]LISTADO_OTS!F574</f>
        <v>45938</v>
      </c>
      <c r="K574" s="1">
        <f>[1]LISTADO_OTS!G574</f>
        <v>45938</v>
      </c>
      <c r="L574" t="str">
        <f>[1]LISTADO_OTS!M574</f>
        <v/>
      </c>
      <c r="M574" t="str">
        <f>[1]LISTADO_OTS!N574</f>
        <v/>
      </c>
      <c r="U574" t="b">
        <f>[1]LISTADO_OTS!O574</f>
        <v>1</v>
      </c>
      <c r="V574" t="str">
        <f>[1]LISTADO_OTS!J574</f>
        <v>Alegría</v>
      </c>
      <c r="W574">
        <f>[1]LISTADO_OTS!R574</f>
        <v>3</v>
      </c>
      <c r="X574" t="str">
        <f>[1]LISTADO_OTS!P574</f>
        <v>ENEKO</v>
      </c>
      <c r="Y574">
        <v>1</v>
      </c>
      <c r="Z574">
        <f>[1]LISTADO_OTS!S574</f>
        <v>0</v>
      </c>
    </row>
    <row r="575" spans="1:26" x14ac:dyDescent="0.4">
      <c r="A575">
        <v>574</v>
      </c>
      <c r="B575" t="str">
        <f>[1]LISTADO_OTS!E575</f>
        <v>OT/0398</v>
      </c>
      <c r="C575">
        <f>VLOOKUP([1]LISTADO_OTS!B575,[1]Redes!$C$1:$E$5,3,FALSE)</f>
        <v>3</v>
      </c>
      <c r="D575">
        <f>[1]LISTADO_OTS!C575</f>
        <v>1</v>
      </c>
      <c r="E575">
        <f>[1]LISTADO_OTS!D575</f>
        <v>0</v>
      </c>
      <c r="F575">
        <f>[1]LISTADO_OTS!Q575</f>
        <v>1</v>
      </c>
      <c r="G575">
        <f>[1]LISTADO_OTS!R575</f>
        <v>1</v>
      </c>
      <c r="H575" t="str">
        <f>[1]LISTADO_OTS!H575</f>
        <v>Reparación de fuga en Iturriaga n2 (Llodio)</v>
      </c>
      <c r="I575" t="str">
        <f>[1]LISTADO_OTS!I575</f>
        <v>Reparación de fuga en Iturriaga n2 (Llodio)</v>
      </c>
      <c r="J575" s="1">
        <f>[1]LISTADO_OTS!F575</f>
        <v>45938</v>
      </c>
      <c r="K575" s="1">
        <f>[1]LISTADO_OTS!G575</f>
        <v>45939</v>
      </c>
      <c r="L575">
        <f>[1]LISTADO_OTS!M575</f>
        <v>43.146545000000003</v>
      </c>
      <c r="M575">
        <f>[1]LISTADO_OTS!N575</f>
        <v>-2.9680179999999998</v>
      </c>
      <c r="U575" t="b">
        <f>[1]LISTADO_OTS!O575</f>
        <v>1</v>
      </c>
      <c r="V575" t="str">
        <f>[1]LISTADO_OTS!J575</f>
        <v>Llodio</v>
      </c>
      <c r="W575">
        <f>[1]LISTADO_OTS!R575</f>
        <v>1</v>
      </c>
      <c r="X575" t="str">
        <f>[1]LISTADO_OTS!P575</f>
        <v>TOMAS,RAFNIR,IÑIGO,ZOUITA</v>
      </c>
      <c r="Y575">
        <v>1</v>
      </c>
      <c r="Z575">
        <f>[1]LISTADO_OTS!S575</f>
        <v>1</v>
      </c>
    </row>
    <row r="576" spans="1:26" x14ac:dyDescent="0.4">
      <c r="A576">
        <v>575</v>
      </c>
      <c r="B576" t="str">
        <f>[1]LISTADO_OTS!E576</f>
        <v>TP/0272</v>
      </c>
      <c r="C576">
        <f>VLOOKUP([1]LISTADO_OTS!B576,[1]Redes!$C$1:$E$5,3,FALSE)</f>
        <v>2</v>
      </c>
      <c r="D576">
        <f>[1]LISTADO_OTS!C576</f>
        <v>2</v>
      </c>
      <c r="E576">
        <f>[1]LISTADO_OTS!D576</f>
        <v>23</v>
      </c>
      <c r="F576">
        <f>[1]LISTADO_OTS!Q576</f>
        <v>1</v>
      </c>
      <c r="G576">
        <f>[1]LISTADO_OTS!R576</f>
        <v>1</v>
      </c>
      <c r="H576" t="str">
        <f>[1]LISTADO_OTS!H576</f>
        <v>Limpieza Tamices en Onsoño,Añes,Kostera,Madaria,Aguiñiga,Lejarzo etc…</v>
      </c>
      <c r="I576" t="str">
        <f>[1]LISTADO_OTS!I576</f>
        <v>Limpieza Tamices en Onsoño,Añes,Kostera,Madaria,Aguiñiga,Lejarzo etc…</v>
      </c>
      <c r="J576" s="1">
        <f>[1]LISTADO_OTS!F576</f>
        <v>45939</v>
      </c>
      <c r="K576" s="1">
        <f>[1]LISTADO_OTS!G576</f>
        <v>45939</v>
      </c>
      <c r="L576" t="str">
        <f>[1]LISTADO_OTS!M576</f>
        <v/>
      </c>
      <c r="M576" t="str">
        <f>[1]LISTADO_OTS!N576</f>
        <v/>
      </c>
      <c r="U576" t="b">
        <f>[1]LISTADO_OTS!O576</f>
        <v>1</v>
      </c>
      <c r="V576" t="str">
        <f>[1]LISTADO_OTS!J576</f>
        <v>Añes</v>
      </c>
      <c r="W576">
        <f>[1]LISTADO_OTS!R576</f>
        <v>1</v>
      </c>
      <c r="X576" t="str">
        <f>[1]LISTADO_OTS!P576</f>
        <v>V</v>
      </c>
      <c r="Y576">
        <v>1</v>
      </c>
      <c r="Z576">
        <f>[1]LISTADO_OTS!S576</f>
        <v>0</v>
      </c>
    </row>
    <row r="577" spans="1:26" x14ac:dyDescent="0.4">
      <c r="A577">
        <v>576</v>
      </c>
      <c r="B577" t="str">
        <f>[1]LISTADO_OTS!E577</f>
        <v>OT/0399</v>
      </c>
      <c r="C577">
        <f>VLOOKUP([1]LISTADO_OTS!B577,[1]Redes!$C$1:$E$5,3,FALSE)</f>
        <v>5</v>
      </c>
      <c r="D577">
        <f>[1]LISTADO_OTS!C577</f>
        <v>1</v>
      </c>
      <c r="E577">
        <f>[1]LISTADO_OTS!D577</f>
        <v>0</v>
      </c>
      <c r="F577">
        <f>[1]LISTADO_OTS!Q577</f>
        <v>5</v>
      </c>
      <c r="G577">
        <f>[1]LISTADO_OTS!R577</f>
        <v>5</v>
      </c>
      <c r="H577" t="str">
        <f>[1]LISTADO_OTS!H577</f>
        <v>Atasco en Anucita n33</v>
      </c>
      <c r="I577" t="str">
        <f>[1]LISTADO_OTS!I577</f>
        <v>Atasco en Anucita n33</v>
      </c>
      <c r="J577" s="1">
        <f>[1]LISTADO_OTS!F577</f>
        <v>45940</v>
      </c>
      <c r="K577" s="1">
        <f>[1]LISTADO_OTS!G577</f>
        <v>45940</v>
      </c>
      <c r="L577">
        <f>[1]LISTADO_OTS!M577</f>
        <v>42.801459999999999</v>
      </c>
      <c r="M577">
        <f>[1]LISTADO_OTS!N577</f>
        <v>-2.8991730000000002</v>
      </c>
      <c r="U577" t="b">
        <f>[1]LISTADO_OTS!O577</f>
        <v>1</v>
      </c>
      <c r="V577" t="str">
        <f>[1]LISTADO_OTS!J577</f>
        <v>Anucita</v>
      </c>
      <c r="W577">
        <f>[1]LISTADO_OTS!R577</f>
        <v>5</v>
      </c>
      <c r="X577" t="str">
        <f>[1]LISTADO_OTS!P577</f>
        <v>KERMAN E IÑIGO</v>
      </c>
      <c r="Y577">
        <v>1</v>
      </c>
      <c r="Z577">
        <f>[1]LISTADO_OTS!S577</f>
        <v>2</v>
      </c>
    </row>
    <row r="578" spans="1:26" x14ac:dyDescent="0.4">
      <c r="A578">
        <v>577</v>
      </c>
      <c r="B578" t="str">
        <f>[1]LISTADO_OTS!E578</f>
        <v>TP/0273</v>
      </c>
      <c r="C578">
        <f>VLOOKUP([1]LISTADO_OTS!B578,[1]Redes!$C$1:$E$5,3,FALSE)</f>
        <v>3</v>
      </c>
      <c r="D578">
        <f>[1]LISTADO_OTS!C578</f>
        <v>2</v>
      </c>
      <c r="E578">
        <f>[1]LISTADO_OTS!D578</f>
        <v>13</v>
      </c>
      <c r="F578">
        <f>[1]LISTADO_OTS!Q578</f>
        <v>3</v>
      </c>
      <c r="G578">
        <f>[1]LISTADO_OTS!R578</f>
        <v>3</v>
      </c>
      <c r="H578" t="str">
        <f>[1]LISTADO_OTS!H578</f>
        <v>Asistencia técnica a Urbide (Alegría)</v>
      </c>
      <c r="I578" t="str">
        <f>[1]LISTADO_OTS!I578</f>
        <v>Asistencia técnica a Urbide (Alegría)</v>
      </c>
      <c r="J578" s="1">
        <f>[1]LISTADO_OTS!F578</f>
        <v>45939</v>
      </c>
      <c r="K578" s="1">
        <f>[1]LISTADO_OTS!G578</f>
        <v>45939</v>
      </c>
      <c r="L578" t="str">
        <f>[1]LISTADO_OTS!M578</f>
        <v/>
      </c>
      <c r="M578" t="str">
        <f>[1]LISTADO_OTS!N578</f>
        <v/>
      </c>
      <c r="U578" t="b">
        <f>[1]LISTADO_OTS!O578</f>
        <v>1</v>
      </c>
      <c r="V578" t="str">
        <f>[1]LISTADO_OTS!J578</f>
        <v>Alegría</v>
      </c>
      <c r="W578">
        <f>[1]LISTADO_OTS!R578</f>
        <v>3</v>
      </c>
      <c r="X578" t="str">
        <f>[1]LISTADO_OTS!P578</f>
        <v>V</v>
      </c>
      <c r="Y578">
        <v>1</v>
      </c>
      <c r="Z578">
        <f>[1]LISTADO_OTS!S578</f>
        <v>0</v>
      </c>
    </row>
    <row r="579" spans="1:26" x14ac:dyDescent="0.4">
      <c r="A579">
        <v>578</v>
      </c>
      <c r="B579" t="str">
        <f>[1]LISTADO_OTS!E579</f>
        <v>TP/0274</v>
      </c>
      <c r="C579">
        <f>VLOOKUP([1]LISTADO_OTS!B579,[1]Redes!$C$1:$E$5,3,FALSE)</f>
        <v>5</v>
      </c>
      <c r="D579">
        <f>[1]LISTADO_OTS!C579</f>
        <v>2</v>
      </c>
      <c r="E579">
        <f>[1]LISTADO_OTS!D579</f>
        <v>1</v>
      </c>
      <c r="F579">
        <f>[1]LISTADO_OTS!Q579</f>
        <v>3</v>
      </c>
      <c r="G579">
        <f>[1]LISTADO_OTS!R579</f>
        <v>3</v>
      </c>
      <c r="H579" t="str">
        <f>[1]LISTADO_OTS!H579</f>
        <v>Mantenimiento preventivo saneamiento C/Aniturri y parque (Agurain)</v>
      </c>
      <c r="I579" t="str">
        <f>[1]LISTADO_OTS!I579</f>
        <v>Mantenimiento preventivo saneamiento C/Aniturri y parque (Agurain)</v>
      </c>
      <c r="J579" s="1">
        <f>[1]LISTADO_OTS!F579</f>
        <v>45939</v>
      </c>
      <c r="K579" s="1">
        <f>[1]LISTADO_OTS!G579</f>
        <v>45939</v>
      </c>
      <c r="L579">
        <f>[1]LISTADO_OTS!M579</f>
        <v>42.849812999999997</v>
      </c>
      <c r="M579">
        <f>[1]LISTADO_OTS!N579</f>
        <v>-2.3905449999999999</v>
      </c>
      <c r="U579" t="b">
        <f>[1]LISTADO_OTS!O579</f>
        <v>1</v>
      </c>
      <c r="V579" t="str">
        <f>[1]LISTADO_OTS!J579</f>
        <v>Agurain</v>
      </c>
      <c r="W579">
        <f>[1]LISTADO_OTS!R579</f>
        <v>3</v>
      </c>
      <c r="X579" t="str">
        <f>[1]LISTADO_OTS!P579</f>
        <v>EMILIO,MIGUEL</v>
      </c>
      <c r="Y579">
        <v>1</v>
      </c>
      <c r="Z579">
        <f>[1]LISTADO_OTS!S579</f>
        <v>0</v>
      </c>
    </row>
    <row r="580" spans="1:26" x14ac:dyDescent="0.4">
      <c r="A580">
        <v>579</v>
      </c>
      <c r="B580" t="str">
        <f>[1]LISTADO_OTS!E580</f>
        <v>TP/0275</v>
      </c>
      <c r="C580">
        <f>VLOOKUP([1]LISTADO_OTS!B580,[1]Redes!$C$1:$E$5,3,FALSE)</f>
        <v>1</v>
      </c>
      <c r="D580">
        <f>[1]LISTADO_OTS!C580</f>
        <v>2</v>
      </c>
      <c r="E580">
        <f>[1]LISTADO_OTS!D580</f>
        <v>2</v>
      </c>
      <c r="F580">
        <f>[1]LISTADO_OTS!Q580</f>
        <v>1</v>
      </c>
      <c r="G580">
        <f>[1]LISTADO_OTS!R580</f>
        <v>1</v>
      </c>
      <c r="H580" t="str">
        <f>[1]LISTADO_OTS!H580</f>
        <v>Limpieza de captaciones en Aiaraldea</v>
      </c>
      <c r="I580" t="str">
        <f>[1]LISTADO_OTS!I580</f>
        <v>Limpieza de captaciones en Aiaraldea</v>
      </c>
      <c r="J580" s="1">
        <f>[1]LISTADO_OTS!F580</f>
        <v>45940</v>
      </c>
      <c r="K580" s="1">
        <f>[1]LISTADO_OTS!G580</f>
        <v>45940</v>
      </c>
      <c r="L580" t="str">
        <f>[1]LISTADO_OTS!M580</f>
        <v/>
      </c>
      <c r="M580" t="str">
        <f>[1]LISTADO_OTS!N580</f>
        <v/>
      </c>
      <c r="U580" t="b">
        <f>[1]LISTADO_OTS!O580</f>
        <v>1</v>
      </c>
      <c r="V580" t="str">
        <f>[1]LISTADO_OTS!J580</f>
        <v>Aiaraldea</v>
      </c>
      <c r="W580">
        <f>[1]LISTADO_OTS!R580</f>
        <v>1</v>
      </c>
      <c r="X580" t="str">
        <f>[1]LISTADO_OTS!P580</f>
        <v>V</v>
      </c>
      <c r="Y580">
        <v>1</v>
      </c>
      <c r="Z580">
        <f>[1]LISTADO_OTS!S580</f>
        <v>0</v>
      </c>
    </row>
    <row r="581" spans="1:26" x14ac:dyDescent="0.4">
      <c r="A581">
        <v>580</v>
      </c>
      <c r="B581" t="str">
        <f>[1]LISTADO_OTS!E581</f>
        <v>OT/0400</v>
      </c>
      <c r="C581">
        <f>VLOOKUP([1]LISTADO_OTS!B581,[1]Redes!$C$1:$E$5,3,FALSE)</f>
        <v>3</v>
      </c>
      <c r="D581">
        <f>[1]LISTADO_OTS!C581</f>
        <v>1</v>
      </c>
      <c r="E581">
        <f>[1]LISTADO_OTS!D581</f>
        <v>0</v>
      </c>
      <c r="F581">
        <f>[1]LISTADO_OTS!Q581</f>
        <v>5</v>
      </c>
      <c r="G581">
        <f>[1]LISTADO_OTS!R581</f>
        <v>5</v>
      </c>
      <c r="H581" t="str">
        <f>[1]LISTADO_OTS!H581</f>
        <v>Fuga en Puentelarra C/San Nicolás</v>
      </c>
      <c r="I581" t="str">
        <f>[1]LISTADO_OTS!I581</f>
        <v>Fuga en Puentelarra  C/San Nicolás</v>
      </c>
      <c r="J581" s="1">
        <f>[1]LISTADO_OTS!F581</f>
        <v>45940</v>
      </c>
      <c r="K581" s="1">
        <f>[1]LISTADO_OTS!G581</f>
        <v>45940</v>
      </c>
      <c r="L581">
        <f>[1]LISTADO_OTS!M581</f>
        <v>42.751275999999997</v>
      </c>
      <c r="M581">
        <f>[1]LISTADO_OTS!N581</f>
        <v>-3.0480879999999999</v>
      </c>
      <c r="U581" t="b">
        <f>[1]LISTADO_OTS!O581</f>
        <v>1</v>
      </c>
      <c r="V581" t="str">
        <f>[1]LISTADO_OTS!J581</f>
        <v>Puentelarra</v>
      </c>
      <c r="W581">
        <f>[1]LISTADO_OTS!R581</f>
        <v>5</v>
      </c>
      <c r="X581" t="str">
        <f>[1]LISTADO_OTS!P581</f>
        <v>V</v>
      </c>
      <c r="Y581">
        <v>1</v>
      </c>
      <c r="Z581">
        <f>[1]LISTADO_OTS!S581</f>
        <v>1</v>
      </c>
    </row>
    <row r="582" spans="1:26" x14ac:dyDescent="0.4">
      <c r="A582">
        <v>581</v>
      </c>
      <c r="B582" t="str">
        <f>[1]LISTADO_OTS!E582</f>
        <v>OT/0401</v>
      </c>
      <c r="C582">
        <f>VLOOKUP([1]LISTADO_OTS!B582,[1]Redes!$C$1:$E$5,3,FALSE)</f>
        <v>5</v>
      </c>
      <c r="D582">
        <f>[1]LISTADO_OTS!C582</f>
        <v>1</v>
      </c>
      <c r="E582">
        <f>[1]LISTADO_OTS!D582</f>
        <v>0</v>
      </c>
      <c r="F582">
        <f>[1]LISTADO_OTS!Q582</f>
        <v>1</v>
      </c>
      <c r="G582">
        <f>[1]LISTADO_OTS!R582</f>
        <v>1</v>
      </c>
      <c r="H582" t="str">
        <f>[1]LISTADO_OTS!H582</f>
        <v>Desatasco tubería Landako (Amurrio)</v>
      </c>
      <c r="I582" t="str">
        <f>[1]LISTADO_OTS!I582</f>
        <v>Desatasco tubería Landako (Amurrio)</v>
      </c>
      <c r="J582" s="1">
        <f>[1]LISTADO_OTS!F582</f>
        <v>45940</v>
      </c>
      <c r="K582" s="1">
        <f>[1]LISTADO_OTS!G582</f>
        <v>45940</v>
      </c>
      <c r="L582">
        <f>[1]LISTADO_OTS!M582</f>
        <v>43.051673999999998</v>
      </c>
      <c r="M582">
        <f>[1]LISTADO_OTS!N582</f>
        <v>-2.9966659999999998</v>
      </c>
      <c r="U582" t="b">
        <f>[1]LISTADO_OTS!O582</f>
        <v>1</v>
      </c>
      <c r="V582" t="str">
        <f>[1]LISTADO_OTS!J582</f>
        <v>Amurrio</v>
      </c>
      <c r="W582">
        <f>[1]LISTADO_OTS!R582</f>
        <v>1</v>
      </c>
      <c r="X582" t="str">
        <f>[1]LISTADO_OTS!P582</f>
        <v>V</v>
      </c>
      <c r="Y582">
        <v>1</v>
      </c>
      <c r="Z582">
        <f>[1]LISTADO_OTS!S582</f>
        <v>2</v>
      </c>
    </row>
    <row r="583" spans="1:26" x14ac:dyDescent="0.4">
      <c r="A583">
        <v>582</v>
      </c>
      <c r="B583" t="str">
        <f>[1]LISTADO_OTS!E583</f>
        <v>OT/0402</v>
      </c>
      <c r="C583">
        <f>VLOOKUP([1]LISTADO_OTS!B583,[1]Redes!$C$1:$E$5,3,FALSE)</f>
        <v>3</v>
      </c>
      <c r="D583">
        <f>[1]LISTADO_OTS!C583</f>
        <v>1</v>
      </c>
      <c r="E583">
        <f>[1]LISTADO_OTS!D583</f>
        <v>0</v>
      </c>
      <c r="F583">
        <f>[1]LISTADO_OTS!Q583</f>
        <v>1</v>
      </c>
      <c r="G583">
        <f>[1]LISTADO_OTS!R583</f>
        <v>1</v>
      </c>
      <c r="H583" t="str">
        <f>[1]LISTADO_OTS!H583</f>
        <v>Reparación de fuga en Amurrio ( edificio policia municipal)</v>
      </c>
      <c r="I583" t="str">
        <f>[1]LISTADO_OTS!I583</f>
        <v>Reparación de fuga en Amurrio ( edificio policia municipal)</v>
      </c>
      <c r="J583" s="1">
        <f>[1]LISTADO_OTS!F583</f>
        <v>45940</v>
      </c>
      <c r="K583" s="1">
        <f>[1]LISTADO_OTS!G583</f>
        <v>45940</v>
      </c>
      <c r="L583">
        <f>[1]LISTADO_OTS!M583</f>
        <v>43.051169999999999</v>
      </c>
      <c r="M583">
        <f>[1]LISTADO_OTS!N583</f>
        <v>-3.0023200000000001</v>
      </c>
      <c r="U583" t="b">
        <f>[1]LISTADO_OTS!O583</f>
        <v>1</v>
      </c>
      <c r="V583" t="str">
        <f>[1]LISTADO_OTS!J583</f>
        <v>Amurrio</v>
      </c>
      <c r="W583">
        <f>[1]LISTADO_OTS!R583</f>
        <v>1</v>
      </c>
      <c r="X583" t="str">
        <f>[1]LISTADO_OTS!P583</f>
        <v>MIGUEL</v>
      </c>
      <c r="Y583">
        <v>1</v>
      </c>
      <c r="Z583">
        <f>[1]LISTADO_OTS!S583</f>
        <v>1</v>
      </c>
    </row>
    <row r="584" spans="1:26" x14ac:dyDescent="0.4">
      <c r="A584">
        <v>583</v>
      </c>
      <c r="B584" t="str">
        <f>[1]LISTADO_OTS!E584</f>
        <v>OT/0403</v>
      </c>
      <c r="C584">
        <f>VLOOKUP([1]LISTADO_OTS!B584,[1]Redes!$C$1:$E$5,3,FALSE)</f>
        <v>3</v>
      </c>
      <c r="D584">
        <f>[1]LISTADO_OTS!C584</f>
        <v>1</v>
      </c>
      <c r="E584">
        <f>[1]LISTADO_OTS!D584</f>
        <v>0</v>
      </c>
      <c r="F584">
        <f>[1]LISTADO_OTS!Q584</f>
        <v>1</v>
      </c>
      <c r="G584">
        <f>[1]LISTADO_OTS!R584</f>
        <v>1</v>
      </c>
      <c r="H584" t="str">
        <f>[1]LISTADO_OTS!H584</f>
        <v>Fuga Esquina Abajo en Respaldiza</v>
      </c>
      <c r="I584" t="str">
        <f>[1]LISTADO_OTS!I584</f>
        <v>Fuga Esquina Abajo en Respaldiza</v>
      </c>
      <c r="J584" s="1">
        <f>[1]LISTADO_OTS!F584</f>
        <v>45941</v>
      </c>
      <c r="K584" s="1">
        <f>[1]LISTADO_OTS!G584</f>
        <v>45941</v>
      </c>
      <c r="L584">
        <f>[1]LISTADO_OTS!M584</f>
        <v>43.087223999999999</v>
      </c>
      <c r="M584">
        <f>[1]LISTADO_OTS!N584</f>
        <v>-3.0435340000000002</v>
      </c>
      <c r="U584" t="b">
        <f>[1]LISTADO_OTS!O584</f>
        <v>1</v>
      </c>
      <c r="V584" t="str">
        <f>[1]LISTADO_OTS!J584</f>
        <v>Respaldiza</v>
      </c>
      <c r="W584">
        <f>[1]LISTADO_OTS!R584</f>
        <v>1</v>
      </c>
      <c r="X584" t="str">
        <f>[1]LISTADO_OTS!P584</f>
        <v>V</v>
      </c>
      <c r="Y584">
        <v>1</v>
      </c>
      <c r="Z584">
        <f>[1]LISTADO_OTS!S584</f>
        <v>1</v>
      </c>
    </row>
    <row r="585" spans="1:26" x14ac:dyDescent="0.4">
      <c r="A585">
        <v>584</v>
      </c>
      <c r="B585" t="str">
        <f>[1]LISTADO_OTS!E585</f>
        <v>OT/0404</v>
      </c>
      <c r="C585">
        <f>VLOOKUP([1]LISTADO_OTS!B585,[1]Redes!$C$1:$E$5,3,FALSE)</f>
        <v>3</v>
      </c>
      <c r="D585">
        <f>[1]LISTADO_OTS!C585</f>
        <v>1</v>
      </c>
      <c r="E585">
        <f>[1]LISTADO_OTS!D585</f>
        <v>0</v>
      </c>
      <c r="F585">
        <f>[1]LISTADO_OTS!Q585</f>
        <v>1</v>
      </c>
      <c r="G585">
        <f>[1]LISTADO_OTS!R585</f>
        <v>1</v>
      </c>
      <c r="H585" t="str">
        <f>[1]LISTADO_OTS!H585</f>
        <v>Abonado sin agua en Artziniega C/Sandolla</v>
      </c>
      <c r="I585" t="str">
        <f>[1]LISTADO_OTS!I585</f>
        <v>Abonado sin agua en Artziniega C/Sandolla</v>
      </c>
      <c r="J585" s="1">
        <f>[1]LISTADO_OTS!F585</f>
        <v>45941</v>
      </c>
      <c r="K585" s="1">
        <f>[1]LISTADO_OTS!G585</f>
        <v>45941</v>
      </c>
      <c r="L585">
        <f>[1]LISTADO_OTS!M585</f>
        <v>43.123508000000001</v>
      </c>
      <c r="M585">
        <f>[1]LISTADO_OTS!N585</f>
        <v>-3.1358389999999998</v>
      </c>
      <c r="U585" t="b">
        <f>[1]LISTADO_OTS!O585</f>
        <v>1</v>
      </c>
      <c r="V585" t="str">
        <f>[1]LISTADO_OTS!J585</f>
        <v>Artziniega</v>
      </c>
      <c r="W585">
        <f>[1]LISTADO_OTS!R585</f>
        <v>1</v>
      </c>
      <c r="X585" t="str">
        <f>[1]LISTADO_OTS!P585</f>
        <v>V</v>
      </c>
      <c r="Y585">
        <v>1</v>
      </c>
      <c r="Z585">
        <f>[1]LISTADO_OTS!S585</f>
        <v>3</v>
      </c>
    </row>
    <row r="586" spans="1:26" x14ac:dyDescent="0.4">
      <c r="A586">
        <v>585</v>
      </c>
      <c r="B586" t="str">
        <f>[1]LISTADO_OTS!E586</f>
        <v>OT/0405</v>
      </c>
      <c r="C586">
        <f>VLOOKUP([1]LISTADO_OTS!B586,[1]Redes!$C$1:$E$5,3,FALSE)</f>
        <v>3</v>
      </c>
      <c r="D586">
        <f>[1]LISTADO_OTS!C586</f>
        <v>1</v>
      </c>
      <c r="E586">
        <f>[1]LISTADO_OTS!D586</f>
        <v>0</v>
      </c>
      <c r="F586">
        <f>[1]LISTADO_OTS!Q586</f>
        <v>5</v>
      </c>
      <c r="G586">
        <f>[1]LISTADO_OTS!R586</f>
        <v>5</v>
      </c>
      <c r="H586" t="str">
        <f>[1]LISTADO_OTS!H586</f>
        <v>Reparación de fuga en Estabillo C/Mavilla</v>
      </c>
      <c r="I586" t="str">
        <f>[1]LISTADO_OTS!I586</f>
        <v>Reparación de fuga en Estabillo C/Mavilla</v>
      </c>
      <c r="J586" s="1">
        <f>[1]LISTADO_OTS!F586</f>
        <v>45957</v>
      </c>
      <c r="K586" s="1">
        <f>[1]LISTADO_OTS!G586</f>
        <v>45958</v>
      </c>
      <c r="L586">
        <f>[1]LISTADO_OTS!M586</f>
        <v>42.729137999999999</v>
      </c>
      <c r="M586">
        <f>[1]LISTADO_OTS!N586</f>
        <v>-2.8579690000000002</v>
      </c>
      <c r="U586" t="b">
        <f>[1]LISTADO_OTS!O586</f>
        <v>1</v>
      </c>
      <c r="V586" t="str">
        <f>[1]LISTADO_OTS!J586</f>
        <v>Estabillo</v>
      </c>
      <c r="W586">
        <f>[1]LISTADO_OTS!R586</f>
        <v>5</v>
      </c>
      <c r="X586" t="str">
        <f>[1]LISTADO_OTS!P586</f>
        <v>V</v>
      </c>
      <c r="Y586">
        <v>1</v>
      </c>
      <c r="Z586">
        <f>[1]LISTADO_OTS!S586</f>
        <v>1</v>
      </c>
    </row>
    <row r="587" spans="1:26" x14ac:dyDescent="0.4">
      <c r="A587">
        <v>586</v>
      </c>
      <c r="B587" t="str">
        <f>[1]LISTADO_OTS!E587</f>
        <v>OT/0406</v>
      </c>
      <c r="C587">
        <f>VLOOKUP([1]LISTADO_OTS!B587,[1]Redes!$C$1:$E$5,3,FALSE)</f>
        <v>5</v>
      </c>
      <c r="D587">
        <f>[1]LISTADO_OTS!C587</f>
        <v>1</v>
      </c>
      <c r="E587">
        <f>[1]LISTADO_OTS!D587</f>
        <v>0</v>
      </c>
      <c r="F587">
        <f>[1]LISTADO_OTS!Q587</f>
        <v>9</v>
      </c>
      <c r="G587">
        <f>[1]LISTADO_OTS!R587</f>
        <v>9</v>
      </c>
      <c r="H587" t="str">
        <f>[1]LISTADO_OTS!H587</f>
        <v>Atasco en Oreitia</v>
      </c>
      <c r="I587" t="str">
        <f>[1]LISTADO_OTS!I587</f>
        <v>Atasco en Oreitia</v>
      </c>
      <c r="J587" s="1">
        <f>[1]LISTADO_OTS!F587</f>
        <v>45942</v>
      </c>
      <c r="K587" s="1">
        <f>[1]LISTADO_OTS!G587</f>
        <v>45942</v>
      </c>
      <c r="L587">
        <f>[1]LISTADO_OTS!M587</f>
        <v>42.858034000000004</v>
      </c>
      <c r="M587">
        <f>[1]LISTADO_OTS!N587</f>
        <v>-2.5573450000000002</v>
      </c>
      <c r="U587" t="b">
        <f>[1]LISTADO_OTS!O587</f>
        <v>1</v>
      </c>
      <c r="V587" t="str">
        <f>[1]LISTADO_OTS!J587</f>
        <v>Oreitia</v>
      </c>
      <c r="W587">
        <f>[1]LISTADO_OTS!R587</f>
        <v>9</v>
      </c>
      <c r="X587" t="str">
        <f>[1]LISTADO_OTS!P587</f>
        <v>V</v>
      </c>
      <c r="Y587">
        <v>1</v>
      </c>
      <c r="Z587">
        <f>[1]LISTADO_OTS!S587</f>
        <v>2</v>
      </c>
    </row>
    <row r="588" spans="1:26" x14ac:dyDescent="0.4">
      <c r="A588">
        <v>587</v>
      </c>
      <c r="B588" t="str">
        <f>[1]LISTADO_OTS!E588</f>
        <v>TP/0276</v>
      </c>
      <c r="C588">
        <f>VLOOKUP([1]LISTADO_OTS!B588,[1]Redes!$C$1:$E$5,3,FALSE)</f>
        <v>2</v>
      </c>
      <c r="D588">
        <f>[1]LISTADO_OTS!C588</f>
        <v>2</v>
      </c>
      <c r="E588">
        <f>[1]LISTADO_OTS!D588</f>
        <v>3</v>
      </c>
      <c r="F588">
        <f>[1]LISTADO_OTS!Q588</f>
        <v>3</v>
      </c>
      <c r="G588">
        <f>[1]LISTADO_OTS!R588</f>
        <v>3</v>
      </c>
      <c r="H588" t="str">
        <f>[1]LISTADO_OTS!H588</f>
        <v>Limpieza de Fosas Sépticas en Opakua y Agurain</v>
      </c>
      <c r="I588" t="str">
        <f>[1]LISTADO_OTS!I588</f>
        <v>Limpieza de Fosas Sépticas en Opakua y Agurain</v>
      </c>
      <c r="J588" s="1">
        <f>[1]LISTADO_OTS!F588</f>
        <v>45943</v>
      </c>
      <c r="K588" s="1">
        <f>[1]LISTADO_OTS!G588</f>
        <v>45943</v>
      </c>
      <c r="L588">
        <f>[1]LISTADO_OTS!M588</f>
        <v>42.827806000000002</v>
      </c>
      <c r="M588">
        <f>[1]LISTADO_OTS!N588</f>
        <v>-2.3579439999999998</v>
      </c>
      <c r="U588" t="b">
        <f>[1]LISTADO_OTS!O588</f>
        <v>1</v>
      </c>
      <c r="V588" t="str">
        <f>[1]LISTADO_OTS!J588</f>
        <v>Agurain</v>
      </c>
      <c r="W588">
        <f>[1]LISTADO_OTS!R588</f>
        <v>3</v>
      </c>
      <c r="X588" t="str">
        <f>[1]LISTADO_OTS!P588</f>
        <v>EMILIO Y ANGEL</v>
      </c>
      <c r="Y588">
        <v>1</v>
      </c>
      <c r="Z588">
        <f>[1]LISTADO_OTS!S588</f>
        <v>0</v>
      </c>
    </row>
    <row r="589" spans="1:26" x14ac:dyDescent="0.4">
      <c r="A589">
        <v>588</v>
      </c>
      <c r="B589" t="str">
        <f>[1]LISTADO_OTS!E589</f>
        <v>OT/0408</v>
      </c>
      <c r="C589">
        <f>VLOOKUP([1]LISTADO_OTS!B589,[1]Redes!$C$1:$E$5,3,FALSE)</f>
        <v>5</v>
      </c>
      <c r="D589">
        <f>[1]LISTADO_OTS!C589</f>
        <v>1</v>
      </c>
      <c r="E589">
        <f>[1]LISTADO_OTS!D589</f>
        <v>0</v>
      </c>
      <c r="F589">
        <f>[1]LISTADO_OTS!Q589</f>
        <v>1</v>
      </c>
      <c r="G589">
        <f>[1]LISTADO_OTS!R589</f>
        <v>1</v>
      </c>
      <c r="H589" t="str">
        <f>[1]LISTADO_OTS!H589</f>
        <v>Desatasco Urbanización Axpe en Artziniega</v>
      </c>
      <c r="I589" t="str">
        <f>[1]LISTADO_OTS!I589</f>
        <v>Desatasco Urbanización Axpe en Artziniega</v>
      </c>
      <c r="J589" s="1">
        <f>[1]LISTADO_OTS!F589</f>
        <v>45943</v>
      </c>
      <c r="K589" s="1">
        <f>[1]LISTADO_OTS!G589</f>
        <v>45943</v>
      </c>
      <c r="L589">
        <f>[1]LISTADO_OTS!M589</f>
        <v>43.119607000000002</v>
      </c>
      <c r="M589">
        <f>[1]LISTADO_OTS!N589</f>
        <v>-3.1344970000000001</v>
      </c>
      <c r="U589" t="b">
        <f>[1]LISTADO_OTS!O589</f>
        <v>1</v>
      </c>
      <c r="V589" t="str">
        <f>[1]LISTADO_OTS!J589</f>
        <v>Artziniega</v>
      </c>
      <c r="W589">
        <f>[1]LISTADO_OTS!R589</f>
        <v>1</v>
      </c>
      <c r="X589" t="str">
        <f>[1]LISTADO_OTS!P589</f>
        <v>MIGUEL KERMAN</v>
      </c>
      <c r="Y589">
        <v>1</v>
      </c>
      <c r="Z589">
        <f>[1]LISTADO_OTS!S589</f>
        <v>2</v>
      </c>
    </row>
    <row r="590" spans="1:26" x14ac:dyDescent="0.4">
      <c r="A590">
        <v>589</v>
      </c>
      <c r="B590" t="str">
        <f>[1]LISTADO_OTS!E590</f>
        <v>OT/0409</v>
      </c>
      <c r="C590">
        <f>VLOOKUP([1]LISTADO_OTS!B590,[1]Redes!$C$1:$E$5,3,FALSE)</f>
        <v>3</v>
      </c>
      <c r="D590">
        <f>[1]LISTADO_OTS!C590</f>
        <v>1</v>
      </c>
      <c r="E590">
        <f>[1]LISTADO_OTS!D590</f>
        <v>0</v>
      </c>
      <c r="F590">
        <f>[1]LISTADO_OTS!Q590</f>
        <v>1</v>
      </c>
      <c r="G590">
        <f>[1]LISTADO_OTS!R590</f>
        <v>1</v>
      </c>
      <c r="H590" t="str">
        <f>[1]LISTADO_OTS!H590</f>
        <v>Comprobar presión en contador en C/Sandolla n18 en Artziniega</v>
      </c>
      <c r="I590" t="str">
        <f>[1]LISTADO_OTS!I590</f>
        <v>Comprobar presión en contador en C/Sandolla n18 en Artziniega</v>
      </c>
      <c r="J590" s="1">
        <f>[1]LISTADO_OTS!F590</f>
        <v>45943</v>
      </c>
      <c r="K590" s="1">
        <f>[1]LISTADO_OTS!G590</f>
        <v>45943</v>
      </c>
      <c r="L590">
        <f>[1]LISTADO_OTS!M590</f>
        <v>43.124040000000001</v>
      </c>
      <c r="M590">
        <f>[1]LISTADO_OTS!N590</f>
        <v>-3.1347900000000002</v>
      </c>
      <c r="U590" t="b">
        <f>[1]LISTADO_OTS!O590</f>
        <v>1</v>
      </c>
      <c r="V590" t="str">
        <f>[1]LISTADO_OTS!J590</f>
        <v>Artziniega</v>
      </c>
      <c r="W590">
        <f>[1]LISTADO_OTS!R590</f>
        <v>1</v>
      </c>
      <c r="X590" t="str">
        <f>[1]LISTADO_OTS!P590</f>
        <v>MIGUEL KERMAN</v>
      </c>
      <c r="Y590">
        <v>1</v>
      </c>
      <c r="Z590">
        <f>[1]LISTADO_OTS!S590</f>
        <v>3</v>
      </c>
    </row>
    <row r="591" spans="1:26" x14ac:dyDescent="0.4">
      <c r="A591">
        <v>590</v>
      </c>
      <c r="B591" t="str">
        <f>[1]LISTADO_OTS!E591</f>
        <v>OT/0410</v>
      </c>
      <c r="C591">
        <f>VLOOKUP([1]LISTADO_OTS!B591,[1]Redes!$C$1:$E$5,3,FALSE)</f>
        <v>3</v>
      </c>
      <c r="D591">
        <f>[1]LISTADO_OTS!C591</f>
        <v>1</v>
      </c>
      <c r="E591">
        <f>[1]LISTADO_OTS!D591</f>
        <v>0</v>
      </c>
      <c r="F591">
        <f>[1]LISTADO_OTS!Q591</f>
        <v>1</v>
      </c>
      <c r="G591">
        <f>[1]LISTADO_OTS!R591</f>
        <v>1</v>
      </c>
      <c r="H591" t="str">
        <f>[1]LISTADO_OTS!H591</f>
        <v>Fuga en C/Dionisio Aldama n2 en Amurrio</v>
      </c>
      <c r="I591" t="str">
        <f>[1]LISTADO_OTS!I591</f>
        <v>Fuga en C/Dionisio Aldama n2 en Amurrio</v>
      </c>
      <c r="J591" s="1">
        <f>[1]LISTADO_OTS!F591</f>
        <v>45943</v>
      </c>
      <c r="K591" s="1">
        <f>[1]LISTADO_OTS!G591</f>
        <v>45943</v>
      </c>
      <c r="L591">
        <f>[1]LISTADO_OTS!M591</f>
        <v>43.050866999999997</v>
      </c>
      <c r="M591">
        <f>[1]LISTADO_OTS!N591</f>
        <v>-3.000813</v>
      </c>
      <c r="U591" t="b">
        <f>[1]LISTADO_OTS!O591</f>
        <v>1</v>
      </c>
      <c r="V591" t="str">
        <f>[1]LISTADO_OTS!J591</f>
        <v>Amurrio</v>
      </c>
      <c r="W591">
        <f>[1]LISTADO_OTS!R591</f>
        <v>1</v>
      </c>
      <c r="X591" t="str">
        <f>[1]LISTADO_OTS!P591</f>
        <v>MIGUEL KERMAN</v>
      </c>
      <c r="Y591">
        <v>1</v>
      </c>
      <c r="Z591">
        <f>[1]LISTADO_OTS!S591</f>
        <v>1</v>
      </c>
    </row>
    <row r="592" spans="1:26" x14ac:dyDescent="0.4">
      <c r="A592">
        <v>591</v>
      </c>
      <c r="B592" t="str">
        <f>[1]LISTADO_OTS!E592</f>
        <v>OT/0411</v>
      </c>
      <c r="C592">
        <f>VLOOKUP([1]LISTADO_OTS!B592,[1]Redes!$C$1:$E$5,3,FALSE)</f>
        <v>1</v>
      </c>
      <c r="D592">
        <f>[1]LISTADO_OTS!C592</f>
        <v>1</v>
      </c>
      <c r="E592">
        <f>[1]LISTADO_OTS!D592</f>
        <v>0</v>
      </c>
      <c r="F592">
        <f>[1]LISTADO_OTS!Q592</f>
        <v>1</v>
      </c>
      <c r="G592">
        <f>[1]LISTADO_OTS!R592</f>
        <v>1</v>
      </c>
      <c r="H592" t="str">
        <f>[1]LISTADO_OTS!H592</f>
        <v>Fuga en Lejarzo</v>
      </c>
      <c r="I592" t="str">
        <f>[1]LISTADO_OTS!I592</f>
        <v>Fuga en Lejarzo</v>
      </c>
      <c r="J592" s="1">
        <f>[1]LISTADO_OTS!F592</f>
        <v>45943</v>
      </c>
      <c r="K592" s="1">
        <f>[1]LISTADO_OTS!G592</f>
        <v>45944</v>
      </c>
      <c r="L592">
        <f>[1]LISTADO_OTS!M592</f>
        <v>43.056569000000003</v>
      </c>
      <c r="M592">
        <f>[1]LISTADO_OTS!N592</f>
        <v>-3.12121</v>
      </c>
      <c r="U592" t="b">
        <f>[1]LISTADO_OTS!O592</f>
        <v>1</v>
      </c>
      <c r="V592" t="str">
        <f>[1]LISTADO_OTS!J592</f>
        <v>Lejarzo</v>
      </c>
      <c r="W592">
        <f>[1]LISTADO_OTS!R592</f>
        <v>1</v>
      </c>
      <c r="X592" t="str">
        <f>[1]LISTADO_OTS!P592</f>
        <v>MIGUEL KERMAN</v>
      </c>
      <c r="Y592">
        <v>1</v>
      </c>
      <c r="Z592">
        <f>[1]LISTADO_OTS!S592</f>
        <v>1</v>
      </c>
    </row>
    <row r="593" spans="1:26" x14ac:dyDescent="0.4">
      <c r="A593">
        <v>592</v>
      </c>
      <c r="B593" t="str">
        <f>[1]LISTADO_OTS!E593</f>
        <v>OT/0412</v>
      </c>
      <c r="C593">
        <f>VLOOKUP([1]LISTADO_OTS!B593,[1]Redes!$C$1:$E$5,3,FALSE)</f>
        <v>3</v>
      </c>
      <c r="D593">
        <f>[1]LISTADO_OTS!C593</f>
        <v>1</v>
      </c>
      <c r="E593">
        <f>[1]LISTADO_OTS!D593</f>
        <v>0</v>
      </c>
      <c r="F593">
        <f>[1]LISTADO_OTS!Q593</f>
        <v>1</v>
      </c>
      <c r="G593">
        <f>[1]LISTADO_OTS!R593</f>
        <v>1</v>
      </c>
      <c r="H593" t="str">
        <f>[1]LISTADO_OTS!H593</f>
        <v>Fuga en Respaldiza (Landeta)</v>
      </c>
      <c r="I593" t="str">
        <f>[1]LISTADO_OTS!I593</f>
        <v>Fuga en Respaldiza (Landeta)</v>
      </c>
      <c r="J593" s="1">
        <f>[1]LISTADO_OTS!F593</f>
        <v>45943</v>
      </c>
      <c r="K593" s="1">
        <f>[1]LISTADO_OTS!G593</f>
        <v>45944</v>
      </c>
      <c r="L593">
        <f>[1]LISTADO_OTS!M593</f>
        <v>43.071173000000002</v>
      </c>
      <c r="M593">
        <f>[1]LISTADO_OTS!N593</f>
        <v>-3.0356589999999999</v>
      </c>
      <c r="U593" t="b">
        <f>[1]LISTADO_OTS!O593</f>
        <v>1</v>
      </c>
      <c r="V593" t="str">
        <f>[1]LISTADO_OTS!J593</f>
        <v>Respaldiza</v>
      </c>
      <c r="W593">
        <f>[1]LISTADO_OTS!R593</f>
        <v>1</v>
      </c>
      <c r="X593" t="str">
        <f>[1]LISTADO_OTS!P593</f>
        <v>V</v>
      </c>
      <c r="Y593">
        <v>1</v>
      </c>
      <c r="Z593">
        <f>[1]LISTADO_OTS!S593</f>
        <v>1</v>
      </c>
    </row>
    <row r="594" spans="1:26" x14ac:dyDescent="0.4">
      <c r="A594">
        <v>593</v>
      </c>
      <c r="B594" t="str">
        <f>[1]LISTADO_OTS!E594</f>
        <v>OT/0413</v>
      </c>
      <c r="C594">
        <f>VLOOKUP([1]LISTADO_OTS!B594,[1]Redes!$C$1:$E$5,3,FALSE)</f>
        <v>3</v>
      </c>
      <c r="D594">
        <f>[1]LISTADO_OTS!C594</f>
        <v>1</v>
      </c>
      <c r="E594">
        <f>[1]LISTADO_OTS!D594</f>
        <v>0</v>
      </c>
      <c r="F594">
        <f>[1]LISTADO_OTS!Q594</f>
        <v>1</v>
      </c>
      <c r="G594">
        <f>[1]LISTADO_OTS!R594</f>
        <v>1</v>
      </c>
      <c r="H594" t="str">
        <f>[1]LISTADO_OTS!H594</f>
        <v>Fuga en Larraño en Llodio</v>
      </c>
      <c r="I594" t="str">
        <f>[1]LISTADO_OTS!I594</f>
        <v>Fuga en C/ Larraño en Llodio</v>
      </c>
      <c r="J594" s="1">
        <f>[1]LISTADO_OTS!F594</f>
        <v>45943</v>
      </c>
      <c r="K594" s="1">
        <f>[1]LISTADO_OTS!G594</f>
        <v>45944</v>
      </c>
      <c r="L594">
        <f>[1]LISTADO_OTS!M594</f>
        <v>43.141288000000003</v>
      </c>
      <c r="M594">
        <f>[1]LISTADO_OTS!N594</f>
        <v>-2.970825</v>
      </c>
      <c r="U594" t="b">
        <f>[1]LISTADO_OTS!O594</f>
        <v>1</v>
      </c>
      <c r="V594" t="str">
        <f>[1]LISTADO_OTS!J594</f>
        <v>Llodio</v>
      </c>
      <c r="W594">
        <f>[1]LISTADO_OTS!R594</f>
        <v>1</v>
      </c>
      <c r="X594" t="str">
        <f>[1]LISTADO_OTS!P594</f>
        <v>V</v>
      </c>
      <c r="Y594">
        <v>1</v>
      </c>
      <c r="Z594">
        <f>[1]LISTADO_OTS!S594</f>
        <v>1</v>
      </c>
    </row>
    <row r="595" spans="1:26" x14ac:dyDescent="0.4">
      <c r="A595">
        <v>594</v>
      </c>
      <c r="B595" t="str">
        <f>[1]LISTADO_OTS!E595</f>
        <v>TP/0277</v>
      </c>
      <c r="C595">
        <f>VLOOKUP([1]LISTADO_OTS!B595,[1]Redes!$C$1:$E$5,3,FALSE)</f>
        <v>3</v>
      </c>
      <c r="D595">
        <f>[1]LISTADO_OTS!C595</f>
        <v>2</v>
      </c>
      <c r="E595">
        <f>[1]LISTADO_OTS!D595</f>
        <v>11</v>
      </c>
      <c r="F595">
        <f>[1]LISTADO_OTS!Q595</f>
        <v>3</v>
      </c>
      <c r="G595">
        <f>[1]LISTADO_OTS!R595</f>
        <v>3</v>
      </c>
      <c r="H595" t="str">
        <f>[1]LISTADO_OTS!H595</f>
        <v>Lectura en ruta de contadores Sectoriales en cuencas mediterraneas</v>
      </c>
      <c r="I595" t="str">
        <f>[1]LISTADO_OTS!I595</f>
        <v>Lectura en ruta de contadores Sectoriales en cuencas mediterraneas</v>
      </c>
      <c r="J595" s="1">
        <f>[1]LISTADO_OTS!F595</f>
        <v>45943</v>
      </c>
      <c r="K595" s="1">
        <f>[1]LISTADO_OTS!G595</f>
        <v>45943</v>
      </c>
      <c r="L595" t="str">
        <f>[1]LISTADO_OTS!M595</f>
        <v/>
      </c>
      <c r="M595" t="str">
        <f>[1]LISTADO_OTS!N595</f>
        <v/>
      </c>
      <c r="U595" t="b">
        <f>[1]LISTADO_OTS!O595</f>
        <v>1</v>
      </c>
      <c r="V595" t="str">
        <f>[1]LISTADO_OTS!J595</f>
        <v>Cuencas mediterraneas</v>
      </c>
      <c r="W595">
        <f>[1]LISTADO_OTS!R595</f>
        <v>3</v>
      </c>
      <c r="X595" t="str">
        <f>[1]LISTADO_OTS!P595</f>
        <v>ENEKO</v>
      </c>
      <c r="Y595">
        <v>1</v>
      </c>
      <c r="Z595">
        <f>[1]LISTADO_OTS!S595</f>
        <v>0</v>
      </c>
    </row>
    <row r="596" spans="1:26" x14ac:dyDescent="0.4">
      <c r="A596">
        <v>595</v>
      </c>
      <c r="B596" t="str">
        <f>[1]LISTADO_OTS!E596</f>
        <v>OT/0407</v>
      </c>
      <c r="C596">
        <f>VLOOKUP([1]LISTADO_OTS!B596,[1]Redes!$C$1:$E$5,3,FALSE)</f>
        <v>3</v>
      </c>
      <c r="D596">
        <f>[1]LISTADO_OTS!C596</f>
        <v>1</v>
      </c>
      <c r="E596">
        <f>[1]LISTADO_OTS!D596</f>
        <v>0</v>
      </c>
      <c r="F596">
        <f>[1]LISTADO_OTS!Q596</f>
        <v>1</v>
      </c>
      <c r="G596">
        <f>[1]LISTADO_OTS!R596</f>
        <v>1</v>
      </c>
      <c r="H596" t="str">
        <f>[1]LISTADO_OTS!H596</f>
        <v>Reparación de fuga en Erbi</v>
      </c>
      <c r="I596" t="str">
        <f>[1]LISTADO_OTS!I596</f>
        <v>Reparación de fuga en Erbi</v>
      </c>
      <c r="J596" s="1">
        <f>[1]LISTADO_OTS!F596</f>
        <v>45944</v>
      </c>
      <c r="K596" s="1">
        <f>[1]LISTADO_OTS!G596</f>
        <v>45947</v>
      </c>
      <c r="L596">
        <f>[1]LISTADO_OTS!M596</f>
        <v>43.074553000000002</v>
      </c>
      <c r="M596">
        <f>[1]LISTADO_OTS!N596</f>
        <v>-3.1133030000000002</v>
      </c>
      <c r="U596" t="b">
        <f>[1]LISTADO_OTS!O596</f>
        <v>1</v>
      </c>
      <c r="V596" t="str">
        <f>[1]LISTADO_OTS!J596</f>
        <v>Erbi</v>
      </c>
      <c r="W596">
        <f>[1]LISTADO_OTS!R596</f>
        <v>1</v>
      </c>
      <c r="X596" t="str">
        <f>[1]LISTADO_OTS!P596</f>
        <v>KERMAN</v>
      </c>
      <c r="Y596">
        <v>1</v>
      </c>
      <c r="Z596">
        <f>[1]LISTADO_OTS!S596</f>
        <v>1</v>
      </c>
    </row>
    <row r="597" spans="1:26" x14ac:dyDescent="0.4">
      <c r="A597">
        <v>596</v>
      </c>
      <c r="B597" t="str">
        <f>[1]LISTADO_OTS!E597</f>
        <v>OT/0414</v>
      </c>
      <c r="C597">
        <f>VLOOKUP([1]LISTADO_OTS!B597,[1]Redes!$C$1:$E$5,3,FALSE)</f>
        <v>3</v>
      </c>
      <c r="D597">
        <f>[1]LISTADO_OTS!C597</f>
        <v>1</v>
      </c>
      <c r="E597">
        <f>[1]LISTADO_OTS!D597</f>
        <v>0</v>
      </c>
      <c r="F597">
        <f>[1]LISTADO_OTS!Q597</f>
        <v>3</v>
      </c>
      <c r="G597">
        <f>[1]LISTADO_OTS!R597</f>
        <v>3</v>
      </c>
      <c r="H597" t="str">
        <f>[1]LISTADO_OTS!H597</f>
        <v>Aviso abonado sin agua C/Arramel n1 (Agurain)</v>
      </c>
      <c r="I597" t="str">
        <f>[1]LISTADO_OTS!I597</f>
        <v>Aviso abonado sin agua C/Arramel n1 (Agurain)</v>
      </c>
      <c r="J597" s="1">
        <f>[1]LISTADO_OTS!F597</f>
        <v>45939</v>
      </c>
      <c r="K597" s="1">
        <f>[1]LISTADO_OTS!G597</f>
        <v>45939</v>
      </c>
      <c r="L597">
        <f>[1]LISTADO_OTS!M597</f>
        <v>42.849800999999999</v>
      </c>
      <c r="M597">
        <f>[1]LISTADO_OTS!N597</f>
        <v>-2.38849</v>
      </c>
      <c r="U597" t="b">
        <f>[1]LISTADO_OTS!O597</f>
        <v>1</v>
      </c>
      <c r="V597" t="str">
        <f>[1]LISTADO_OTS!J597</f>
        <v>Agurain</v>
      </c>
      <c r="W597">
        <f>[1]LISTADO_OTS!R597</f>
        <v>3</v>
      </c>
      <c r="X597" t="str">
        <f>[1]LISTADO_OTS!P597</f>
        <v>EDU</v>
      </c>
      <c r="Y597">
        <v>1</v>
      </c>
      <c r="Z597">
        <f>[1]LISTADO_OTS!S597</f>
        <v>3</v>
      </c>
    </row>
    <row r="598" spans="1:26" x14ac:dyDescent="0.4">
      <c r="A598">
        <v>597</v>
      </c>
      <c r="B598" t="str">
        <f>[1]LISTADO_OTS!E598</f>
        <v>TP/0278</v>
      </c>
      <c r="C598">
        <f>VLOOKUP([1]LISTADO_OTS!B598,[1]Redes!$C$1:$E$5,3,FALSE)</f>
        <v>3</v>
      </c>
      <c r="D598">
        <f>[1]LISTADO_OTS!C598</f>
        <v>2</v>
      </c>
      <c r="E598">
        <f>[1]LISTADO_OTS!D598</f>
        <v>7</v>
      </c>
      <c r="F598">
        <f>[1]LISTADO_OTS!Q598</f>
        <v>1</v>
      </c>
      <c r="G598">
        <f>[1]LISTADO_OTS!R598</f>
        <v>1</v>
      </c>
      <c r="H598" t="str">
        <f>[1]LISTADO_OTS!H598</f>
        <v>Localización de fugas abastecimiento en Sector Arza (Calle Gardia)</v>
      </c>
      <c r="I598" t="str">
        <f>[1]LISTADO_OTS!I598</f>
        <v>Localización de fugas abastecimiento en Sector Arza (Calle Gardia)</v>
      </c>
      <c r="J598" s="1">
        <f>[1]LISTADO_OTS!F598</f>
        <v>45940</v>
      </c>
      <c r="K598" s="1">
        <f>[1]LISTADO_OTS!G598</f>
        <v>45940</v>
      </c>
      <c r="L598">
        <f>[1]LISTADO_OTS!M598</f>
        <v>43.133631000000001</v>
      </c>
      <c r="M598">
        <f>[1]LISTADO_OTS!N598</f>
        <v>-2.9714179999999999</v>
      </c>
      <c r="U598" t="b">
        <f>[1]LISTADO_OTS!O598</f>
        <v>1</v>
      </c>
      <c r="V598" t="str">
        <f>[1]LISTADO_OTS!J598</f>
        <v>Llodio</v>
      </c>
      <c r="W598">
        <f>[1]LISTADO_OTS!R598</f>
        <v>1</v>
      </c>
      <c r="X598" t="str">
        <f>[1]LISTADO_OTS!P598</f>
        <v>TOMAS</v>
      </c>
      <c r="Y598">
        <v>1</v>
      </c>
      <c r="Z598">
        <f>[1]LISTADO_OTS!S598</f>
        <v>1</v>
      </c>
    </row>
    <row r="599" spans="1:26" x14ac:dyDescent="0.4">
      <c r="A599">
        <v>598</v>
      </c>
      <c r="B599" t="str">
        <f>[1]LISTADO_OTS!E599</f>
        <v>TP/0279</v>
      </c>
      <c r="C599">
        <f>VLOOKUP([1]LISTADO_OTS!B599,[1]Redes!$C$1:$E$5,3,FALSE)</f>
        <v>3</v>
      </c>
      <c r="D599">
        <f>[1]LISTADO_OTS!C599</f>
        <v>2</v>
      </c>
      <c r="E599">
        <f>[1]LISTADO_OTS!D599</f>
        <v>13</v>
      </c>
      <c r="F599">
        <f>[1]LISTADO_OTS!Q599</f>
        <v>1</v>
      </c>
      <c r="G599">
        <f>[1]LISTADO_OTS!R599</f>
        <v>1</v>
      </c>
      <c r="H599" t="str">
        <f>[1]LISTADO_OTS!H599</f>
        <v>Asistencia técnica a obra municipal renovación anillo fibrocemento en P.Lamuza</v>
      </c>
      <c r="I599" t="str">
        <f>[1]LISTADO_OTS!I599</f>
        <v>Asistencia técnica a obra municipal renovación anillo fibrocemento en P.Lamuza</v>
      </c>
      <c r="J599" s="1">
        <f>[1]LISTADO_OTS!F599</f>
        <v>45940</v>
      </c>
      <c r="K599" s="1">
        <f>[1]LISTADO_OTS!G599</f>
        <v>45953</v>
      </c>
      <c r="L599">
        <f>[1]LISTADO_OTS!M599</f>
        <v>43.144202999999997</v>
      </c>
      <c r="M599">
        <f>[1]LISTADO_OTS!N599</f>
        <v>-2.9643570000000001</v>
      </c>
      <c r="U599" t="b">
        <f>[1]LISTADO_OTS!O599</f>
        <v>1</v>
      </c>
      <c r="V599" t="str">
        <f>[1]LISTADO_OTS!J599</f>
        <v>Llodio</v>
      </c>
      <c r="W599">
        <f>[1]LISTADO_OTS!R599</f>
        <v>1</v>
      </c>
      <c r="X599" t="str">
        <f>[1]LISTADO_OTS!P599</f>
        <v>TOMAS</v>
      </c>
      <c r="Y599">
        <v>1</v>
      </c>
      <c r="Z599">
        <f>[1]LISTADO_OTS!S599</f>
        <v>0</v>
      </c>
    </row>
    <row r="600" spans="1:26" x14ac:dyDescent="0.4">
      <c r="A600">
        <v>599</v>
      </c>
      <c r="B600" t="str">
        <f>[1]LISTADO_OTS!E600</f>
        <v>TP/0280</v>
      </c>
      <c r="C600">
        <f>VLOOKUP([1]LISTADO_OTS!B600,[1]Redes!$C$1:$E$5,3,FALSE)</f>
        <v>3</v>
      </c>
      <c r="D600">
        <f>[1]LISTADO_OTS!C600</f>
        <v>2</v>
      </c>
      <c r="E600">
        <f>[1]LISTADO_OTS!D600</f>
        <v>7</v>
      </c>
      <c r="F600">
        <f>[1]LISTADO_OTS!Q600</f>
        <v>1</v>
      </c>
      <c r="G600">
        <f>[1]LISTADO_OTS!R600</f>
        <v>1</v>
      </c>
      <c r="H600" t="str">
        <f>[1]LISTADO_OTS!H600</f>
        <v>Localización de fugas en sector Katuxa Ibarra (Llodio)</v>
      </c>
      <c r="I600" t="str">
        <f>[1]LISTADO_OTS!I600</f>
        <v>Localización de fugas en sector Katuxa Ibarra (Llodio)</v>
      </c>
      <c r="J600" s="1">
        <f>[1]LISTADO_OTS!F600</f>
        <v>45940</v>
      </c>
      <c r="K600" s="1">
        <f>[1]LISTADO_OTS!G600</f>
        <v>45940</v>
      </c>
      <c r="L600">
        <f>[1]LISTADO_OTS!M600</f>
        <v>43.133299000000001</v>
      </c>
      <c r="M600">
        <f>[1]LISTADO_OTS!N600</f>
        <v>-2.9712879999999999</v>
      </c>
      <c r="U600" t="b">
        <f>[1]LISTADO_OTS!O600</f>
        <v>1</v>
      </c>
      <c r="V600" t="str">
        <f>[1]LISTADO_OTS!J600</f>
        <v>Llodio</v>
      </c>
      <c r="W600">
        <f>[1]LISTADO_OTS!R600</f>
        <v>1</v>
      </c>
      <c r="X600" t="str">
        <f>[1]LISTADO_OTS!P600</f>
        <v>TOMAS</v>
      </c>
      <c r="Y600">
        <v>1</v>
      </c>
      <c r="Z600">
        <f>[1]LISTADO_OTS!S600</f>
        <v>1</v>
      </c>
    </row>
    <row r="601" spans="1:26" x14ac:dyDescent="0.4">
      <c r="A601">
        <v>600</v>
      </c>
      <c r="B601" t="str">
        <f>[1]LISTADO_OTS!E601</f>
        <v>TP/0281</v>
      </c>
      <c r="C601">
        <f>VLOOKUP([1]LISTADO_OTS!B601,[1]Redes!$C$1:$E$5,3,FALSE)</f>
        <v>3</v>
      </c>
      <c r="D601">
        <f>[1]LISTADO_OTS!C601</f>
        <v>2</v>
      </c>
      <c r="E601">
        <f>[1]LISTADO_OTS!D601</f>
        <v>13</v>
      </c>
      <c r="F601">
        <f>[1]LISTADO_OTS!Q601</f>
        <v>1</v>
      </c>
      <c r="G601">
        <f>[1]LISTADO_OTS!R601</f>
        <v>1</v>
      </c>
      <c r="H601" t="str">
        <f>[1]LISTADO_OTS!H601</f>
        <v>Asistencia técnica en Maroño n2</v>
      </c>
      <c r="I601" t="str">
        <f>[1]LISTADO_OTS!I601</f>
        <v>Asistencia técnica en Maroño n2</v>
      </c>
      <c r="J601" s="1">
        <f>[1]LISTADO_OTS!F601</f>
        <v>45940</v>
      </c>
      <c r="K601" s="1">
        <f>[1]LISTADO_OTS!G601</f>
        <v>45940</v>
      </c>
      <c r="L601">
        <f>[1]LISTADO_OTS!M601</f>
        <v>43.043241999999999</v>
      </c>
      <c r="M601">
        <f>[1]LISTADO_OTS!N601</f>
        <v>-3.0644200000000001</v>
      </c>
      <c r="U601" t="b">
        <f>[1]LISTADO_OTS!O601</f>
        <v>1</v>
      </c>
      <c r="V601" t="str">
        <f>[1]LISTADO_OTS!J601</f>
        <v>Maroño</v>
      </c>
      <c r="W601">
        <f>[1]LISTADO_OTS!R601</f>
        <v>1</v>
      </c>
      <c r="X601" t="str">
        <f>[1]LISTADO_OTS!P601</f>
        <v>TOMAS</v>
      </c>
      <c r="Y601">
        <v>1</v>
      </c>
      <c r="Z601">
        <f>[1]LISTADO_OTS!S601</f>
        <v>0</v>
      </c>
    </row>
    <row r="602" spans="1:26" x14ac:dyDescent="0.4">
      <c r="A602">
        <v>601</v>
      </c>
      <c r="B602" t="str">
        <f>[1]LISTADO_OTS!E602</f>
        <v>TP/0282</v>
      </c>
      <c r="C602">
        <f>VLOOKUP([1]LISTADO_OTS!B602,[1]Redes!$C$1:$E$5,3,FALSE)</f>
        <v>3</v>
      </c>
      <c r="D602">
        <f>[1]LISTADO_OTS!C602</f>
        <v>2</v>
      </c>
      <c r="E602">
        <f>[1]LISTADO_OTS!D602</f>
        <v>4</v>
      </c>
      <c r="F602">
        <f>[1]LISTADO_OTS!Q602</f>
        <v>5</v>
      </c>
      <c r="G602">
        <f>[1]LISTADO_OTS!R602</f>
        <v>5</v>
      </c>
      <c r="H602" t="str">
        <f>[1]LISTADO_OTS!H602</f>
        <v>Digitalización de redes abastecimiento en Pobes</v>
      </c>
      <c r="I602" t="str">
        <f>[1]LISTADO_OTS!I602</f>
        <v>Digitalización de redes abastecimiento en Pobes</v>
      </c>
      <c r="J602" s="1">
        <f>[1]LISTADO_OTS!F602</f>
        <v>45943</v>
      </c>
      <c r="K602" s="1">
        <f>[1]LISTADO_OTS!G602</f>
        <v>45943</v>
      </c>
      <c r="L602">
        <f>[1]LISTADO_OTS!M602</f>
        <v>42.801954000000002</v>
      </c>
      <c r="M602">
        <f>[1]LISTADO_OTS!N602</f>
        <v>-2.911629</v>
      </c>
      <c r="U602" t="b">
        <f>[1]LISTADO_OTS!O602</f>
        <v>1</v>
      </c>
      <c r="V602" t="str">
        <f>[1]LISTADO_OTS!J602</f>
        <v>Pobes</v>
      </c>
      <c r="W602">
        <f>[1]LISTADO_OTS!R602</f>
        <v>5</v>
      </c>
      <c r="X602" t="str">
        <f>[1]LISTADO_OTS!P602</f>
        <v>TOMAS</v>
      </c>
      <c r="Y602">
        <v>1</v>
      </c>
      <c r="Z602">
        <f>[1]LISTADO_OTS!S602</f>
        <v>0</v>
      </c>
    </row>
    <row r="603" spans="1:26" x14ac:dyDescent="0.4">
      <c r="A603">
        <v>602</v>
      </c>
      <c r="B603" t="str">
        <f>[1]LISTADO_OTS!E603</f>
        <v>TP/0283</v>
      </c>
      <c r="C603">
        <f>VLOOKUP([1]LISTADO_OTS!B603,[1]Redes!$C$1:$E$5,3,FALSE)</f>
        <v>3</v>
      </c>
      <c r="D603">
        <f>[1]LISTADO_OTS!C603</f>
        <v>2</v>
      </c>
      <c r="E603">
        <f>[1]LISTADO_OTS!D603</f>
        <v>7</v>
      </c>
      <c r="F603">
        <f>[1]LISTADO_OTS!Q603</f>
        <v>1</v>
      </c>
      <c r="G603">
        <f>[1]LISTADO_OTS!R603</f>
        <v>1</v>
      </c>
      <c r="H603" t="str">
        <f>[1]LISTADO_OTS!H603</f>
        <v>Localización de fugas en Sector Ugarte (Llodio)</v>
      </c>
      <c r="I603" t="str">
        <f>[1]LISTADO_OTS!I603</f>
        <v>Localización de fugas en Sector Ugarte (Llodio)</v>
      </c>
      <c r="J603" s="1">
        <f>[1]LISTADO_OTS!F603</f>
        <v>45944</v>
      </c>
      <c r="K603" s="1">
        <f>[1]LISTADO_OTS!G603</f>
        <v>45944</v>
      </c>
      <c r="L603">
        <f>[1]LISTADO_OTS!M603</f>
        <v>43.146500000000003</v>
      </c>
      <c r="M603">
        <f>[1]LISTADO_OTS!N603</f>
        <v>-2.9674079999999998</v>
      </c>
      <c r="U603" t="b">
        <f>[1]LISTADO_OTS!O603</f>
        <v>1</v>
      </c>
      <c r="V603" t="str">
        <f>[1]LISTADO_OTS!J603</f>
        <v>Llodio</v>
      </c>
      <c r="W603">
        <f>[1]LISTADO_OTS!R603</f>
        <v>1</v>
      </c>
      <c r="X603" t="str">
        <f>[1]LISTADO_OTS!P603</f>
        <v>TOMAS</v>
      </c>
      <c r="Y603">
        <v>1</v>
      </c>
      <c r="Z603">
        <f>[1]LISTADO_OTS!S603</f>
        <v>1</v>
      </c>
    </row>
    <row r="604" spans="1:26" x14ac:dyDescent="0.4">
      <c r="A604">
        <v>603</v>
      </c>
      <c r="B604" t="str">
        <f>[1]LISTADO_OTS!E604</f>
        <v>TP/0284</v>
      </c>
      <c r="C604">
        <f>VLOOKUP([1]LISTADO_OTS!B604,[1]Redes!$C$1:$E$5,3,FALSE)</f>
        <v>3</v>
      </c>
      <c r="D604">
        <f>[1]LISTADO_OTS!C604</f>
        <v>2</v>
      </c>
      <c r="E604">
        <f>[1]LISTADO_OTS!D604</f>
        <v>13</v>
      </c>
      <c r="F604">
        <f>[1]LISTADO_OTS!Q604</f>
        <v>1</v>
      </c>
      <c r="G604">
        <f>[1]LISTADO_OTS!R604</f>
        <v>1</v>
      </c>
      <c r="H604" t="str">
        <f>[1]LISTADO_OTS!H604</f>
        <v>Asistencia técnica a obra municipal Colegio Lateorro (Llodio)</v>
      </c>
      <c r="I604" t="str">
        <f>[1]LISTADO_OTS!I604</f>
        <v>Asistencia técnica a obra municipal Colegio Lateorro (Llodio)</v>
      </c>
      <c r="J604" s="1">
        <f>[1]LISTADO_OTS!F604</f>
        <v>45944</v>
      </c>
      <c r="K604" s="1">
        <f>[1]LISTADO_OTS!G604</f>
        <v>45944</v>
      </c>
      <c r="L604">
        <f>[1]LISTADO_OTS!M604</f>
        <v>43.138480000000001</v>
      </c>
      <c r="M604">
        <f>[1]LISTADO_OTS!N604</f>
        <v>-2.9591530000000001</v>
      </c>
      <c r="U604" t="b">
        <f>[1]LISTADO_OTS!O604</f>
        <v>1</v>
      </c>
      <c r="V604" t="str">
        <f>[1]LISTADO_OTS!J604</f>
        <v>Llodio</v>
      </c>
      <c r="W604">
        <f>[1]LISTADO_OTS!R604</f>
        <v>1</v>
      </c>
      <c r="X604" t="str">
        <f>[1]LISTADO_OTS!P604</f>
        <v>TOMAS</v>
      </c>
      <c r="Y604">
        <v>1</v>
      </c>
      <c r="Z604">
        <f>[1]LISTADO_OTS!S604</f>
        <v>0</v>
      </c>
    </row>
    <row r="605" spans="1:26" x14ac:dyDescent="0.4">
      <c r="A605">
        <v>604</v>
      </c>
      <c r="B605" t="str">
        <f>[1]LISTADO_OTS!E605</f>
        <v>TP/0285</v>
      </c>
      <c r="C605">
        <f>VLOOKUP([1]LISTADO_OTS!B605,[1]Redes!$C$1:$E$5,3,FALSE)</f>
        <v>3</v>
      </c>
      <c r="D605">
        <f>[1]LISTADO_OTS!C605</f>
        <v>2</v>
      </c>
      <c r="E605">
        <f>[1]LISTADO_OTS!D605</f>
        <v>13</v>
      </c>
      <c r="F605">
        <f>[1]LISTADO_OTS!Q605</f>
        <v>1</v>
      </c>
      <c r="G605">
        <f>[1]LISTADO_OTS!R605</f>
        <v>1</v>
      </c>
      <c r="H605" t="str">
        <f>[1]LISTADO_OTS!H605</f>
        <v>Asistencia técnica a obra en Maroño</v>
      </c>
      <c r="I605" t="str">
        <f>[1]LISTADO_OTS!I605</f>
        <v>Asistencia técnica a obra en Maroño</v>
      </c>
      <c r="J605" s="1">
        <f>[1]LISTADO_OTS!F605</f>
        <v>45944</v>
      </c>
      <c r="K605" s="1">
        <f>[1]LISTADO_OTS!G605</f>
        <v>45944</v>
      </c>
      <c r="L605">
        <f>[1]LISTADO_OTS!M605</f>
        <v>43.033358</v>
      </c>
      <c r="M605">
        <f>[1]LISTADO_OTS!N605</f>
        <v>-3.0736819999999998</v>
      </c>
      <c r="U605" t="b">
        <f>[1]LISTADO_OTS!O605</f>
        <v>1</v>
      </c>
      <c r="V605" t="str">
        <f>[1]LISTADO_OTS!J605</f>
        <v>Maroño</v>
      </c>
      <c r="W605">
        <f>[1]LISTADO_OTS!R605</f>
        <v>1</v>
      </c>
      <c r="X605" t="str">
        <f>[1]LISTADO_OTS!P605</f>
        <v>TOMAS</v>
      </c>
      <c r="Y605">
        <v>1</v>
      </c>
      <c r="Z605">
        <f>[1]LISTADO_OTS!S605</f>
        <v>0</v>
      </c>
    </row>
    <row r="606" spans="1:26" x14ac:dyDescent="0.4">
      <c r="A606">
        <v>605</v>
      </c>
      <c r="B606" t="str">
        <f>[1]LISTADO_OTS!E606</f>
        <v>TP/0286</v>
      </c>
      <c r="C606">
        <f>VLOOKUP([1]LISTADO_OTS!B606,[1]Redes!$C$1:$E$5,3,FALSE)</f>
        <v>3</v>
      </c>
      <c r="D606">
        <f>[1]LISTADO_OTS!C606</f>
        <v>2</v>
      </c>
      <c r="E606">
        <f>[1]LISTADO_OTS!D606</f>
        <v>8</v>
      </c>
      <c r="F606">
        <f>[1]LISTADO_OTS!Q606</f>
        <v>1</v>
      </c>
      <c r="G606">
        <f>[1]LISTADO_OTS!R606</f>
        <v>1</v>
      </c>
      <c r="H606" t="str">
        <f>[1]LISTADO_OTS!H606</f>
        <v>Instalación contador para churrería (Amurrio)</v>
      </c>
      <c r="I606" t="str">
        <f>[1]LISTADO_OTS!I606</f>
        <v>Instalación contador para churrería (Amurrio)</v>
      </c>
      <c r="J606" s="1">
        <f>[1]LISTADO_OTS!F606</f>
        <v>45944</v>
      </c>
      <c r="K606" s="1">
        <f>[1]LISTADO_OTS!G606</f>
        <v>45944</v>
      </c>
      <c r="L606">
        <f>[1]LISTADO_OTS!M606</f>
        <v>43.052227000000002</v>
      </c>
      <c r="M606">
        <f>[1]LISTADO_OTS!N606</f>
        <v>-3.0011399999999999</v>
      </c>
      <c r="U606" t="b">
        <f>[1]LISTADO_OTS!O606</f>
        <v>1</v>
      </c>
      <c r="V606" t="str">
        <f>[1]LISTADO_OTS!J606</f>
        <v>Amurrio</v>
      </c>
      <c r="W606">
        <f>[1]LISTADO_OTS!R606</f>
        <v>1</v>
      </c>
      <c r="X606" t="str">
        <f>[1]LISTADO_OTS!P606</f>
        <v>KERMAN</v>
      </c>
      <c r="Y606">
        <v>1</v>
      </c>
      <c r="Z606">
        <f>[1]LISTADO_OTS!S606</f>
        <v>0</v>
      </c>
    </row>
    <row r="607" spans="1:26" x14ac:dyDescent="0.4">
      <c r="A607">
        <v>606</v>
      </c>
      <c r="B607" t="str">
        <f>[1]LISTADO_OTS!E607</f>
        <v>TP/0287</v>
      </c>
      <c r="C607">
        <f>VLOOKUP([1]LISTADO_OTS!B607,[1]Redes!$C$1:$E$5,3,FALSE)</f>
        <v>3</v>
      </c>
      <c r="D607">
        <f>[1]LISTADO_OTS!C607</f>
        <v>2</v>
      </c>
      <c r="E607">
        <f>[1]LISTADO_OTS!D607</f>
        <v>10</v>
      </c>
      <c r="F607">
        <f>[1]LISTADO_OTS!Q607</f>
        <v>5</v>
      </c>
      <c r="G607">
        <f>[1]LISTADO_OTS!R607</f>
        <v>5</v>
      </c>
      <c r="H607" t="str">
        <f>[1]LISTADO_OTS!H607</f>
        <v>Sustitución de contador C/Avenida Omecillo n5 (Villanañe)</v>
      </c>
      <c r="I607" t="str">
        <f>[1]LISTADO_OTS!I607</f>
        <v>Sustitución de contador C/Avenida Omecillo n5 (Villanañe)</v>
      </c>
      <c r="J607" s="1">
        <f>[1]LISTADO_OTS!F607</f>
        <v>45944</v>
      </c>
      <c r="K607" s="1">
        <f>[1]LISTADO_OTS!G607</f>
        <v>45944</v>
      </c>
      <c r="L607">
        <f>[1]LISTADO_OTS!M607</f>
        <v>42.836416999999997</v>
      </c>
      <c r="M607">
        <f>[1]LISTADO_OTS!N607</f>
        <v>-3.07138</v>
      </c>
      <c r="U607" t="b">
        <f>[1]LISTADO_OTS!O607</f>
        <v>1</v>
      </c>
      <c r="V607" t="str">
        <f>[1]LISTADO_OTS!J607</f>
        <v>Villanañe</v>
      </c>
      <c r="W607">
        <f>[1]LISTADO_OTS!R607</f>
        <v>5</v>
      </c>
      <c r="X607" t="str">
        <f>[1]LISTADO_OTS!P607</f>
        <v>KERMAN</v>
      </c>
      <c r="Y607">
        <v>1</v>
      </c>
      <c r="Z607">
        <f>[1]LISTADO_OTS!S607</f>
        <v>0</v>
      </c>
    </row>
    <row r="608" spans="1:26" x14ac:dyDescent="0.4">
      <c r="A608">
        <v>607</v>
      </c>
      <c r="B608" t="str">
        <f>[1]LISTADO_OTS!E608</f>
        <v>TP/0288</v>
      </c>
      <c r="C608">
        <f>VLOOKUP([1]LISTADO_OTS!B608,[1]Redes!$C$1:$E$5,3,FALSE)</f>
        <v>3</v>
      </c>
      <c r="D608">
        <f>[1]LISTADO_OTS!C608</f>
        <v>2</v>
      </c>
      <c r="E608">
        <f>[1]LISTADO_OTS!D608</f>
        <v>8</v>
      </c>
      <c r="F608">
        <f>[1]LISTADO_OTS!Q608</f>
        <v>1</v>
      </c>
      <c r="G608">
        <f>[1]LISTADO_OTS!R608</f>
        <v>1</v>
      </c>
      <c r="H608" t="str">
        <f>[1]LISTADO_OTS!H608</f>
        <v>Instalación de contador en churreria (caravana) en Amurrio</v>
      </c>
      <c r="I608" t="str">
        <f>[1]LISTADO_OTS!I608</f>
        <v>Instalación de contador en churreria (caravana) en Amurrio</v>
      </c>
      <c r="J608" s="1">
        <f>[1]LISTADO_OTS!F608</f>
        <v>45944</v>
      </c>
      <c r="K608" s="1">
        <f>[1]LISTADO_OTS!G608</f>
        <v>45944</v>
      </c>
      <c r="L608">
        <f>[1]LISTADO_OTS!M608</f>
        <v>43.055695</v>
      </c>
      <c r="M608">
        <f>[1]LISTADO_OTS!N608</f>
        <v>-3.004394</v>
      </c>
      <c r="U608" t="b">
        <f>[1]LISTADO_OTS!O608</f>
        <v>1</v>
      </c>
      <c r="V608" t="str">
        <f>[1]LISTADO_OTS!J608</f>
        <v>Amurrio</v>
      </c>
      <c r="W608">
        <f>[1]LISTADO_OTS!R608</f>
        <v>1</v>
      </c>
      <c r="X608" t="str">
        <f>[1]LISTADO_OTS!P608</f>
        <v>KERMAN</v>
      </c>
      <c r="Y608">
        <v>1</v>
      </c>
      <c r="Z608">
        <f>[1]LISTADO_OTS!S608</f>
        <v>0</v>
      </c>
    </row>
    <row r="609" spans="1:26" x14ac:dyDescent="0.4">
      <c r="A609">
        <v>608</v>
      </c>
      <c r="B609" t="str">
        <f>[1]LISTADO_OTS!E609</f>
        <v>TP/0289</v>
      </c>
      <c r="C609">
        <f>VLOOKUP([1]LISTADO_OTS!B609,[1]Redes!$C$1:$E$5,3,FALSE)</f>
        <v>5</v>
      </c>
      <c r="D609">
        <f>[1]LISTADO_OTS!C609</f>
        <v>2</v>
      </c>
      <c r="E609">
        <f>[1]LISTADO_OTS!D609</f>
        <v>1</v>
      </c>
      <c r="F609">
        <f>[1]LISTADO_OTS!Q609</f>
        <v>3</v>
      </c>
      <c r="G609">
        <f>[1]LISTADO_OTS!R609</f>
        <v>3</v>
      </c>
      <c r="H609" t="str">
        <f>[1]LISTADO_OTS!H609</f>
        <v>Mantenimiento preventivo de limpieza de colector saneamiento (Agurain)</v>
      </c>
      <c r="I609" t="str">
        <f>[1]LISTADO_OTS!I609</f>
        <v>Mantenimiento preventivo de limpieza de colector saneamiento (Agurain)</v>
      </c>
      <c r="J609" s="1">
        <f>[1]LISTADO_OTS!F609</f>
        <v>45944</v>
      </c>
      <c r="K609" s="1">
        <f>[1]LISTADO_OTS!G609</f>
        <v>45944</v>
      </c>
      <c r="L609">
        <f>[1]LISTADO_OTS!M609</f>
        <v>42.847327</v>
      </c>
      <c r="M609">
        <f>[1]LISTADO_OTS!N609</f>
        <v>-2.3910089999999999</v>
      </c>
      <c r="U609" t="b">
        <f>[1]LISTADO_OTS!O609</f>
        <v>1</v>
      </c>
      <c r="V609" t="str">
        <f>[1]LISTADO_OTS!J609</f>
        <v>Agurain</v>
      </c>
      <c r="W609">
        <f>[1]LISTADO_OTS!R609</f>
        <v>3</v>
      </c>
      <c r="X609" t="str">
        <f>[1]LISTADO_OTS!P609</f>
        <v>EMILIO MIGUEL</v>
      </c>
      <c r="Y609">
        <v>1</v>
      </c>
      <c r="Z609">
        <f>[1]LISTADO_OTS!S609</f>
        <v>0</v>
      </c>
    </row>
    <row r="610" spans="1:26" x14ac:dyDescent="0.4">
      <c r="A610">
        <v>609</v>
      </c>
      <c r="B610" t="str">
        <f>[1]LISTADO_OTS!E610</f>
        <v>TP/0290</v>
      </c>
      <c r="C610">
        <f>VLOOKUP([1]LISTADO_OTS!B610,[1]Redes!$C$1:$E$5,3,FALSE)</f>
        <v>5</v>
      </c>
      <c r="D610">
        <f>[1]LISTADO_OTS!C610</f>
        <v>2</v>
      </c>
      <c r="E610">
        <f>[1]LISTADO_OTS!D610</f>
        <v>1</v>
      </c>
      <c r="F610">
        <f>[1]LISTADO_OTS!Q610</f>
        <v>1</v>
      </c>
      <c r="G610">
        <f>[1]LISTADO_OTS!R610</f>
        <v>1</v>
      </c>
      <c r="H610" t="str">
        <f>[1]LISTADO_OTS!H610</f>
        <v>Mantenimiento preventivo en saneamiento en C/Isasi  (Llodio)</v>
      </c>
      <c r="I610" t="str">
        <f>[1]LISTADO_OTS!I610</f>
        <v>Mantenimiento preventivo en saneamiento en C/Isasi  (Llodio)</v>
      </c>
      <c r="J610" s="1">
        <f>[1]LISTADO_OTS!F610</f>
        <v>45944</v>
      </c>
      <c r="K610" s="1">
        <f>[1]LISTADO_OTS!G610</f>
        <v>45944</v>
      </c>
      <c r="L610">
        <f>[1]LISTADO_OTS!M610</f>
        <v>43.150872999999997</v>
      </c>
      <c r="M610">
        <f>[1]LISTADO_OTS!N610</f>
        <v>-2.9712930000000002</v>
      </c>
      <c r="U610" t="b">
        <f>[1]LISTADO_OTS!O610</f>
        <v>1</v>
      </c>
      <c r="V610" t="str">
        <f>[1]LISTADO_OTS!J610</f>
        <v>Llodio</v>
      </c>
      <c r="W610">
        <f>[1]LISTADO_OTS!R610</f>
        <v>1</v>
      </c>
      <c r="X610" t="str">
        <f>[1]LISTADO_OTS!P610</f>
        <v>EMILIO MIGUEL</v>
      </c>
      <c r="Y610">
        <v>1</v>
      </c>
      <c r="Z610">
        <f>[1]LISTADO_OTS!S610</f>
        <v>0</v>
      </c>
    </row>
    <row r="611" spans="1:26" x14ac:dyDescent="0.4">
      <c r="A611">
        <v>610</v>
      </c>
      <c r="B611" t="str">
        <f>[1]LISTADO_OTS!E611</f>
        <v>TP/0291</v>
      </c>
      <c r="C611">
        <f>VLOOKUP([1]LISTADO_OTS!B611,[1]Redes!$C$1:$E$5,3,FALSE)</f>
        <v>3</v>
      </c>
      <c r="D611">
        <f>[1]LISTADO_OTS!C611</f>
        <v>2</v>
      </c>
      <c r="E611">
        <f>[1]LISTADO_OTS!D611</f>
        <v>7</v>
      </c>
      <c r="F611">
        <f>[1]LISTADO_OTS!Q611</f>
        <v>5</v>
      </c>
      <c r="G611">
        <f>[1]LISTADO_OTS!R611</f>
        <v>5</v>
      </c>
      <c r="H611" t="str">
        <f>[1]LISTADO_OTS!H611</f>
        <v>Localización de fugas en Maroño y Bellojín</v>
      </c>
      <c r="I611" t="str">
        <f>[1]LISTADO_OTS!I611</f>
        <v>Localización de fugas en Maroño y Bellojín</v>
      </c>
      <c r="J611" s="1">
        <f>[1]LISTADO_OTS!F611</f>
        <v>45944</v>
      </c>
      <c r="K611" s="1">
        <f>[1]LISTADO_OTS!G611</f>
        <v>45944</v>
      </c>
      <c r="L611" t="str">
        <f>[1]LISTADO_OTS!M611</f>
        <v/>
      </c>
      <c r="M611" t="str">
        <f>[1]LISTADO_OTS!N611</f>
        <v/>
      </c>
      <c r="U611" t="b">
        <f>[1]LISTADO_OTS!O611</f>
        <v>1</v>
      </c>
      <c r="V611" t="str">
        <f>[1]LISTADO_OTS!J611</f>
        <v>Bellojín</v>
      </c>
      <c r="W611">
        <f>[1]LISTADO_OTS!R611</f>
        <v>5</v>
      </c>
      <c r="X611" t="str">
        <f>[1]LISTADO_OTS!P611</f>
        <v>ENEKO</v>
      </c>
      <c r="Y611">
        <v>1</v>
      </c>
      <c r="Z611">
        <f>[1]LISTADO_OTS!S611</f>
        <v>1</v>
      </c>
    </row>
    <row r="612" spans="1:26" x14ac:dyDescent="0.4">
      <c r="A612">
        <v>611</v>
      </c>
      <c r="B612" t="str">
        <f>[1]LISTADO_OTS!E612</f>
        <v>OT/0415</v>
      </c>
      <c r="C612">
        <f>VLOOKUP([1]LISTADO_OTS!B612,[1]Redes!$C$1:$E$5,3,FALSE)</f>
        <v>3</v>
      </c>
      <c r="D612">
        <f>[1]LISTADO_OTS!C612</f>
        <v>1</v>
      </c>
      <c r="E612">
        <f>[1]LISTADO_OTS!D612</f>
        <v>0</v>
      </c>
      <c r="F612">
        <f>[1]LISTADO_OTS!Q612</f>
        <v>1</v>
      </c>
      <c r="G612">
        <f>[1]LISTADO_OTS!R612</f>
        <v>1</v>
      </c>
      <c r="H612" t="str">
        <f>[1]LISTADO_OTS!H612</f>
        <v>Fuga en Landeta (Respaldiza)</v>
      </c>
      <c r="I612" t="str">
        <f>[1]LISTADO_OTS!I612</f>
        <v>Fuga en Landeta (Respaldiza)</v>
      </c>
      <c r="J612" s="1">
        <f>[1]LISTADO_OTS!F612</f>
        <v>45944</v>
      </c>
      <c r="K612" s="1">
        <f>[1]LISTADO_OTS!G612</f>
        <v>45944</v>
      </c>
      <c r="L612">
        <f>[1]LISTADO_OTS!M612</f>
        <v>43.071173000000002</v>
      </c>
      <c r="M612">
        <f>[1]LISTADO_OTS!N612</f>
        <v>-3.0356390000000002</v>
      </c>
      <c r="U612" t="b">
        <f>[1]LISTADO_OTS!O612</f>
        <v>1</v>
      </c>
      <c r="V612" t="str">
        <f>[1]LISTADO_OTS!J612</f>
        <v>Respaldiza</v>
      </c>
      <c r="W612">
        <f>[1]LISTADO_OTS!R612</f>
        <v>1</v>
      </c>
      <c r="X612" t="str">
        <f>[1]LISTADO_OTS!P612</f>
        <v>V</v>
      </c>
      <c r="Y612">
        <v>1</v>
      </c>
      <c r="Z612">
        <f>[1]LISTADO_OTS!S612</f>
        <v>1</v>
      </c>
    </row>
    <row r="613" spans="1:26" x14ac:dyDescent="0.4">
      <c r="A613">
        <v>612</v>
      </c>
      <c r="B613" t="str">
        <f>[1]LISTADO_OTS!E613</f>
        <v>OT/0416</v>
      </c>
      <c r="C613">
        <f>VLOOKUP([1]LISTADO_OTS!B613,[1]Redes!$C$1:$E$5,3,FALSE)</f>
        <v>3</v>
      </c>
      <c r="D613">
        <f>[1]LISTADO_OTS!C613</f>
        <v>1</v>
      </c>
      <c r="E613">
        <f>[1]LISTADO_OTS!D613</f>
        <v>0</v>
      </c>
      <c r="F613">
        <f>[1]LISTADO_OTS!Q613</f>
        <v>1</v>
      </c>
      <c r="G613">
        <f>[1]LISTADO_OTS!R613</f>
        <v>1</v>
      </c>
      <c r="H613" t="str">
        <f>[1]LISTADO_OTS!H613</f>
        <v>Fuga en Larraño  (Llodio)</v>
      </c>
      <c r="I613" t="str">
        <f>[1]LISTADO_OTS!I613</f>
        <v>Fuga en Larraño (Llodio)</v>
      </c>
      <c r="J613" s="1">
        <f>[1]LISTADO_OTS!F613</f>
        <v>45944</v>
      </c>
      <c r="K613" s="1">
        <f>[1]LISTADO_OTS!G613</f>
        <v>45944</v>
      </c>
      <c r="L613">
        <f>[1]LISTADO_OTS!M613</f>
        <v>43.151240000000001</v>
      </c>
      <c r="M613">
        <f>[1]LISTADO_OTS!N613</f>
        <v>-2.983425</v>
      </c>
      <c r="U613" t="b">
        <f>[1]LISTADO_OTS!O613</f>
        <v>1</v>
      </c>
      <c r="V613" t="str">
        <f>[1]LISTADO_OTS!J613</f>
        <v>Llodio</v>
      </c>
      <c r="W613">
        <f>[1]LISTADO_OTS!R613</f>
        <v>1</v>
      </c>
      <c r="X613" t="str">
        <f>[1]LISTADO_OTS!P613</f>
        <v>V</v>
      </c>
      <c r="Y613">
        <v>1</v>
      </c>
      <c r="Z613">
        <f>[1]LISTADO_OTS!S613</f>
        <v>1</v>
      </c>
    </row>
    <row r="614" spans="1:26" x14ac:dyDescent="0.4">
      <c r="A614">
        <v>613</v>
      </c>
      <c r="B614" t="str">
        <f>[1]LISTADO_OTS!E614</f>
        <v>OT/0417</v>
      </c>
      <c r="C614">
        <f>VLOOKUP([1]LISTADO_OTS!B614,[1]Redes!$C$1:$E$5,3,FALSE)</f>
        <v>3</v>
      </c>
      <c r="D614">
        <f>[1]LISTADO_OTS!C614</f>
        <v>1</v>
      </c>
      <c r="E614">
        <f>[1]LISTADO_OTS!D614</f>
        <v>0</v>
      </c>
      <c r="F614">
        <f>[1]LISTADO_OTS!Q614</f>
        <v>1</v>
      </c>
      <c r="G614">
        <f>[1]LISTADO_OTS!R614</f>
        <v>1</v>
      </c>
      <c r="H614" t="str">
        <f>[1]LISTADO_OTS!H614</f>
        <v>Fuga en Olabezar (La Cadena)</v>
      </c>
      <c r="I614" t="str">
        <f>[1]LISTADO_OTS!I614</f>
        <v>Fuga en Olabezar (La Cadena)</v>
      </c>
      <c r="J614" s="1">
        <f>[1]LISTADO_OTS!F614</f>
        <v>45944</v>
      </c>
      <c r="K614" s="1">
        <f>[1]LISTADO_OTS!G614</f>
        <v>45945</v>
      </c>
      <c r="L614">
        <f>[1]LISTADO_OTS!M614</f>
        <v>43.055709999999998</v>
      </c>
      <c r="M614">
        <f>[1]LISTADO_OTS!N614</f>
        <v>-3.0159340000000001</v>
      </c>
      <c r="U614" t="b">
        <f>[1]LISTADO_OTS!O614</f>
        <v>1</v>
      </c>
      <c r="V614" t="str">
        <f>[1]LISTADO_OTS!J614</f>
        <v>Olabezar</v>
      </c>
      <c r="W614">
        <f>[1]LISTADO_OTS!R614</f>
        <v>1</v>
      </c>
      <c r="X614" t="str">
        <f>[1]LISTADO_OTS!P614</f>
        <v>V</v>
      </c>
      <c r="Y614">
        <v>1</v>
      </c>
      <c r="Z614">
        <f>[1]LISTADO_OTS!S614</f>
        <v>1</v>
      </c>
    </row>
    <row r="615" spans="1:26" x14ac:dyDescent="0.4">
      <c r="A615">
        <v>614</v>
      </c>
      <c r="B615" t="str">
        <f>[1]LISTADO_OTS!E615</f>
        <v>OT/0418</v>
      </c>
      <c r="C615">
        <f>VLOOKUP([1]LISTADO_OTS!B615,[1]Redes!$C$1:$E$5,3,FALSE)</f>
        <v>5</v>
      </c>
      <c r="D615">
        <f>[1]LISTADO_OTS!C615</f>
        <v>1</v>
      </c>
      <c r="E615">
        <f>[1]LISTADO_OTS!D615</f>
        <v>0</v>
      </c>
      <c r="F615">
        <f>[1]LISTADO_OTS!Q615</f>
        <v>1</v>
      </c>
      <c r="G615">
        <f>[1]LISTADO_OTS!R615</f>
        <v>1</v>
      </c>
      <c r="H615" t="str">
        <f>[1]LISTADO_OTS!H615</f>
        <v>Atasco en Campijo en Artziniega</v>
      </c>
      <c r="I615" t="str">
        <f>[1]LISTADO_OTS!I615</f>
        <v>Atasco en Campijo en Artziniega</v>
      </c>
      <c r="J615" s="1">
        <f>[1]LISTADO_OTS!F615</f>
        <v>45944</v>
      </c>
      <c r="K615" s="1">
        <f>[1]LISTADO_OTS!G615</f>
        <v>45944</v>
      </c>
      <c r="L615">
        <f>[1]LISTADO_OTS!M615</f>
        <v>43.147754999999997</v>
      </c>
      <c r="M615">
        <f>[1]LISTADO_OTS!N615</f>
        <v>-3.1590829999999999</v>
      </c>
      <c r="U615" t="b">
        <f>[1]LISTADO_OTS!O615</f>
        <v>1</v>
      </c>
      <c r="V615" t="str">
        <f>[1]LISTADO_OTS!J615</f>
        <v>Artziniega</v>
      </c>
      <c r="W615">
        <f>[1]LISTADO_OTS!R615</f>
        <v>1</v>
      </c>
      <c r="X615" t="str">
        <f>[1]LISTADO_OTS!P615</f>
        <v>V</v>
      </c>
      <c r="Y615">
        <v>1</v>
      </c>
      <c r="Z615">
        <f>[1]LISTADO_OTS!S615</f>
        <v>2</v>
      </c>
    </row>
    <row r="616" spans="1:26" x14ac:dyDescent="0.4">
      <c r="A616">
        <v>615</v>
      </c>
      <c r="B616" t="str">
        <f>[1]LISTADO_OTS!E616</f>
        <v>OT/0419</v>
      </c>
      <c r="C616">
        <f>VLOOKUP([1]LISTADO_OTS!B616,[1]Redes!$C$1:$E$5,3,FALSE)</f>
        <v>3</v>
      </c>
      <c r="D616">
        <f>[1]LISTADO_OTS!C616</f>
        <v>1</v>
      </c>
      <c r="E616">
        <f>[1]LISTADO_OTS!D616</f>
        <v>0</v>
      </c>
      <c r="F616">
        <f>[1]LISTADO_OTS!Q616</f>
        <v>3</v>
      </c>
      <c r="G616">
        <f>[1]LISTADO_OTS!R616</f>
        <v>3</v>
      </c>
      <c r="H616" t="str">
        <f>[1]LISTADO_OTS!H616</f>
        <v>Reparación de fuga en C/La Madura (Agurain)</v>
      </c>
      <c r="I616" t="str">
        <f>[1]LISTADO_OTS!I616</f>
        <v>Reparación de fuga en C/La Madura (Agurain)</v>
      </c>
      <c r="J616" s="1">
        <f>[1]LISTADO_OTS!F616</f>
        <v>45944</v>
      </c>
      <c r="K616" s="1">
        <f>[1]LISTADO_OTS!G616</f>
        <v>45945</v>
      </c>
      <c r="L616">
        <f>[1]LISTADO_OTS!M616</f>
        <v>42.852938999999999</v>
      </c>
      <c r="M616">
        <f>[1]LISTADO_OTS!N616</f>
        <v>-2.3871349999999998</v>
      </c>
      <c r="U616" t="b">
        <f>[1]LISTADO_OTS!O616</f>
        <v>1</v>
      </c>
      <c r="V616" t="str">
        <f>[1]LISTADO_OTS!J616</f>
        <v>Agurain</v>
      </c>
      <c r="W616">
        <f>[1]LISTADO_OTS!R616</f>
        <v>3</v>
      </c>
      <c r="X616" t="str">
        <f>[1]LISTADO_OTS!P616</f>
        <v>BEÑAT KERMAN</v>
      </c>
      <c r="Y616">
        <v>1</v>
      </c>
      <c r="Z616">
        <f>[1]LISTADO_OTS!S616</f>
        <v>1</v>
      </c>
    </row>
    <row r="617" spans="1:26" x14ac:dyDescent="0.4">
      <c r="A617">
        <v>616</v>
      </c>
      <c r="B617" t="str">
        <f>[1]LISTADO_OTS!E617</f>
        <v>OT/0420</v>
      </c>
      <c r="C617">
        <f>VLOOKUP([1]LISTADO_OTS!B617,[1]Redes!$C$1:$E$5,3,FALSE)</f>
        <v>3</v>
      </c>
      <c r="D617">
        <f>[1]LISTADO_OTS!C617</f>
        <v>1</v>
      </c>
      <c r="E617">
        <f>[1]LISTADO_OTS!D617</f>
        <v>0</v>
      </c>
      <c r="F617">
        <f>[1]LISTADO_OTS!Q617</f>
        <v>5</v>
      </c>
      <c r="G617">
        <f>[1]LISTADO_OTS!R617</f>
        <v>5</v>
      </c>
      <c r="H617" t="str">
        <f>[1]LISTADO_OTS!H617</f>
        <v>Fuga en Bellojín</v>
      </c>
      <c r="I617" t="str">
        <f>[1]LISTADO_OTS!I617</f>
        <v>Fuga en Bellojín</v>
      </c>
      <c r="J617" s="1">
        <f>[1]LISTADO_OTS!F617</f>
        <v>45945</v>
      </c>
      <c r="K617" s="1">
        <f>[1]LISTADO_OTS!G617</f>
        <v>45945</v>
      </c>
      <c r="L617">
        <f>[1]LISTADO_OTS!M617</f>
        <v>43.121417000000001</v>
      </c>
      <c r="M617">
        <f>[1]LISTADO_OTS!N617</f>
        <v>-3.096508</v>
      </c>
      <c r="U617" t="b">
        <f>[1]LISTADO_OTS!O617</f>
        <v>1</v>
      </c>
      <c r="V617" t="str">
        <f>[1]LISTADO_OTS!J617</f>
        <v>Bellojín</v>
      </c>
      <c r="W617">
        <f>[1]LISTADO_OTS!R617</f>
        <v>5</v>
      </c>
      <c r="X617" t="str">
        <f>[1]LISTADO_OTS!P617</f>
        <v>MIGUEL CHOVITA</v>
      </c>
      <c r="Y617">
        <v>1</v>
      </c>
      <c r="Z617">
        <f>[1]LISTADO_OTS!S617</f>
        <v>1</v>
      </c>
    </row>
    <row r="618" spans="1:26" x14ac:dyDescent="0.4">
      <c r="A618">
        <v>617</v>
      </c>
      <c r="B618" t="str">
        <f>[1]LISTADO_OTS!E618</f>
        <v>OT/0421</v>
      </c>
      <c r="C618">
        <f>VLOOKUP([1]LISTADO_OTS!B618,[1]Redes!$C$1:$E$5,3,FALSE)</f>
        <v>3</v>
      </c>
      <c r="D618">
        <f>[1]LISTADO_OTS!C618</f>
        <v>1</v>
      </c>
      <c r="E618">
        <f>[1]LISTADO_OTS!D618</f>
        <v>0</v>
      </c>
      <c r="F618">
        <f>[1]LISTADO_OTS!Q618</f>
        <v>1</v>
      </c>
      <c r="G618">
        <f>[1]LISTADO_OTS!R618</f>
        <v>1</v>
      </c>
      <c r="H618" t="str">
        <f>[1]LISTADO_OTS!H618</f>
        <v>Reparar fuga en Erbi</v>
      </c>
      <c r="I618" t="str">
        <f>[1]LISTADO_OTS!I618</f>
        <v>Reparar fuga en Erbi</v>
      </c>
      <c r="J618" s="1">
        <f>[1]LISTADO_OTS!F618</f>
        <v>45945</v>
      </c>
      <c r="K618" s="1">
        <f>[1]LISTADO_OTS!G618</f>
        <v>45945</v>
      </c>
      <c r="L618">
        <f>[1]LISTADO_OTS!M618</f>
        <v>43.075035</v>
      </c>
      <c r="M618">
        <f>[1]LISTADO_OTS!N618</f>
        <v>-3.1137450000000002</v>
      </c>
      <c r="U618" t="b">
        <f>[1]LISTADO_OTS!O618</f>
        <v>1</v>
      </c>
      <c r="V618" t="str">
        <f>[1]LISTADO_OTS!J618</f>
        <v>Erbi</v>
      </c>
      <c r="W618">
        <f>[1]LISTADO_OTS!R618</f>
        <v>1</v>
      </c>
      <c r="X618" t="str">
        <f>[1]LISTADO_OTS!P618</f>
        <v>KERMAN</v>
      </c>
      <c r="Y618">
        <v>1</v>
      </c>
      <c r="Z618">
        <f>[1]LISTADO_OTS!S618</f>
        <v>1</v>
      </c>
    </row>
    <row r="619" spans="1:26" x14ac:dyDescent="0.4">
      <c r="A619">
        <v>618</v>
      </c>
      <c r="B619" t="str">
        <f>[1]LISTADO_OTS!E619</f>
        <v>TP/0292</v>
      </c>
      <c r="C619">
        <f>VLOOKUP([1]LISTADO_OTS!B619,[1]Redes!$C$1:$E$5,3,FALSE)</f>
        <v>3</v>
      </c>
      <c r="D619">
        <f>[1]LISTADO_OTS!C619</f>
        <v>2</v>
      </c>
      <c r="E619">
        <f>[1]LISTADO_OTS!D619</f>
        <v>9</v>
      </c>
      <c r="F619">
        <f>[1]LISTADO_OTS!Q619</f>
        <v>3</v>
      </c>
      <c r="G619">
        <f>[1]LISTADO_OTS!R619</f>
        <v>3</v>
      </c>
      <c r="H619" t="str">
        <f>[1]LISTADO_OTS!H619</f>
        <v>Desistalación contador C/Uribe s/n en Alegría</v>
      </c>
      <c r="I619" t="str">
        <f>[1]LISTADO_OTS!I619</f>
        <v>Desistalación contador C/Uribe s/n en Alegría</v>
      </c>
      <c r="J619" s="1">
        <f>[1]LISTADO_OTS!F619</f>
        <v>45945</v>
      </c>
      <c r="K619" s="1">
        <f>[1]LISTADO_OTS!G619</f>
        <v>45945</v>
      </c>
      <c r="L619">
        <f>[1]LISTADO_OTS!M619</f>
        <v>42.839703999999998</v>
      </c>
      <c r="M619">
        <f>[1]LISTADO_OTS!N619</f>
        <v>-2.5111699999999999</v>
      </c>
      <c r="U619" t="b">
        <f>[1]LISTADO_OTS!O619</f>
        <v>1</v>
      </c>
      <c r="V619" t="str">
        <f>[1]LISTADO_OTS!J619</f>
        <v>Alegría</v>
      </c>
      <c r="W619">
        <f>[1]LISTADO_OTS!R619</f>
        <v>3</v>
      </c>
      <c r="X619" t="str">
        <f>[1]LISTADO_OTS!P619</f>
        <v>KERMAN</v>
      </c>
      <c r="Y619">
        <v>1</v>
      </c>
      <c r="Z619">
        <f>[1]LISTADO_OTS!S619</f>
        <v>0</v>
      </c>
    </row>
    <row r="620" spans="1:26" x14ac:dyDescent="0.4">
      <c r="A620">
        <v>619</v>
      </c>
      <c r="B620" t="str">
        <f>[1]LISTADO_OTS!E620</f>
        <v>OT/0422</v>
      </c>
      <c r="C620">
        <f>VLOOKUP([1]LISTADO_OTS!B620,[1]Redes!$C$1:$E$5,3,FALSE)</f>
        <v>3</v>
      </c>
      <c r="D620">
        <f>[1]LISTADO_OTS!C620</f>
        <v>1</v>
      </c>
      <c r="E620">
        <f>[1]LISTADO_OTS!D620</f>
        <v>0</v>
      </c>
      <c r="F620">
        <f>[1]LISTADO_OTS!Q620</f>
        <v>1</v>
      </c>
      <c r="G620">
        <f>[1]LISTADO_OTS!R620</f>
        <v>1</v>
      </c>
      <c r="H620" t="str">
        <f>[1]LISTADO_OTS!H620</f>
        <v>Fuga en válvula general en barrio Chabe n54 (Llanteno)</v>
      </c>
      <c r="I620" t="str">
        <f>[1]LISTADO_OTS!I620</f>
        <v>Fuga en válvula general en barrio Chabe n54 (Llanteno)</v>
      </c>
      <c r="J620" s="1">
        <f>[1]LISTADO_OTS!F620</f>
        <v>45945</v>
      </c>
      <c r="K620" s="1">
        <f>[1]LISTADO_OTS!G620</f>
        <v>45946</v>
      </c>
      <c r="L620">
        <f>[1]LISTADO_OTS!M620</f>
        <v>43.121417000000001</v>
      </c>
      <c r="M620">
        <f>[1]LISTADO_OTS!N620</f>
        <v>-3.096508</v>
      </c>
      <c r="U620" t="b">
        <f>[1]LISTADO_OTS!O620</f>
        <v>1</v>
      </c>
      <c r="V620" t="str">
        <f>[1]LISTADO_OTS!J620</f>
        <v>Llanteno</v>
      </c>
      <c r="W620">
        <f>[1]LISTADO_OTS!R620</f>
        <v>1</v>
      </c>
      <c r="X620" t="str">
        <f>[1]LISTADO_OTS!P620</f>
        <v>KERMAN</v>
      </c>
      <c r="Y620">
        <v>1</v>
      </c>
      <c r="Z620">
        <f>[1]LISTADO_OTS!S620</f>
        <v>1</v>
      </c>
    </row>
    <row r="621" spans="1:26" x14ac:dyDescent="0.4">
      <c r="A621">
        <v>620</v>
      </c>
      <c r="B621" t="str">
        <f>[1]LISTADO_OTS!E621</f>
        <v>OT/0291</v>
      </c>
      <c r="C621">
        <f>VLOOKUP([1]LISTADO_OTS!B621,[1]Redes!$C$1:$E$5,3,FALSE)</f>
        <v>5</v>
      </c>
      <c r="D621">
        <f>[1]LISTADO_OTS!C621</f>
        <v>1</v>
      </c>
      <c r="E621">
        <f>[1]LISTADO_OTS!D621</f>
        <v>0</v>
      </c>
      <c r="F621">
        <f>[1]LISTADO_OTS!Q621</f>
        <v>1</v>
      </c>
      <c r="G621">
        <f>[1]LISTADO_OTS!R621</f>
        <v>1</v>
      </c>
      <c r="H621" t="str">
        <f>[1]LISTADO_OTS!H621</f>
        <v>Atasco en Olabezar ermita San Babilas pead 63</v>
      </c>
      <c r="I621" t="str">
        <f>[1]LISTADO_OTS!I621</f>
        <v>Atasco en Olabezar Hermita San Babilas pead 63</v>
      </c>
      <c r="J621" s="1">
        <f>[1]LISTADO_OTS!F621</f>
        <v>45944</v>
      </c>
      <c r="K621" s="1">
        <f>[1]LISTADO_OTS!G621</f>
        <v>45944</v>
      </c>
      <c r="L621">
        <f>[1]LISTADO_OTS!M621</f>
        <v>43.07002</v>
      </c>
      <c r="M621">
        <f>[1]LISTADO_OTS!N621</f>
        <v>-3.0112739999999998</v>
      </c>
      <c r="U621" t="b">
        <f>[1]LISTADO_OTS!O621</f>
        <v>1</v>
      </c>
      <c r="V621" t="str">
        <f>[1]LISTADO_OTS!J621</f>
        <v>Olabezar</v>
      </c>
      <c r="W621">
        <f>[1]LISTADO_OTS!R621</f>
        <v>1</v>
      </c>
      <c r="X621" t="str">
        <f>[1]LISTADO_OTS!P621</f>
        <v>V</v>
      </c>
      <c r="Y621">
        <v>1</v>
      </c>
      <c r="Z621">
        <f>[1]LISTADO_OTS!S621</f>
        <v>2</v>
      </c>
    </row>
    <row r="622" spans="1:26" x14ac:dyDescent="0.4">
      <c r="A622">
        <v>621</v>
      </c>
      <c r="B622" t="str">
        <f>[1]LISTADO_OTS!E622</f>
        <v>OT/0292</v>
      </c>
      <c r="C622">
        <f>VLOOKUP([1]LISTADO_OTS!B622,[1]Redes!$C$1:$E$5,3,FALSE)</f>
        <v>3</v>
      </c>
      <c r="D622">
        <f>[1]LISTADO_OTS!C622</f>
        <v>1</v>
      </c>
      <c r="E622">
        <f>[1]LISTADO_OTS!D622</f>
        <v>0</v>
      </c>
      <c r="F622">
        <f>[1]LISTADO_OTS!Q622</f>
        <v>1</v>
      </c>
      <c r="G622">
        <f>[1]LISTADO_OTS!R622</f>
        <v>1</v>
      </c>
      <c r="H622" t="str">
        <f>[1]LISTADO_OTS!H622</f>
        <v>Aviso abonado sin agua en Larra (Llodio)</v>
      </c>
      <c r="I622" t="str">
        <f>[1]LISTADO_OTS!I622</f>
        <v>Aviso abonado sin agua en Larra (Llodio)</v>
      </c>
      <c r="J622" s="1">
        <f>[1]LISTADO_OTS!F622</f>
        <v>45945</v>
      </c>
      <c r="K622" s="1">
        <f>[1]LISTADO_OTS!G622</f>
        <v>45945</v>
      </c>
      <c r="L622">
        <f>[1]LISTADO_OTS!M622</f>
        <v>43.128169999999997</v>
      </c>
      <c r="M622">
        <f>[1]LISTADO_OTS!N622</f>
        <v>-2.9504000000000001</v>
      </c>
      <c r="U622" t="b">
        <f>[1]LISTADO_OTS!O622</f>
        <v>1</v>
      </c>
      <c r="V622" t="str">
        <f>[1]LISTADO_OTS!J622</f>
        <v>Llodio</v>
      </c>
      <c r="W622">
        <f>[1]LISTADO_OTS!R622</f>
        <v>1</v>
      </c>
      <c r="X622" t="str">
        <f>[1]LISTADO_OTS!P622</f>
        <v>JOSEBA</v>
      </c>
      <c r="Y622">
        <v>1</v>
      </c>
      <c r="Z622">
        <f>[1]LISTADO_OTS!S622</f>
        <v>3</v>
      </c>
    </row>
    <row r="623" spans="1:26" x14ac:dyDescent="0.4">
      <c r="A623">
        <v>622</v>
      </c>
      <c r="B623" t="str">
        <f>[1]LISTADO_OTS!E623</f>
        <v>OT/0293</v>
      </c>
      <c r="C623">
        <f>VLOOKUP([1]LISTADO_OTS!B623,[1]Redes!$C$1:$E$5,3,FALSE)</f>
        <v>3</v>
      </c>
      <c r="D623">
        <f>[1]LISTADO_OTS!C623</f>
        <v>1</v>
      </c>
      <c r="E623">
        <f>[1]LISTADO_OTS!D623</f>
        <v>0</v>
      </c>
      <c r="F623">
        <f>[1]LISTADO_OTS!Q623</f>
        <v>5</v>
      </c>
      <c r="G623">
        <f>[1]LISTADO_OTS!R623</f>
        <v>5</v>
      </c>
      <c r="H623" t="str">
        <f>[1]LISTADO_OTS!H623</f>
        <v>Reparación de fuga en bajada deposito en Arbigano</v>
      </c>
      <c r="I623" t="str">
        <f>[1]LISTADO_OTS!I623</f>
        <v>Reparación de fuga en bajada deposito en Arbigano</v>
      </c>
      <c r="J623" s="1">
        <f>[1]LISTADO_OTS!F623</f>
        <v>45951</v>
      </c>
      <c r="K623" s="1">
        <f>[1]LISTADO_OTS!G623</f>
        <v>45951</v>
      </c>
      <c r="L623">
        <f>[1]LISTADO_OTS!M623</f>
        <v>42.804417999999998</v>
      </c>
      <c r="M623">
        <f>[1]LISTADO_OTS!N623</f>
        <v>-2.9334579999999999</v>
      </c>
      <c r="U623" t="b">
        <f>[1]LISTADO_OTS!O623</f>
        <v>1</v>
      </c>
      <c r="V623" t="str">
        <f>[1]LISTADO_OTS!J623</f>
        <v>Arbígano</v>
      </c>
      <c r="W623">
        <f>[1]LISTADO_OTS!R623</f>
        <v>5</v>
      </c>
      <c r="X623" t="str">
        <f>[1]LISTADO_OTS!P623</f>
        <v>MIGUEL</v>
      </c>
      <c r="Y623">
        <v>1</v>
      </c>
      <c r="Z623">
        <f>[1]LISTADO_OTS!S623</f>
        <v>1</v>
      </c>
    </row>
    <row r="624" spans="1:26" x14ac:dyDescent="0.4">
      <c r="A624">
        <v>623</v>
      </c>
      <c r="B624" t="str">
        <f>[1]LISTADO_OTS!E624</f>
        <v>OT/0294</v>
      </c>
      <c r="C624">
        <f>VLOOKUP([1]LISTADO_OTS!B624,[1]Redes!$C$1:$E$5,3,FALSE)</f>
        <v>3</v>
      </c>
      <c r="D624">
        <f>[1]LISTADO_OTS!C624</f>
        <v>1</v>
      </c>
      <c r="E624">
        <f>[1]LISTADO_OTS!D624</f>
        <v>0</v>
      </c>
      <c r="F624">
        <f>[1]LISTADO_OTS!Q624</f>
        <v>1</v>
      </c>
      <c r="G624">
        <f>[1]LISTADO_OTS!R624</f>
        <v>1</v>
      </c>
      <c r="H624" t="str">
        <f>[1]LISTADO_OTS!H624</f>
        <v>Reparación de acometida en INAUXA (Amurrio)</v>
      </c>
      <c r="I624" t="str">
        <f>[1]LISTADO_OTS!I624</f>
        <v>Reparación de acometida en INAUXA (Amurrio)</v>
      </c>
      <c r="J624" s="1">
        <f>[1]LISTADO_OTS!F624</f>
        <v>45947</v>
      </c>
      <c r="K624" s="1">
        <f>[1]LISTADO_OTS!G624</f>
        <v>45947</v>
      </c>
      <c r="L624">
        <f>[1]LISTADO_OTS!M624</f>
        <v>43.037149999999997</v>
      </c>
      <c r="M624">
        <f>[1]LISTADO_OTS!N624</f>
        <v>-2.9966400000000002</v>
      </c>
      <c r="U624" t="b">
        <f>[1]LISTADO_OTS!O624</f>
        <v>1</v>
      </c>
      <c r="V624" t="str">
        <f>[1]LISTADO_OTS!J624</f>
        <v>Amurrio</v>
      </c>
      <c r="W624">
        <f>[1]LISTADO_OTS!R624</f>
        <v>1</v>
      </c>
      <c r="X624" t="str">
        <f>[1]LISTADO_OTS!P624</f>
        <v>IÑIGO</v>
      </c>
      <c r="Y624">
        <v>1</v>
      </c>
      <c r="Z624">
        <f>[1]LISTADO_OTS!S624</f>
        <v>3</v>
      </c>
    </row>
    <row r="625" spans="1:26" x14ac:dyDescent="0.4">
      <c r="A625">
        <v>624</v>
      </c>
      <c r="B625" t="str">
        <f>[1]LISTADO_OTS!E625</f>
        <v>OT/0295</v>
      </c>
      <c r="C625">
        <f>VLOOKUP([1]LISTADO_OTS!B625,[1]Redes!$C$1:$E$5,3,FALSE)</f>
        <v>3</v>
      </c>
      <c r="D625">
        <f>[1]LISTADO_OTS!C625</f>
        <v>1</v>
      </c>
      <c r="E625">
        <f>[1]LISTADO_OTS!D625</f>
        <v>0</v>
      </c>
      <c r="F625">
        <f>[1]LISTADO_OTS!Q625</f>
        <v>1</v>
      </c>
      <c r="G625">
        <f>[1]LISTADO_OTS!R625</f>
        <v>1</v>
      </c>
      <c r="H625" t="str">
        <f>[1]LISTADO_OTS!H625</f>
        <v>Reparación de fuga en Añes</v>
      </c>
      <c r="I625" t="str">
        <f>[1]LISTADO_OTS!I625</f>
        <v>Reparación de fuga en Añes</v>
      </c>
      <c r="J625" s="1">
        <f>[1]LISTADO_OTS!F625</f>
        <v>45946</v>
      </c>
      <c r="K625" s="1">
        <f>[1]LISTADO_OTS!G625</f>
        <v>45947</v>
      </c>
      <c r="L625">
        <f>[1]LISTADO_OTS!M625</f>
        <v>43.058515</v>
      </c>
      <c r="M625">
        <f>[1]LISTADO_OTS!N625</f>
        <v>-3.132879</v>
      </c>
      <c r="U625" t="b">
        <f>[1]LISTADO_OTS!O625</f>
        <v>1</v>
      </c>
      <c r="V625" t="str">
        <f>[1]LISTADO_OTS!J625</f>
        <v>Añes</v>
      </c>
      <c r="W625">
        <f>[1]LISTADO_OTS!R625</f>
        <v>1</v>
      </c>
      <c r="X625" t="str">
        <f>[1]LISTADO_OTS!P625</f>
        <v>v</v>
      </c>
      <c r="Y625">
        <v>1</v>
      </c>
      <c r="Z625">
        <f>[1]LISTADO_OTS!S625</f>
        <v>1</v>
      </c>
    </row>
    <row r="626" spans="1:26" x14ac:dyDescent="0.4">
      <c r="A626">
        <v>625</v>
      </c>
      <c r="B626" t="str">
        <f>[1]LISTADO_OTS!E626</f>
        <v>OT/0296</v>
      </c>
      <c r="C626">
        <f>VLOOKUP([1]LISTADO_OTS!B626,[1]Redes!$C$1:$E$5,3,FALSE)</f>
        <v>3</v>
      </c>
      <c r="D626">
        <f>[1]LISTADO_OTS!C626</f>
        <v>1</v>
      </c>
      <c r="E626">
        <f>[1]LISTADO_OTS!D626</f>
        <v>0</v>
      </c>
      <c r="F626">
        <f>[1]LISTADO_OTS!Q626</f>
        <v>1</v>
      </c>
      <c r="G626">
        <f>[1]LISTADO_OTS!R626</f>
        <v>1</v>
      </c>
      <c r="H626" t="str">
        <f>[1]LISTADO_OTS!H626</f>
        <v>Reparación de fuga en acometida en Maroño</v>
      </c>
      <c r="I626" t="str">
        <f>[1]LISTADO_OTS!I626</f>
        <v>Reparación de fuga en acometida en Maroño</v>
      </c>
      <c r="J626" s="1">
        <f>[1]LISTADO_OTS!F626</f>
        <v>45945</v>
      </c>
      <c r="K626" s="1">
        <f>[1]LISTADO_OTS!G626</f>
        <v>45946</v>
      </c>
      <c r="L626">
        <f>[1]LISTADO_OTS!M626</f>
        <v>43.041784999999997</v>
      </c>
      <c r="M626">
        <f>[1]LISTADO_OTS!N626</f>
        <v>-3.062303</v>
      </c>
      <c r="U626" t="b">
        <f>[1]LISTADO_OTS!O626</f>
        <v>1</v>
      </c>
      <c r="V626" t="str">
        <f>[1]LISTADO_OTS!J626</f>
        <v>Maroño</v>
      </c>
      <c r="W626">
        <f>[1]LISTADO_OTS!R626</f>
        <v>1</v>
      </c>
      <c r="X626" t="str">
        <f>[1]LISTADO_OTS!P626</f>
        <v>JOSEBA E IÑIGO</v>
      </c>
      <c r="Y626">
        <v>1</v>
      </c>
      <c r="Z626">
        <f>[1]LISTADO_OTS!S626</f>
        <v>1</v>
      </c>
    </row>
    <row r="627" spans="1:26" x14ac:dyDescent="0.4">
      <c r="A627">
        <v>626</v>
      </c>
      <c r="B627" t="str">
        <f>[1]LISTADO_OTS!E627</f>
        <v>OT/0297</v>
      </c>
      <c r="C627">
        <f>VLOOKUP([1]LISTADO_OTS!B627,[1]Redes!$C$1:$E$5,3,FALSE)</f>
        <v>5</v>
      </c>
      <c r="D627">
        <f>[1]LISTADO_OTS!C627</f>
        <v>1</v>
      </c>
      <c r="E627">
        <f>[1]LISTADO_OTS!D627</f>
        <v>0</v>
      </c>
      <c r="F627">
        <f>[1]LISTADO_OTS!Q627</f>
        <v>1</v>
      </c>
      <c r="G627">
        <f>[1]LISTADO_OTS!R627</f>
        <v>1</v>
      </c>
      <c r="H627" t="str">
        <f>[1]LISTADO_OTS!H627</f>
        <v>Desbroce y desatasco de arqueta saneamiento en Kostera</v>
      </c>
      <c r="I627" t="str">
        <f>[1]LISTADO_OTS!I627</f>
        <v>Desbroce y desatasco de arqueta saneamiento en Kostera</v>
      </c>
      <c r="J627" s="1">
        <f>[1]LISTADO_OTS!F627</f>
        <v>45952</v>
      </c>
      <c r="K627" s="1">
        <f>[1]LISTADO_OTS!G627</f>
        <v>45952</v>
      </c>
      <c r="L627">
        <f>[1]LISTADO_OTS!M627</f>
        <v>43.103603999999997</v>
      </c>
      <c r="M627">
        <f>[1]LISTADO_OTS!N627</f>
        <v>-3.1014189999999999</v>
      </c>
      <c r="U627" t="b">
        <f>[1]LISTADO_OTS!O627</f>
        <v>1</v>
      </c>
      <c r="V627" t="str">
        <f>[1]LISTADO_OTS!J627</f>
        <v>Kostera</v>
      </c>
      <c r="W627">
        <f>[1]LISTADO_OTS!R627</f>
        <v>1</v>
      </c>
      <c r="X627" t="str">
        <f>[1]LISTADO_OTS!P627</f>
        <v>KERMAN ZUITA</v>
      </c>
      <c r="Y627">
        <v>1</v>
      </c>
      <c r="Z627">
        <f>[1]LISTADO_OTS!S627</f>
        <v>2</v>
      </c>
    </row>
    <row r="628" spans="1:26" x14ac:dyDescent="0.4">
      <c r="A628">
        <v>627</v>
      </c>
      <c r="B628" t="str">
        <f>[1]LISTADO_OTS!E628</f>
        <v>OT/0298</v>
      </c>
      <c r="C628">
        <f>VLOOKUP([1]LISTADO_OTS!B628,[1]Redes!$C$1:$E$5,3,FALSE)</f>
        <v>3</v>
      </c>
      <c r="D628">
        <f>[1]LISTADO_OTS!C628</f>
        <v>1</v>
      </c>
      <c r="E628">
        <f>[1]LISTADO_OTS!D628</f>
        <v>0</v>
      </c>
      <c r="F628">
        <f>[1]LISTADO_OTS!Q628</f>
        <v>1</v>
      </c>
      <c r="G628">
        <f>[1]LISTADO_OTS!R628</f>
        <v>1</v>
      </c>
      <c r="H628" t="str">
        <f>[1]LISTADO_OTS!H628</f>
        <v>Aviso abonado sin agua en C/Nervión n14 (Llodio)</v>
      </c>
      <c r="I628" t="str">
        <f>[1]LISTADO_OTS!I628</f>
        <v>Aviso abonado sin agua en C/Nervión n14 (Llodio)</v>
      </c>
      <c r="J628" s="1">
        <f>[1]LISTADO_OTS!F628</f>
        <v>45949</v>
      </c>
      <c r="K628" s="1">
        <f>[1]LISTADO_OTS!G628</f>
        <v>45949</v>
      </c>
      <c r="L628">
        <f>[1]LISTADO_OTS!M628</f>
        <v>43.142113999999999</v>
      </c>
      <c r="M628">
        <f>[1]LISTADO_OTS!N628</f>
        <v>-2.9623840000000001</v>
      </c>
      <c r="U628" t="b">
        <f>[1]LISTADO_OTS!O628</f>
        <v>1</v>
      </c>
      <c r="V628" t="str">
        <f>[1]LISTADO_OTS!J628</f>
        <v>Llodio</v>
      </c>
      <c r="W628">
        <f>[1]LISTADO_OTS!R628</f>
        <v>1</v>
      </c>
      <c r="X628" t="str">
        <f>[1]LISTADO_OTS!P628</f>
        <v>V</v>
      </c>
      <c r="Y628">
        <v>1</v>
      </c>
      <c r="Z628">
        <f>[1]LISTADO_OTS!S628</f>
        <v>3</v>
      </c>
    </row>
    <row r="629" spans="1:26" x14ac:dyDescent="0.4">
      <c r="A629">
        <v>628</v>
      </c>
      <c r="B629" t="str">
        <f>[1]LISTADO_OTS!E629</f>
        <v>OT/0299</v>
      </c>
      <c r="C629">
        <f>VLOOKUP([1]LISTADO_OTS!B629,[1]Redes!$C$1:$E$5,3,FALSE)</f>
        <v>3</v>
      </c>
      <c r="D629">
        <f>[1]LISTADO_OTS!C629</f>
        <v>1</v>
      </c>
      <c r="E629">
        <f>[1]LISTADO_OTS!D629</f>
        <v>0</v>
      </c>
      <c r="F629">
        <f>[1]LISTADO_OTS!Q629</f>
        <v>5</v>
      </c>
      <c r="G629">
        <f>[1]LISTADO_OTS!R629</f>
        <v>5</v>
      </c>
      <c r="H629" t="str">
        <f>[1]LISTADO_OTS!H629</f>
        <v>Aviso por fuga en Berantevilla en Camino las heras n17</v>
      </c>
      <c r="I629" t="str">
        <f>[1]LISTADO_OTS!I629</f>
        <v>Aviso por fuga en Berantevilla Camino las heras n17</v>
      </c>
      <c r="J629" s="1">
        <f>[1]LISTADO_OTS!F629</f>
        <v>45949</v>
      </c>
      <c r="K629" s="1">
        <f>[1]LISTADO_OTS!G629</f>
        <v>45949</v>
      </c>
      <c r="L629">
        <f>[1]LISTADO_OTS!M629</f>
        <v>42.681950999999998</v>
      </c>
      <c r="M629">
        <f>[1]LISTADO_OTS!N629</f>
        <v>-2.8593920000000002</v>
      </c>
      <c r="U629" t="b">
        <f>[1]LISTADO_OTS!O629</f>
        <v>1</v>
      </c>
      <c r="V629" t="str">
        <f>[1]LISTADO_OTS!J629</f>
        <v>Berantevilla</v>
      </c>
      <c r="W629">
        <f>[1]LISTADO_OTS!R629</f>
        <v>5</v>
      </c>
      <c r="X629" t="str">
        <f>[1]LISTADO_OTS!P629</f>
        <v>V</v>
      </c>
      <c r="Y629">
        <v>1</v>
      </c>
      <c r="Z629">
        <f>[1]LISTADO_OTS!S629</f>
        <v>1</v>
      </c>
    </row>
    <row r="630" spans="1:26" x14ac:dyDescent="0.4">
      <c r="A630">
        <v>629</v>
      </c>
      <c r="B630" t="str">
        <f>[1]LISTADO_OTS!E630</f>
        <v>TP/0293</v>
      </c>
      <c r="C630">
        <f>VLOOKUP([1]LISTADO_OTS!B630,[1]Redes!$C$1:$E$5,3,FALSE)</f>
        <v>2</v>
      </c>
      <c r="D630">
        <f>[1]LISTADO_OTS!C630</f>
        <v>2</v>
      </c>
      <c r="E630">
        <f>[1]LISTADO_OTS!D630</f>
        <v>23</v>
      </c>
      <c r="F630">
        <f>[1]LISTADO_OTS!Q630</f>
        <v>1</v>
      </c>
      <c r="G630">
        <f>[1]LISTADO_OTS!R630</f>
        <v>1</v>
      </c>
      <c r="H630" t="str">
        <f>[1]LISTADO_OTS!H630</f>
        <v>Limpieza de Tamices en Olabezar</v>
      </c>
      <c r="I630" t="str">
        <f>[1]LISTADO_OTS!I630</f>
        <v>Limpieza de Tamices en Olabezar</v>
      </c>
      <c r="J630" s="1">
        <f>[1]LISTADO_OTS!F630</f>
        <v>45945</v>
      </c>
      <c r="K630" s="1">
        <f>[1]LISTADO_OTS!G630</f>
        <v>45945</v>
      </c>
      <c r="L630" t="str">
        <f>[1]LISTADO_OTS!M630</f>
        <v/>
      </c>
      <c r="M630" t="str">
        <f>[1]LISTADO_OTS!N630</f>
        <v/>
      </c>
      <c r="U630" t="b">
        <f>[1]LISTADO_OTS!O630</f>
        <v>1</v>
      </c>
      <c r="V630" t="str">
        <f>[1]LISTADO_OTS!J630</f>
        <v>Olabezar</v>
      </c>
      <c r="W630">
        <f>[1]LISTADO_OTS!R630</f>
        <v>1</v>
      </c>
      <c r="X630" t="str">
        <f>[1]LISTADO_OTS!P630</f>
        <v>V</v>
      </c>
      <c r="Y630">
        <v>1</v>
      </c>
      <c r="Z630">
        <f>[1]LISTADO_OTS!S630</f>
        <v>0</v>
      </c>
    </row>
    <row r="631" spans="1:26" x14ac:dyDescent="0.4">
      <c r="A631">
        <v>630</v>
      </c>
      <c r="B631" t="str">
        <f>[1]LISTADO_OTS!E631</f>
        <v>TP/0294</v>
      </c>
      <c r="C631">
        <f>VLOOKUP([1]LISTADO_OTS!B631,[1]Redes!$C$1:$E$5,3,FALSE)</f>
        <v>3</v>
      </c>
      <c r="D631">
        <f>[1]LISTADO_OTS!C631</f>
        <v>2</v>
      </c>
      <c r="E631">
        <f>[1]LISTADO_OTS!D631</f>
        <v>13</v>
      </c>
      <c r="F631">
        <f>[1]LISTADO_OTS!Q631</f>
        <v>5</v>
      </c>
      <c r="G631">
        <f>[1]LISTADO_OTS!R631</f>
        <v>5</v>
      </c>
      <c r="H631" t="str">
        <f>[1]LISTADO_OTS!H631</f>
        <v>Asistencia técnica a obra Villanañe</v>
      </c>
      <c r="I631" t="str">
        <f>[1]LISTADO_OTS!I631</f>
        <v>Asistencia técnica a obra Villanañe</v>
      </c>
      <c r="J631" s="1">
        <f>[1]LISTADO_OTS!F631</f>
        <v>45945</v>
      </c>
      <c r="K631" s="1">
        <f>[1]LISTADO_OTS!G631</f>
        <v>45945</v>
      </c>
      <c r="L631">
        <f>[1]LISTADO_OTS!M631</f>
        <v>42.836723999999997</v>
      </c>
      <c r="M631">
        <f>[1]LISTADO_OTS!N631</f>
        <v>-3.0717099999999999</v>
      </c>
      <c r="U631" t="b">
        <f>[1]LISTADO_OTS!O631</f>
        <v>1</v>
      </c>
      <c r="V631" t="str">
        <f>[1]LISTADO_OTS!J631</f>
        <v>Villanañe</v>
      </c>
      <c r="W631">
        <f>[1]LISTADO_OTS!R631</f>
        <v>5</v>
      </c>
      <c r="X631" t="str">
        <f>[1]LISTADO_OTS!P631</f>
        <v>TOMAS</v>
      </c>
      <c r="Y631">
        <v>1</v>
      </c>
      <c r="Z631">
        <f>[1]LISTADO_OTS!S631</f>
        <v>0</v>
      </c>
    </row>
    <row r="632" spans="1:26" x14ac:dyDescent="0.4">
      <c r="A632">
        <v>631</v>
      </c>
      <c r="B632" t="str">
        <f>[1]LISTADO_OTS!E632</f>
        <v>TP/0295</v>
      </c>
      <c r="C632">
        <f>VLOOKUP([1]LISTADO_OTS!B632,[1]Redes!$C$1:$E$5,3,FALSE)</f>
        <v>3</v>
      </c>
      <c r="D632">
        <f>[1]LISTADO_OTS!C632</f>
        <v>2</v>
      </c>
      <c r="E632">
        <f>[1]LISTADO_OTS!D632</f>
        <v>8</v>
      </c>
      <c r="F632">
        <f>[1]LISTADO_OTS!Q632</f>
        <v>1</v>
      </c>
      <c r="G632">
        <f>[1]LISTADO_OTS!R632</f>
        <v>1</v>
      </c>
      <c r="H632" t="str">
        <f>[1]LISTADO_OTS!H632</f>
        <v>Instalación contador en Plaza Lexarraga n4 (Amurrio)</v>
      </c>
      <c r="I632" t="str">
        <f>[1]LISTADO_OTS!I632</f>
        <v>Instalación contador en Plaza Lexarraga n4 (Amurrio)</v>
      </c>
      <c r="J632" s="1">
        <f>[1]LISTADO_OTS!F632</f>
        <v>45945</v>
      </c>
      <c r="K632" s="1">
        <f>[1]LISTADO_OTS!G632</f>
        <v>45945</v>
      </c>
      <c r="L632">
        <f>[1]LISTADO_OTS!M632</f>
        <v>43.052805999999997</v>
      </c>
      <c r="M632">
        <f>[1]LISTADO_OTS!N632</f>
        <v>-3.0058910000000001</v>
      </c>
      <c r="U632" t="b">
        <f>[1]LISTADO_OTS!O632</f>
        <v>1</v>
      </c>
      <c r="V632" t="str">
        <f>[1]LISTADO_OTS!J632</f>
        <v>Amurrio</v>
      </c>
      <c r="W632">
        <f>[1]LISTADO_OTS!R632</f>
        <v>1</v>
      </c>
      <c r="X632" t="str">
        <f>[1]LISTADO_OTS!P632</f>
        <v>KERMAN</v>
      </c>
      <c r="Y632">
        <v>1</v>
      </c>
      <c r="Z632">
        <f>[1]LISTADO_OTS!S632</f>
        <v>0</v>
      </c>
    </row>
    <row r="633" spans="1:26" x14ac:dyDescent="0.4">
      <c r="A633">
        <v>632</v>
      </c>
      <c r="B633" t="str">
        <f>[1]LISTADO_OTS!E633</f>
        <v>TP/0296</v>
      </c>
      <c r="C633">
        <f>VLOOKUP([1]LISTADO_OTS!B633,[1]Redes!$C$1:$E$5,3,FALSE)</f>
        <v>3</v>
      </c>
      <c r="D633">
        <f>[1]LISTADO_OTS!C633</f>
        <v>2</v>
      </c>
      <c r="E633">
        <f>[1]LISTADO_OTS!D633</f>
        <v>8</v>
      </c>
      <c r="F633">
        <f>[1]LISTADO_OTS!Q633</f>
        <v>1</v>
      </c>
      <c r="G633">
        <f>[1]LISTADO_OTS!R633</f>
        <v>1</v>
      </c>
      <c r="H633" t="str">
        <f>[1]LISTADO_OTS!H633</f>
        <v>Instalación contador en Pol.Maskuribai B03 (Amurrio)</v>
      </c>
      <c r="I633" t="str">
        <f>[1]LISTADO_OTS!I633</f>
        <v>Instalación contador en Pol.Maskuribai B03 (Amurrio)</v>
      </c>
      <c r="J633" s="1">
        <f>[1]LISTADO_OTS!F633</f>
        <v>45945</v>
      </c>
      <c r="K633" s="1">
        <f>[1]LISTADO_OTS!G633</f>
        <v>45945</v>
      </c>
      <c r="L633">
        <f>[1]LISTADO_OTS!M633</f>
        <v>43.045836999999999</v>
      </c>
      <c r="M633">
        <f>[1]LISTADO_OTS!N633</f>
        <v>-3.0003700000000002</v>
      </c>
      <c r="U633" t="b">
        <f>[1]LISTADO_OTS!O633</f>
        <v>1</v>
      </c>
      <c r="V633" t="str">
        <f>[1]LISTADO_OTS!J633</f>
        <v>Amurrio</v>
      </c>
      <c r="W633">
        <f>[1]LISTADO_OTS!R633</f>
        <v>1</v>
      </c>
      <c r="X633" t="str">
        <f>[1]LISTADO_OTS!P633</f>
        <v>KERMAN</v>
      </c>
      <c r="Y633">
        <v>1</v>
      </c>
      <c r="Z633">
        <f>[1]LISTADO_OTS!S633</f>
        <v>0</v>
      </c>
    </row>
    <row r="634" spans="1:26" x14ac:dyDescent="0.4">
      <c r="A634">
        <v>633</v>
      </c>
      <c r="B634" t="str">
        <f>[1]LISTADO_OTS!E634</f>
        <v>TP/0297</v>
      </c>
      <c r="C634">
        <f>VLOOKUP([1]LISTADO_OTS!B634,[1]Redes!$C$1:$E$5,3,FALSE)</f>
        <v>2</v>
      </c>
      <c r="D634">
        <f>[1]LISTADO_OTS!C634</f>
        <v>2</v>
      </c>
      <c r="E634">
        <f>[1]LISTADO_OTS!D634</f>
        <v>3</v>
      </c>
      <c r="F634">
        <f>[1]LISTADO_OTS!Q634</f>
        <v>5</v>
      </c>
      <c r="G634">
        <f>[1]LISTADO_OTS!R634</f>
        <v>5</v>
      </c>
      <c r="H634" t="str">
        <f>[1]LISTADO_OTS!H634</f>
        <v>Mantenimiento de fosas sépticas en Corro</v>
      </c>
      <c r="I634" t="str">
        <f>[1]LISTADO_OTS!I634</f>
        <v>Mantenimiento de fosas sépticas en Corro</v>
      </c>
      <c r="J634" s="1">
        <f>[1]LISTADO_OTS!F634</f>
        <v>45945</v>
      </c>
      <c r="K634" s="1">
        <f>[1]LISTADO_OTS!G634</f>
        <v>45945</v>
      </c>
      <c r="L634">
        <f>[1]LISTADO_OTS!M634</f>
        <v>42.873629000000001</v>
      </c>
      <c r="M634">
        <f>[1]LISTADO_OTS!N634</f>
        <v>-3.1743060000000001</v>
      </c>
      <c r="U634" t="b">
        <f>[1]LISTADO_OTS!O634</f>
        <v>1</v>
      </c>
      <c r="V634" t="str">
        <f>[1]LISTADO_OTS!J634</f>
        <v>Corro</v>
      </c>
      <c r="W634">
        <f>[1]LISTADO_OTS!R634</f>
        <v>5</v>
      </c>
      <c r="X634" t="str">
        <f>[1]LISTADO_OTS!P634</f>
        <v>EMILIO ALBERTO</v>
      </c>
      <c r="Y634">
        <v>1</v>
      </c>
      <c r="Z634">
        <f>[1]LISTADO_OTS!S634</f>
        <v>0</v>
      </c>
    </row>
    <row r="635" spans="1:26" x14ac:dyDescent="0.4">
      <c r="A635">
        <v>634</v>
      </c>
      <c r="B635" t="str">
        <f>[1]LISTADO_OTS!E635</f>
        <v>TP/0298</v>
      </c>
      <c r="C635">
        <f>VLOOKUP([1]LISTADO_OTS!B635,[1]Redes!$C$1:$E$5,3,FALSE)</f>
        <v>3</v>
      </c>
      <c r="D635">
        <f>[1]LISTADO_OTS!C635</f>
        <v>2</v>
      </c>
      <c r="E635">
        <f>[1]LISTADO_OTS!D635</f>
        <v>7</v>
      </c>
      <c r="F635">
        <f>[1]LISTADO_OTS!Q635</f>
        <v>1</v>
      </c>
      <c r="G635">
        <f>[1]LISTADO_OTS!R635</f>
        <v>1</v>
      </c>
      <c r="H635" t="str">
        <f>[1]LISTADO_OTS!H635</f>
        <v>Localización de fugas en Amurrio y Maroño</v>
      </c>
      <c r="I635" t="str">
        <f>[1]LISTADO_OTS!I635</f>
        <v>Localización de fugas en Amurrio y Maroño</v>
      </c>
      <c r="J635" s="1">
        <f>[1]LISTADO_OTS!F635</f>
        <v>45945</v>
      </c>
      <c r="K635" s="1">
        <f>[1]LISTADO_OTS!G635</f>
        <v>45945</v>
      </c>
      <c r="L635" t="str">
        <f>[1]LISTADO_OTS!M635</f>
        <v/>
      </c>
      <c r="M635" t="str">
        <f>[1]LISTADO_OTS!N635</f>
        <v/>
      </c>
      <c r="U635" t="b">
        <f>[1]LISTADO_OTS!O635</f>
        <v>1</v>
      </c>
      <c r="V635" t="str">
        <f>[1]LISTADO_OTS!J635</f>
        <v>Maroño</v>
      </c>
      <c r="W635">
        <f>[1]LISTADO_OTS!R635</f>
        <v>1</v>
      </c>
      <c r="X635" t="str">
        <f>[1]LISTADO_OTS!P635</f>
        <v>ENEKO</v>
      </c>
      <c r="Y635">
        <v>1</v>
      </c>
      <c r="Z635">
        <f>[1]LISTADO_OTS!S635</f>
        <v>1</v>
      </c>
    </row>
    <row r="636" spans="1:26" x14ac:dyDescent="0.4">
      <c r="A636">
        <v>635</v>
      </c>
      <c r="B636" t="str">
        <f>[1]LISTADO_OTS!E636</f>
        <v>TP/0299</v>
      </c>
      <c r="C636">
        <f>VLOOKUP([1]LISTADO_OTS!B636,[1]Redes!$C$1:$E$5,3,FALSE)</f>
        <v>5</v>
      </c>
      <c r="D636">
        <f>[1]LISTADO_OTS!C636</f>
        <v>2</v>
      </c>
      <c r="E636">
        <f>[1]LISTADO_OTS!D636</f>
        <v>1</v>
      </c>
      <c r="F636">
        <f>[1]LISTADO_OTS!Q636</f>
        <v>1</v>
      </c>
      <c r="G636">
        <f>[1]LISTADO_OTS!R636</f>
        <v>1</v>
      </c>
      <c r="H636" t="str">
        <f>[1]LISTADO_OTS!H636</f>
        <v>Mantenimiento preventivo en saneamiento Artziniega</v>
      </c>
      <c r="I636" t="str">
        <f>[1]LISTADO_OTS!I636</f>
        <v>Mantenimiento preventivo en saneamiento Artziniega</v>
      </c>
      <c r="J636" s="1">
        <f>[1]LISTADO_OTS!F636</f>
        <v>45946</v>
      </c>
      <c r="K636" s="1">
        <f>[1]LISTADO_OTS!G636</f>
        <v>45946</v>
      </c>
      <c r="L636" t="str">
        <f>[1]LISTADO_OTS!M636</f>
        <v/>
      </c>
      <c r="M636" t="str">
        <f>[1]LISTADO_OTS!N636</f>
        <v/>
      </c>
      <c r="U636" t="b">
        <f>[1]LISTADO_OTS!O636</f>
        <v>1</v>
      </c>
      <c r="V636" t="str">
        <f>[1]LISTADO_OTS!J636</f>
        <v>Artziniega</v>
      </c>
      <c r="W636">
        <f>[1]LISTADO_OTS!R636</f>
        <v>1</v>
      </c>
      <c r="X636" t="str">
        <f>[1]LISTADO_OTS!P636</f>
        <v>EMILIO MIGUEL</v>
      </c>
      <c r="Y636">
        <v>1</v>
      </c>
      <c r="Z636">
        <f>[1]LISTADO_OTS!S636</f>
        <v>0</v>
      </c>
    </row>
    <row r="637" spans="1:26" x14ac:dyDescent="0.4">
      <c r="A637">
        <v>636</v>
      </c>
      <c r="B637" t="str">
        <f>[1]LISTADO_OTS!E637</f>
        <v>OT/0423</v>
      </c>
      <c r="C637">
        <f>VLOOKUP([1]LISTADO_OTS!B637,[1]Redes!$C$1:$E$5,3,FALSE)</f>
        <v>3</v>
      </c>
      <c r="D637">
        <f>[1]LISTADO_OTS!C637</f>
        <v>1</v>
      </c>
      <c r="E637">
        <f>[1]LISTADO_OTS!D637</f>
        <v>0</v>
      </c>
      <c r="F637">
        <f>[1]LISTADO_OTS!Q637</f>
        <v>5</v>
      </c>
      <c r="G637">
        <f>[1]LISTADO_OTS!R637</f>
        <v>5</v>
      </c>
      <c r="H637" t="str">
        <f>[1]LISTADO_OTS!H637</f>
        <v>Aviso de fuga  y avisos de corte de agua en Espejo</v>
      </c>
      <c r="I637" t="str">
        <f>[1]LISTADO_OTS!I637</f>
        <v>Aviso de fuga  y avisos de corte de agua en Espejo</v>
      </c>
      <c r="J637" s="1">
        <f>[1]LISTADO_OTS!F637</f>
        <v>45944</v>
      </c>
      <c r="K637" s="1">
        <f>[1]LISTADO_OTS!G637</f>
        <v>45944</v>
      </c>
      <c r="L637">
        <f>[1]LISTADO_OTS!M637</f>
        <v>42.810099999999998</v>
      </c>
      <c r="M637">
        <f>[1]LISTADO_OTS!N637</f>
        <v>-3.0467499999999998</v>
      </c>
      <c r="U637" t="b">
        <f>[1]LISTADO_OTS!O637</f>
        <v>1</v>
      </c>
      <c r="V637" t="str">
        <f>[1]LISTADO_OTS!J637</f>
        <v>Espejo</v>
      </c>
      <c r="W637">
        <f>[1]LISTADO_OTS!R637</f>
        <v>5</v>
      </c>
      <c r="X637" t="str">
        <f>[1]LISTADO_OTS!P637</f>
        <v>EDUARDO</v>
      </c>
      <c r="Y637">
        <v>1</v>
      </c>
      <c r="Z637">
        <f>[1]LISTADO_OTS!S637</f>
        <v>1</v>
      </c>
    </row>
    <row r="638" spans="1:26" x14ac:dyDescent="0.4">
      <c r="A638">
        <v>637</v>
      </c>
      <c r="B638" t="str">
        <f>[1]LISTADO_OTS!E638</f>
        <v>OT/0424</v>
      </c>
      <c r="C638">
        <f>VLOOKUP([1]LISTADO_OTS!B638,[1]Redes!$C$1:$E$5,3,FALSE)</f>
        <v>1</v>
      </c>
      <c r="D638">
        <f>[1]LISTADO_OTS!C638</f>
        <v>1</v>
      </c>
      <c r="E638">
        <f>[1]LISTADO_OTS!D638</f>
        <v>0</v>
      </c>
      <c r="F638">
        <f>[1]LISTADO_OTS!Q638</f>
        <v>5</v>
      </c>
      <c r="G638">
        <f>[1]LISTADO_OTS!R638</f>
        <v>5</v>
      </c>
      <c r="H638" t="str">
        <f>[1]LISTADO_OTS!H638</f>
        <v>Aviso por falta de agua en captaciones en Espejo</v>
      </c>
      <c r="I638" t="str">
        <f>[1]LISTADO_OTS!I638</f>
        <v>Aviso por falta de agua en captaciones en Espejo</v>
      </c>
      <c r="J638" s="1">
        <f>[1]LISTADO_OTS!F638</f>
        <v>45944</v>
      </c>
      <c r="K638" s="1">
        <f>[1]LISTADO_OTS!G638</f>
        <v>45944</v>
      </c>
      <c r="L638">
        <f>[1]LISTADO_OTS!M638</f>
        <v>42.80874</v>
      </c>
      <c r="M638">
        <f>[1]LISTADO_OTS!N638</f>
        <v>-3.0645699999999998</v>
      </c>
      <c r="U638" t="b">
        <f>[1]LISTADO_OTS!O638</f>
        <v>1</v>
      </c>
      <c r="V638" t="str">
        <f>[1]LISTADO_OTS!J638</f>
        <v>Espejo</v>
      </c>
      <c r="W638">
        <f>[1]LISTADO_OTS!R638</f>
        <v>5</v>
      </c>
      <c r="X638" t="str">
        <f>[1]LISTADO_OTS!P638</f>
        <v>EDUARDO</v>
      </c>
      <c r="Y638">
        <v>1</v>
      </c>
      <c r="Z638">
        <f>[1]LISTADO_OTS!S638</f>
        <v>3</v>
      </c>
    </row>
    <row r="639" spans="1:26" x14ac:dyDescent="0.4">
      <c r="A639">
        <v>638</v>
      </c>
      <c r="B639" t="str">
        <f>[1]LISTADO_OTS!E639</f>
        <v>OT/0425</v>
      </c>
      <c r="C639">
        <f>VLOOKUP([1]LISTADO_OTS!B639,[1]Redes!$C$1:$E$5,3,FALSE)</f>
        <v>3</v>
      </c>
      <c r="D639">
        <f>[1]LISTADO_OTS!C639</f>
        <v>1</v>
      </c>
      <c r="E639">
        <f>[1]LISTADO_OTS!D639</f>
        <v>0</v>
      </c>
      <c r="F639">
        <f>[1]LISTADO_OTS!Q639</f>
        <v>1</v>
      </c>
      <c r="G639">
        <f>[1]LISTADO_OTS!R639</f>
        <v>1</v>
      </c>
      <c r="H639" t="str">
        <f>[1]LISTADO_OTS!H639</f>
        <v>Reparación de fuga en C/Atxarte (Llodio)</v>
      </c>
      <c r="I639" t="str">
        <f>[1]LISTADO_OTS!I639</f>
        <v>Reparación de fuga en C/Atxarte (Llodio)</v>
      </c>
      <c r="J639" s="1">
        <f>[1]LISTADO_OTS!F639</f>
        <v>45951</v>
      </c>
      <c r="K639" s="1">
        <f>[1]LISTADO_OTS!G639</f>
        <v>45953</v>
      </c>
      <c r="L639">
        <f>[1]LISTADO_OTS!M639</f>
        <v>43.149672000000002</v>
      </c>
      <c r="M639">
        <f>[1]LISTADO_OTS!N639</f>
        <v>-2.9455070000000001</v>
      </c>
      <c r="U639" t="b">
        <f>[1]LISTADO_OTS!O639</f>
        <v>1</v>
      </c>
      <c r="V639" t="str">
        <f>[1]LISTADO_OTS!J639</f>
        <v>Llodio</v>
      </c>
      <c r="W639">
        <f>[1]LISTADO_OTS!R639</f>
        <v>1</v>
      </c>
      <c r="X639" t="str">
        <f>[1]LISTADO_OTS!P639</f>
        <v/>
      </c>
      <c r="Y639">
        <v>1</v>
      </c>
      <c r="Z639">
        <f>[1]LISTADO_OTS!S639</f>
        <v>1</v>
      </c>
    </row>
    <row r="640" spans="1:26" x14ac:dyDescent="0.4">
      <c r="A640">
        <v>639</v>
      </c>
      <c r="B640" t="str">
        <f>[1]LISTADO_OTS!E640</f>
        <v>OT/0426</v>
      </c>
      <c r="C640">
        <f>VLOOKUP([1]LISTADO_OTS!B640,[1]Redes!$C$1:$E$5,3,FALSE)</f>
        <v>5</v>
      </c>
      <c r="D640">
        <f>[1]LISTADO_OTS!C640</f>
        <v>1</v>
      </c>
      <c r="E640">
        <f>[1]LISTADO_OTS!D640</f>
        <v>0</v>
      </c>
      <c r="F640">
        <f>[1]LISTADO_OTS!Q640</f>
        <v>1</v>
      </c>
      <c r="G640">
        <f>[1]LISTADO_OTS!R640</f>
        <v>1</v>
      </c>
      <c r="H640" t="str">
        <f>[1]LISTADO_OTS!H640</f>
        <v>Reparación de tapa de saneamiento en Aldaiturriaga (Amurrio)</v>
      </c>
      <c r="I640" t="str">
        <f>[1]LISTADO_OTS!I640</f>
        <v>Reparación de tapa de saneamiento en Aldaiturriaga (Amurrio)</v>
      </c>
      <c r="J640" s="1">
        <f>[1]LISTADO_OTS!F640</f>
        <v>45951</v>
      </c>
      <c r="K640" s="1">
        <f>[1]LISTADO_OTS!G640</f>
        <v>45951</v>
      </c>
      <c r="L640">
        <f>[1]LISTADO_OTS!M640</f>
        <v>43.038226999999999</v>
      </c>
      <c r="M640">
        <f>[1]LISTADO_OTS!N640</f>
        <v>-3.0040610000000001</v>
      </c>
      <c r="U640" t="b">
        <f>[1]LISTADO_OTS!O640</f>
        <v>1</v>
      </c>
      <c r="V640" t="str">
        <f>[1]LISTADO_OTS!J640</f>
        <v>Amurrio</v>
      </c>
      <c r="W640">
        <f>[1]LISTADO_OTS!R640</f>
        <v>1</v>
      </c>
      <c r="X640" t="str">
        <f>[1]LISTADO_OTS!P640</f>
        <v>ZOVITA Y MIGUEL</v>
      </c>
      <c r="Y640">
        <v>1</v>
      </c>
      <c r="Z640">
        <f>[1]LISTADO_OTS!S640</f>
        <v>3</v>
      </c>
    </row>
    <row r="641" spans="1:26" x14ac:dyDescent="0.4">
      <c r="A641">
        <v>640</v>
      </c>
      <c r="B641" t="str">
        <f>[1]LISTADO_OTS!E641</f>
        <v>TP/0300</v>
      </c>
      <c r="C641">
        <f>VLOOKUP([1]LISTADO_OTS!B641,[1]Redes!$C$1:$E$5,3,FALSE)</f>
        <v>3</v>
      </c>
      <c r="D641">
        <f>[1]LISTADO_OTS!C641</f>
        <v>2</v>
      </c>
      <c r="E641">
        <f>[1]LISTADO_OTS!D641</f>
        <v>8</v>
      </c>
      <c r="F641">
        <f>[1]LISTADO_OTS!Q641</f>
        <v>1</v>
      </c>
      <c r="G641">
        <f>[1]LISTADO_OTS!R641</f>
        <v>1</v>
      </c>
      <c r="H641" t="str">
        <f>[1]LISTADO_OTS!H641</f>
        <v>Intalación de contador en C/Federico Barrenengoa n21 (Amurrio)</v>
      </c>
      <c r="I641" t="str">
        <f>[1]LISTADO_OTS!I641</f>
        <v>Intalación de contador en C/Federico Barrenengoa n21 (Amurrio)</v>
      </c>
      <c r="J641" s="1">
        <f>[1]LISTADO_OTS!F641</f>
        <v>45946</v>
      </c>
      <c r="K641" s="1">
        <f>[1]LISTADO_OTS!G641</f>
        <v>45946</v>
      </c>
      <c r="L641">
        <f>[1]LISTADO_OTS!M641</f>
        <v>43.053694</v>
      </c>
      <c r="M641">
        <f>[1]LISTADO_OTS!N641</f>
        <v>-3.005325</v>
      </c>
      <c r="U641" t="b">
        <f>[1]LISTADO_OTS!O641</f>
        <v>1</v>
      </c>
      <c r="V641" t="str">
        <f>[1]LISTADO_OTS!J641</f>
        <v>Amurrio</v>
      </c>
      <c r="W641">
        <f>[1]LISTADO_OTS!R641</f>
        <v>1</v>
      </c>
      <c r="X641" t="str">
        <f>[1]LISTADO_OTS!P641</f>
        <v>KERMAN</v>
      </c>
      <c r="Y641">
        <v>1</v>
      </c>
      <c r="Z641">
        <f>[1]LISTADO_OTS!S641</f>
        <v>0</v>
      </c>
    </row>
    <row r="642" spans="1:26" x14ac:dyDescent="0.4">
      <c r="A642">
        <v>641</v>
      </c>
      <c r="B642" t="str">
        <f>[1]LISTADO_OTS!E642</f>
        <v>TP/0301</v>
      </c>
      <c r="C642">
        <f>VLOOKUP([1]LISTADO_OTS!B642,[1]Redes!$C$1:$E$5,3,FALSE)</f>
        <v>3</v>
      </c>
      <c r="D642">
        <f>[1]LISTADO_OTS!C642</f>
        <v>2</v>
      </c>
      <c r="E642">
        <f>[1]LISTADO_OTS!D642</f>
        <v>8</v>
      </c>
      <c r="F642">
        <f>[1]LISTADO_OTS!Q642</f>
        <v>1</v>
      </c>
      <c r="G642">
        <f>[1]LISTADO_OTS!R642</f>
        <v>1</v>
      </c>
      <c r="H642" t="str">
        <f>[1]LISTADO_OTS!H642</f>
        <v>Intalación de contador en C/Plaza Osteguieta n7 (Llodio)</v>
      </c>
      <c r="I642" t="str">
        <f>[1]LISTADO_OTS!I642</f>
        <v>Intalación de contador en C/Plaza Osteguieta n7 (Llodio)</v>
      </c>
      <c r="J642" s="1">
        <f>[1]LISTADO_OTS!F642</f>
        <v>45946</v>
      </c>
      <c r="K642" s="1">
        <f>[1]LISTADO_OTS!G642</f>
        <v>45946</v>
      </c>
      <c r="L642">
        <f>[1]LISTADO_OTS!M642</f>
        <v>43.144930000000002</v>
      </c>
      <c r="M642">
        <f>[1]LISTADO_OTS!N642</f>
        <v>-2.9620579999999999</v>
      </c>
      <c r="U642" t="b">
        <f>[1]LISTADO_OTS!O642</f>
        <v>1</v>
      </c>
      <c r="V642" t="str">
        <f>[1]LISTADO_OTS!J642</f>
        <v>Llodio</v>
      </c>
      <c r="W642">
        <f>[1]LISTADO_OTS!R642</f>
        <v>1</v>
      </c>
      <c r="X642" t="str">
        <f>[1]LISTADO_OTS!P642</f>
        <v>KERMAN</v>
      </c>
      <c r="Y642">
        <v>1</v>
      </c>
      <c r="Z642">
        <f>[1]LISTADO_OTS!S642</f>
        <v>0</v>
      </c>
    </row>
    <row r="643" spans="1:26" x14ac:dyDescent="0.4">
      <c r="A643">
        <v>642</v>
      </c>
      <c r="B643" t="str">
        <f>[1]LISTADO_OTS!E643</f>
        <v>TP/0302</v>
      </c>
      <c r="C643">
        <f>VLOOKUP([1]LISTADO_OTS!B643,[1]Redes!$C$1:$E$5,3,FALSE)</f>
        <v>3</v>
      </c>
      <c r="D643">
        <f>[1]LISTADO_OTS!C643</f>
        <v>2</v>
      </c>
      <c r="E643">
        <f>[1]LISTADO_OTS!D643</f>
        <v>8</v>
      </c>
      <c r="F643">
        <f>[1]LISTADO_OTS!Q643</f>
        <v>1</v>
      </c>
      <c r="G643">
        <f>[1]LISTADO_OTS!R643</f>
        <v>1</v>
      </c>
      <c r="H643" t="str">
        <f>[1]LISTADO_OTS!H643</f>
        <v>Instalación de contador en Plaza Osteguieta n7 (Llodio)</v>
      </c>
      <c r="I643" t="str">
        <f>[1]LISTADO_OTS!I643</f>
        <v>Instalación de contador en Plaza Osteguieta n7 (Llodio)</v>
      </c>
      <c r="J643" s="1">
        <f>[1]LISTADO_OTS!F643</f>
        <v>45946</v>
      </c>
      <c r="K643" s="1">
        <f>[1]LISTADO_OTS!G643</f>
        <v>45946</v>
      </c>
      <c r="L643">
        <f>[1]LISTADO_OTS!M643</f>
        <v>43.144930000000002</v>
      </c>
      <c r="M643">
        <f>[1]LISTADO_OTS!N643</f>
        <v>-2.9620579999999999</v>
      </c>
      <c r="U643" t="b">
        <f>[1]LISTADO_OTS!O643</f>
        <v>1</v>
      </c>
      <c r="V643" t="str">
        <f>[1]LISTADO_OTS!J643</f>
        <v>Llodio</v>
      </c>
      <c r="W643">
        <f>[1]LISTADO_OTS!R643</f>
        <v>1</v>
      </c>
      <c r="X643" t="str">
        <f>[1]LISTADO_OTS!P643</f>
        <v>KERMAN</v>
      </c>
      <c r="Y643">
        <v>1</v>
      </c>
      <c r="Z643">
        <f>[1]LISTADO_OTS!S643</f>
        <v>0</v>
      </c>
    </row>
    <row r="644" spans="1:26" x14ac:dyDescent="0.4">
      <c r="A644">
        <v>643</v>
      </c>
      <c r="B644" t="str">
        <f>[1]LISTADO_OTS!E644</f>
        <v>TP/0303</v>
      </c>
      <c r="C644">
        <f>VLOOKUP([1]LISTADO_OTS!B644,[1]Redes!$C$1:$E$5,3,FALSE)</f>
        <v>3</v>
      </c>
      <c r="D644">
        <f>[1]LISTADO_OTS!C644</f>
        <v>2</v>
      </c>
      <c r="E644">
        <f>[1]LISTADO_OTS!D644</f>
        <v>10</v>
      </c>
      <c r="F644">
        <f>[1]LISTADO_OTS!Q644</f>
        <v>1</v>
      </c>
      <c r="G644">
        <f>[1]LISTADO_OTS!R644</f>
        <v>1</v>
      </c>
      <c r="H644" t="str">
        <f>[1]LISTADO_OTS!H644</f>
        <v>Sustitución de contador en C/Sandolla n11 (Atziniega)</v>
      </c>
      <c r="I644" t="str">
        <f>[1]LISTADO_OTS!I644</f>
        <v>Sustitución de contador en C/Sandolla n11 (Atziniega)</v>
      </c>
      <c r="J644" s="1">
        <f>[1]LISTADO_OTS!F644</f>
        <v>45946</v>
      </c>
      <c r="K644" s="1">
        <f>[1]LISTADO_OTS!G644</f>
        <v>45947</v>
      </c>
      <c r="L644">
        <f>[1]LISTADO_OTS!M644</f>
        <v>43.123829999999998</v>
      </c>
      <c r="M644">
        <f>[1]LISTADO_OTS!N644</f>
        <v>-3.1357010000000001</v>
      </c>
      <c r="U644" t="b">
        <f>[1]LISTADO_OTS!O644</f>
        <v>1</v>
      </c>
      <c r="V644" t="str">
        <f>[1]LISTADO_OTS!J644</f>
        <v>Artziniega</v>
      </c>
      <c r="W644">
        <f>[1]LISTADO_OTS!R644</f>
        <v>1</v>
      </c>
      <c r="X644" t="str">
        <f>[1]LISTADO_OTS!P644</f>
        <v>KERMAN MIGUEL Y ZOVITA</v>
      </c>
      <c r="Y644">
        <v>1</v>
      </c>
      <c r="Z644">
        <f>[1]LISTADO_OTS!S644</f>
        <v>0</v>
      </c>
    </row>
    <row r="645" spans="1:26" x14ac:dyDescent="0.4">
      <c r="A645">
        <v>644</v>
      </c>
      <c r="B645" t="str">
        <f>[1]LISTADO_OTS!E645</f>
        <v>TP/0304</v>
      </c>
      <c r="C645">
        <f>VLOOKUP([1]LISTADO_OTS!B645,[1]Redes!$C$1:$E$5,3,FALSE)</f>
        <v>3</v>
      </c>
      <c r="D645">
        <f>[1]LISTADO_OTS!C645</f>
        <v>2</v>
      </c>
      <c r="E645">
        <f>[1]LISTADO_OTS!D645</f>
        <v>5</v>
      </c>
      <c r="F645">
        <f>[1]LISTADO_OTS!Q645</f>
        <v>3</v>
      </c>
      <c r="G645">
        <f>[1]LISTADO_OTS!R645</f>
        <v>3</v>
      </c>
      <c r="H645" t="str">
        <f>[1]LISTADO_OTS!H645</f>
        <v>Inventario y digitalización red de abastecimiento en (Alegría)</v>
      </c>
      <c r="I645" t="str">
        <f>[1]LISTADO_OTS!I645</f>
        <v>Inventario y digitalización red de abastecimiento en (Alegría)</v>
      </c>
      <c r="J645" s="1">
        <f>[1]LISTADO_OTS!F645</f>
        <v>45946</v>
      </c>
      <c r="K645" s="1">
        <f>[1]LISTADO_OTS!G645</f>
        <v>45947</v>
      </c>
      <c r="L645" t="str">
        <f>[1]LISTADO_OTS!M645</f>
        <v/>
      </c>
      <c r="M645" t="str">
        <f>[1]LISTADO_OTS!N645</f>
        <v/>
      </c>
      <c r="U645" t="b">
        <f>[1]LISTADO_OTS!O645</f>
        <v>1</v>
      </c>
      <c r="V645" t="str">
        <f>[1]LISTADO_OTS!J645</f>
        <v>Alegría</v>
      </c>
      <c r="W645">
        <f>[1]LISTADO_OTS!R645</f>
        <v>3</v>
      </c>
      <c r="X645" t="str">
        <f>[1]LISTADO_OTS!P645</f>
        <v>ENEKO</v>
      </c>
      <c r="Y645">
        <v>1</v>
      </c>
      <c r="Z645">
        <f>[1]LISTADO_OTS!S645</f>
        <v>0</v>
      </c>
    </row>
    <row r="646" spans="1:26" x14ac:dyDescent="0.4">
      <c r="A646">
        <v>645</v>
      </c>
      <c r="B646" t="str">
        <f>[1]LISTADO_OTS!E646</f>
        <v>TP/0305</v>
      </c>
      <c r="C646">
        <f>VLOOKUP([1]LISTADO_OTS!B646,[1]Redes!$C$1:$E$5,3,FALSE)</f>
        <v>3</v>
      </c>
      <c r="D646">
        <f>[1]LISTADO_OTS!C646</f>
        <v>2</v>
      </c>
      <c r="E646">
        <f>[1]LISTADO_OTS!D646</f>
        <v>9</v>
      </c>
      <c r="F646">
        <f>[1]LISTADO_OTS!Q646</f>
        <v>1</v>
      </c>
      <c r="G646">
        <f>[1]LISTADO_OTS!R646</f>
        <v>1</v>
      </c>
      <c r="H646" t="str">
        <f>[1]LISTADO_OTS!H646</f>
        <v>Retirada contador C/Pagolar n10 (Llodio)</v>
      </c>
      <c r="I646" t="str">
        <f>[1]LISTADO_OTS!I646</f>
        <v>Retirada contador C/Pagolar n10 (Llodio)</v>
      </c>
      <c r="J646" s="1">
        <f>[1]LISTADO_OTS!F646</f>
        <v>45946</v>
      </c>
      <c r="K646" s="1">
        <f>[1]LISTADO_OTS!G646</f>
        <v>45946</v>
      </c>
      <c r="L646">
        <f>[1]LISTADO_OTS!M646</f>
        <v>43.139386000000002</v>
      </c>
      <c r="M646">
        <f>[1]LISTADO_OTS!N646</f>
        <v>-2.9617019999999998</v>
      </c>
      <c r="U646" t="b">
        <f>[1]LISTADO_OTS!O646</f>
        <v>1</v>
      </c>
      <c r="V646" t="str">
        <f>[1]LISTADO_OTS!J646</f>
        <v>Llodio</v>
      </c>
      <c r="W646">
        <f>[1]LISTADO_OTS!R646</f>
        <v>1</v>
      </c>
      <c r="X646" t="str">
        <f>[1]LISTADO_OTS!P646</f>
        <v>KERMAN</v>
      </c>
      <c r="Y646">
        <v>1</v>
      </c>
      <c r="Z646">
        <f>[1]LISTADO_OTS!S646</f>
        <v>0</v>
      </c>
    </row>
    <row r="647" spans="1:26" x14ac:dyDescent="0.4">
      <c r="A647">
        <v>646</v>
      </c>
      <c r="B647" t="str">
        <f>[1]LISTADO_OTS!E647</f>
        <v>TP/0306</v>
      </c>
      <c r="C647">
        <f>VLOOKUP([1]LISTADO_OTS!B647,[1]Redes!$C$1:$E$5,3,FALSE)</f>
        <v>1</v>
      </c>
      <c r="D647">
        <f>[1]LISTADO_OTS!C647</f>
        <v>2</v>
      </c>
      <c r="E647">
        <f>[1]LISTADO_OTS!D647</f>
        <v>2</v>
      </c>
      <c r="F647">
        <f>[1]LISTADO_OTS!Q647</f>
        <v>1</v>
      </c>
      <c r="G647">
        <f>[1]LISTADO_OTS!R647</f>
        <v>1</v>
      </c>
      <c r="H647" t="str">
        <f>[1]LISTADO_OTS!H647</f>
        <v>Limpieza captaciones Katzabazo,Delika,Agiñiga,Intxulaspe,Artomana</v>
      </c>
      <c r="I647" t="str">
        <f>[1]LISTADO_OTS!I647</f>
        <v>Limpieza captaciones Katzabazo,Delika,Agiñiga,Intxulaspe,Artomana</v>
      </c>
      <c r="J647" s="1">
        <f>[1]LISTADO_OTS!F647</f>
        <v>45947</v>
      </c>
      <c r="K647" s="1">
        <f>[1]LISTADO_OTS!G647</f>
        <v>45947</v>
      </c>
      <c r="L647" t="str">
        <f>[1]LISTADO_OTS!M647</f>
        <v/>
      </c>
      <c r="M647" t="str">
        <f>[1]LISTADO_OTS!N647</f>
        <v/>
      </c>
      <c r="U647" t="b">
        <f>[1]LISTADO_OTS!O647</f>
        <v>1</v>
      </c>
      <c r="V647" t="str">
        <f>[1]LISTADO_OTS!J647</f>
        <v>Delika</v>
      </c>
      <c r="W647">
        <f>[1]LISTADO_OTS!R647</f>
        <v>1</v>
      </c>
      <c r="X647" t="str">
        <f>[1]LISTADO_OTS!P647</f>
        <v>V</v>
      </c>
      <c r="Y647">
        <v>1</v>
      </c>
      <c r="Z647">
        <f>[1]LISTADO_OTS!S647</f>
        <v>0</v>
      </c>
    </row>
    <row r="648" spans="1:26" x14ac:dyDescent="0.4">
      <c r="A648">
        <v>647</v>
      </c>
      <c r="B648" t="str">
        <f>[1]LISTADO_OTS!E648</f>
        <v>TP/0307</v>
      </c>
      <c r="C648">
        <f>VLOOKUP([1]LISTADO_OTS!B648,[1]Redes!$C$1:$E$5,3,FALSE)</f>
        <v>3</v>
      </c>
      <c r="D648">
        <f>[1]LISTADO_OTS!C648</f>
        <v>2</v>
      </c>
      <c r="E648">
        <f>[1]LISTADO_OTS!D648</f>
        <v>12</v>
      </c>
      <c r="F648">
        <f>[1]LISTADO_OTS!Q648</f>
        <v>1</v>
      </c>
      <c r="G648">
        <f>[1]LISTADO_OTS!R648</f>
        <v>1</v>
      </c>
      <c r="H648" t="str">
        <f>[1]LISTADO_OTS!H648</f>
        <v>Corte de Agua en Lateorro (Llodio)</v>
      </c>
      <c r="I648" t="str">
        <f>[1]LISTADO_OTS!I648</f>
        <v>Corte de Agua en Lateorro (Llodio)</v>
      </c>
      <c r="J648" s="1">
        <f>[1]LISTADO_OTS!F648</f>
        <v>45947</v>
      </c>
      <c r="K648" s="1">
        <f>[1]LISTADO_OTS!G648</f>
        <v>45947</v>
      </c>
      <c r="L648">
        <f>[1]LISTADO_OTS!M648</f>
        <v>43.138773</v>
      </c>
      <c r="M648">
        <f>[1]LISTADO_OTS!N648</f>
        <v>-2.96048</v>
      </c>
      <c r="U648" t="b">
        <f>[1]LISTADO_OTS!O648</f>
        <v>1</v>
      </c>
      <c r="V648" t="str">
        <f>[1]LISTADO_OTS!J648</f>
        <v>Llodio</v>
      </c>
      <c r="W648">
        <f>[1]LISTADO_OTS!R648</f>
        <v>1</v>
      </c>
      <c r="X648" t="str">
        <f>[1]LISTADO_OTS!P648</f>
        <v>IÑIGO</v>
      </c>
      <c r="Y648">
        <v>1</v>
      </c>
      <c r="Z648">
        <f>[1]LISTADO_OTS!S648</f>
        <v>0</v>
      </c>
    </row>
    <row r="649" spans="1:26" x14ac:dyDescent="0.4">
      <c r="A649">
        <v>648</v>
      </c>
      <c r="B649" t="str">
        <f>[1]LISTADO_OTS!E649</f>
        <v>TP/0308</v>
      </c>
      <c r="C649">
        <f>VLOOKUP([1]LISTADO_OTS!B649,[1]Redes!$C$1:$E$5,3,FALSE)</f>
        <v>3</v>
      </c>
      <c r="D649">
        <f>[1]LISTADO_OTS!C649</f>
        <v>2</v>
      </c>
      <c r="E649">
        <f>[1]LISTADO_OTS!D649</f>
        <v>7</v>
      </c>
      <c r="F649">
        <f>[1]LISTADO_OTS!Q649</f>
        <v>5</v>
      </c>
      <c r="G649">
        <f>[1]LISTADO_OTS!R649</f>
        <v>5</v>
      </c>
      <c r="H649" t="str">
        <f>[1]LISTADO_OTS!H649</f>
        <v>Localización de fugas en Villanueva de Valdegovia</v>
      </c>
      <c r="I649" t="str">
        <f>[1]LISTADO_OTS!I649</f>
        <v>Localización de fugas en Villanueva de Valdegovia</v>
      </c>
      <c r="J649" s="1">
        <f>[1]LISTADO_OTS!F649</f>
        <v>45947</v>
      </c>
      <c r="K649" s="1">
        <f>[1]LISTADO_OTS!G649</f>
        <v>45947</v>
      </c>
      <c r="L649" t="str">
        <f>[1]LISTADO_OTS!M649</f>
        <v/>
      </c>
      <c r="M649" t="str">
        <f>[1]LISTADO_OTS!N649</f>
        <v/>
      </c>
      <c r="U649" t="b">
        <f>[1]LISTADO_OTS!O649</f>
        <v>1</v>
      </c>
      <c r="V649" t="str">
        <f>[1]LISTADO_OTS!J649</f>
        <v>Gaubea</v>
      </c>
      <c r="W649">
        <f>[1]LISTADO_OTS!R649</f>
        <v>5</v>
      </c>
      <c r="X649" t="str">
        <f>[1]LISTADO_OTS!P649</f>
        <v>ENEKO</v>
      </c>
      <c r="Y649">
        <v>1</v>
      </c>
      <c r="Z649">
        <f>[1]LISTADO_OTS!S649</f>
        <v>1</v>
      </c>
    </row>
    <row r="650" spans="1:26" x14ac:dyDescent="0.4">
      <c r="A650">
        <v>649</v>
      </c>
      <c r="B650" t="str">
        <f>[1]LISTADO_OTS!E650</f>
        <v>TP/0309</v>
      </c>
      <c r="C650">
        <f>VLOOKUP([1]LISTADO_OTS!B650,[1]Redes!$C$1:$E$5,3,FALSE)</f>
        <v>5</v>
      </c>
      <c r="D650">
        <f>[1]LISTADO_OTS!C650</f>
        <v>2</v>
      </c>
      <c r="E650">
        <f>[1]LISTADO_OTS!D650</f>
        <v>7</v>
      </c>
      <c r="F650">
        <f>[1]LISTADO_OTS!Q650</f>
        <v>3</v>
      </c>
      <c r="G650">
        <f>[1]LISTADO_OTS!R650</f>
        <v>3</v>
      </c>
      <c r="H650" t="str">
        <f>[1]LISTADO_OTS!H650</f>
        <v>Mantenimiento preventivo saneamiento Alegría</v>
      </c>
      <c r="I650" t="str">
        <f>[1]LISTADO_OTS!I650</f>
        <v>Mantenimiento preventivo saneamiento Alegría</v>
      </c>
      <c r="J650" s="1">
        <f>[1]LISTADO_OTS!F650</f>
        <v>45947</v>
      </c>
      <c r="K650" s="1">
        <f>[1]LISTADO_OTS!G650</f>
        <v>45947</v>
      </c>
      <c r="L650">
        <f>[1]LISTADO_OTS!M650</f>
        <v>42.852398000000001</v>
      </c>
      <c r="M650">
        <f>[1]LISTADO_OTS!N650</f>
        <v>-2.3900299999999999</v>
      </c>
      <c r="U650" t="b">
        <f>[1]LISTADO_OTS!O650</f>
        <v>1</v>
      </c>
      <c r="V650" t="str">
        <f>[1]LISTADO_OTS!J650</f>
        <v>Alegría</v>
      </c>
      <c r="W650">
        <f>[1]LISTADO_OTS!R650</f>
        <v>3</v>
      </c>
      <c r="X650" t="str">
        <f>[1]LISTADO_OTS!P650</f>
        <v>ANGEL KERMAN EDU</v>
      </c>
      <c r="Y650">
        <v>1</v>
      </c>
      <c r="Z650">
        <f>[1]LISTADO_OTS!S650</f>
        <v>0</v>
      </c>
    </row>
    <row r="651" spans="1:26" x14ac:dyDescent="0.4">
      <c r="A651">
        <v>650</v>
      </c>
      <c r="B651" t="str">
        <f>[1]LISTADO_OTS!E651</f>
        <v>TP/0310</v>
      </c>
      <c r="C651">
        <f>VLOOKUP([1]LISTADO_OTS!B651,[1]Redes!$C$1:$E$5,3,FALSE)</f>
        <v>5</v>
      </c>
      <c r="D651">
        <f>[1]LISTADO_OTS!C651</f>
        <v>2</v>
      </c>
      <c r="E651">
        <f>[1]LISTADO_OTS!D651</f>
        <v>1</v>
      </c>
      <c r="F651">
        <f>[1]LISTADO_OTS!Q651</f>
        <v>3</v>
      </c>
      <c r="G651">
        <f>[1]LISTADO_OTS!R651</f>
        <v>3</v>
      </c>
      <c r="H651" t="str">
        <f>[1]LISTADO_OTS!H651</f>
        <v>Mantenimiento preventivo saneamiento Agurain</v>
      </c>
      <c r="I651" t="str">
        <f>[1]LISTADO_OTS!I651</f>
        <v>Mantenimiento preventivo saneamiento Agurain</v>
      </c>
      <c r="J651" s="1">
        <f>[1]LISTADO_OTS!F651</f>
        <v>45947</v>
      </c>
      <c r="K651" s="1">
        <f>[1]LISTADO_OTS!G651</f>
        <v>45947</v>
      </c>
      <c r="L651">
        <f>[1]LISTADO_OTS!M651</f>
        <v>42.852474999999998</v>
      </c>
      <c r="M651">
        <f>[1]LISTADO_OTS!N651</f>
        <v>-2.3902260000000002</v>
      </c>
      <c r="U651" t="b">
        <f>[1]LISTADO_OTS!O651</f>
        <v>1</v>
      </c>
      <c r="V651" t="str">
        <f>[1]LISTADO_OTS!J651</f>
        <v>Agurain</v>
      </c>
      <c r="W651">
        <f>[1]LISTADO_OTS!R651</f>
        <v>3</v>
      </c>
      <c r="X651" t="str">
        <f>[1]LISTADO_OTS!P651</f>
        <v>ANGEL KERMAN EDU</v>
      </c>
      <c r="Y651">
        <v>1</v>
      </c>
      <c r="Z651">
        <f>[1]LISTADO_OTS!S651</f>
        <v>0</v>
      </c>
    </row>
    <row r="652" spans="1:26" x14ac:dyDescent="0.4">
      <c r="A652">
        <v>651</v>
      </c>
      <c r="B652" t="str">
        <f>[1]LISTADO_OTS!E652</f>
        <v>OT/0427</v>
      </c>
      <c r="C652">
        <f>VLOOKUP([1]LISTADO_OTS!B652,[1]Redes!$C$1:$E$5,3,FALSE)</f>
        <v>5</v>
      </c>
      <c r="D652">
        <f>[1]LISTADO_OTS!C652</f>
        <v>1</v>
      </c>
      <c r="E652">
        <f>[1]LISTADO_OTS!D652</f>
        <v>0</v>
      </c>
      <c r="F652">
        <f>[1]LISTADO_OTS!Q652</f>
        <v>4</v>
      </c>
      <c r="G652">
        <f>[1]LISTADO_OTS!R652</f>
        <v>4</v>
      </c>
      <c r="H652" t="str">
        <f>[1]LISTADO_OTS!H652</f>
        <v>Atasco en saneamiento en Zurbano</v>
      </c>
      <c r="I652" t="str">
        <f>[1]LISTADO_OTS!I652</f>
        <v>Atasco en saneamiento en Zurbano</v>
      </c>
      <c r="J652" s="1">
        <f>[1]LISTADO_OTS!F652</f>
        <v>45948</v>
      </c>
      <c r="K652" s="1">
        <f>[1]LISTADO_OTS!G652</f>
        <v>45948</v>
      </c>
      <c r="L652">
        <f>[1]LISTADO_OTS!M652</f>
        <v>42.869999</v>
      </c>
      <c r="M652">
        <f>[1]LISTADO_OTS!N652</f>
        <v>-2.6171440000000001</v>
      </c>
      <c r="U652" t="b">
        <f>[1]LISTADO_OTS!O652</f>
        <v>1</v>
      </c>
      <c r="V652" t="str">
        <f>[1]LISTADO_OTS!J652</f>
        <v>Zurbano</v>
      </c>
      <c r="W652">
        <f>[1]LISTADO_OTS!R652</f>
        <v>4</v>
      </c>
      <c r="X652" t="str">
        <f>[1]LISTADO_OTS!P652</f>
        <v>V</v>
      </c>
      <c r="Y652">
        <v>1</v>
      </c>
      <c r="Z652">
        <f>[1]LISTADO_OTS!S652</f>
        <v>2</v>
      </c>
    </row>
    <row r="653" spans="1:26" x14ac:dyDescent="0.4">
      <c r="A653">
        <v>652</v>
      </c>
      <c r="B653" t="str">
        <f>[1]LISTADO_OTS!E653</f>
        <v>OT/0428</v>
      </c>
      <c r="C653">
        <f>VLOOKUP([1]LISTADO_OTS!B653,[1]Redes!$C$1:$E$5,3,FALSE)</f>
        <v>3</v>
      </c>
      <c r="D653">
        <f>[1]LISTADO_OTS!C653</f>
        <v>1</v>
      </c>
      <c r="E653">
        <f>[1]LISTADO_OTS!D653</f>
        <v>0</v>
      </c>
      <c r="F653">
        <f>[1]LISTADO_OTS!Q653</f>
        <v>5</v>
      </c>
      <c r="G653">
        <f>[1]LISTADO_OTS!R653</f>
        <v>5</v>
      </c>
      <c r="H653" t="str">
        <f>[1]LISTADO_OTS!H653</f>
        <v>Aviso abonado sin presión en Astúlez</v>
      </c>
      <c r="I653" t="str">
        <f>[1]LISTADO_OTS!I653</f>
        <v>Aviso abonado sin presión en Astúlez</v>
      </c>
      <c r="J653" s="1">
        <f>[1]LISTADO_OTS!F653</f>
        <v>45948</v>
      </c>
      <c r="K653" s="1">
        <f>[1]LISTADO_OTS!G653</f>
        <v>45948</v>
      </c>
      <c r="L653">
        <f>[1]LISTADO_OTS!M653</f>
        <v>42.882237000000003</v>
      </c>
      <c r="M653">
        <f>[1]LISTADO_OTS!N653</f>
        <v>-3.0874009999999998</v>
      </c>
      <c r="U653" t="b">
        <f>[1]LISTADO_OTS!O653</f>
        <v>1</v>
      </c>
      <c r="V653" t="str">
        <f>[1]LISTADO_OTS!J653</f>
        <v>Astúlez</v>
      </c>
      <c r="W653">
        <f>[1]LISTADO_OTS!R653</f>
        <v>5</v>
      </c>
      <c r="X653" t="str">
        <f>[1]LISTADO_OTS!P653</f>
        <v>V</v>
      </c>
      <c r="Y653">
        <v>1</v>
      </c>
      <c r="Z653">
        <f>[1]LISTADO_OTS!S653</f>
        <v>3</v>
      </c>
    </row>
    <row r="654" spans="1:26" x14ac:dyDescent="0.4">
      <c r="A654">
        <v>653</v>
      </c>
      <c r="B654" t="str">
        <f>[1]LISTADO_OTS!E654</f>
        <v>OT/0429</v>
      </c>
      <c r="C654">
        <f>VLOOKUP([1]LISTADO_OTS!B654,[1]Redes!$C$1:$E$5,3,FALSE)</f>
        <v>3</v>
      </c>
      <c r="D654">
        <f>[1]LISTADO_OTS!C654</f>
        <v>1</v>
      </c>
      <c r="E654">
        <f>[1]LISTADO_OTS!D654</f>
        <v>0</v>
      </c>
      <c r="F654">
        <f>[1]LISTADO_OTS!Q654</f>
        <v>5</v>
      </c>
      <c r="G654">
        <f>[1]LISTADO_OTS!R654</f>
        <v>5</v>
      </c>
      <c r="H654" t="str">
        <f>[1]LISTADO_OTS!H654</f>
        <v>Aviso por fuga en Pobes C/Fuente Pudia n48</v>
      </c>
      <c r="I654" t="str">
        <f>[1]LISTADO_OTS!I654</f>
        <v>Aviso por fuga en Pobes C/Fuente Pudia n48</v>
      </c>
      <c r="J654" s="1">
        <f>[1]LISTADO_OTS!F654</f>
        <v>45948</v>
      </c>
      <c r="K654" s="1">
        <f>[1]LISTADO_OTS!G654</f>
        <v>45948</v>
      </c>
      <c r="L654">
        <f>[1]LISTADO_OTS!M654</f>
        <v>42.802503000000002</v>
      </c>
      <c r="M654">
        <f>[1]LISTADO_OTS!N654</f>
        <v>-2.9108749999999999</v>
      </c>
      <c r="U654" t="b">
        <f>[1]LISTADO_OTS!O654</f>
        <v>1</v>
      </c>
      <c r="V654" t="str">
        <f>[1]LISTADO_OTS!J654</f>
        <v>Pobes</v>
      </c>
      <c r="W654">
        <f>[1]LISTADO_OTS!R654</f>
        <v>5</v>
      </c>
      <c r="X654" t="str">
        <f>[1]LISTADO_OTS!P654</f>
        <v>V</v>
      </c>
      <c r="Y654">
        <v>1</v>
      </c>
      <c r="Z654">
        <f>[1]LISTADO_OTS!S654</f>
        <v>1</v>
      </c>
    </row>
    <row r="655" spans="1:26" x14ac:dyDescent="0.4">
      <c r="A655">
        <v>654</v>
      </c>
      <c r="B655" t="str">
        <f>[1]LISTADO_OTS!E655</f>
        <v>OT/0430</v>
      </c>
      <c r="C655">
        <f>VLOOKUP([1]LISTADO_OTS!B655,[1]Redes!$C$1:$E$5,3,FALSE)</f>
        <v>3</v>
      </c>
      <c r="D655">
        <f>[1]LISTADO_OTS!C655</f>
        <v>1</v>
      </c>
      <c r="E655">
        <f>[1]LISTADO_OTS!D655</f>
        <v>0</v>
      </c>
      <c r="F655">
        <f>[1]LISTADO_OTS!Q655</f>
        <v>5</v>
      </c>
      <c r="G655">
        <f>[1]LISTADO_OTS!R655</f>
        <v>5</v>
      </c>
      <c r="H655" t="str">
        <f>[1]LISTADO_OTS!H655</f>
        <v>Aviso abonado sin agua en C/Gazarriza n11 (Rivabellosa)</v>
      </c>
      <c r="I655" t="str">
        <f>[1]LISTADO_OTS!I655</f>
        <v>Aviso abonado sin agua en C/Gazarriza n11 (Rivabellosa)</v>
      </c>
      <c r="J655" s="1">
        <f>[1]LISTADO_OTS!F655</f>
        <v>45950</v>
      </c>
      <c r="K655" s="1">
        <f>[1]LISTADO_OTS!G655</f>
        <v>45950</v>
      </c>
      <c r="L655">
        <f>[1]LISTADO_OTS!M655</f>
        <v>42.710346000000001</v>
      </c>
      <c r="M655">
        <f>[1]LISTADO_OTS!N655</f>
        <v>-2.9183020000000002</v>
      </c>
      <c r="U655" t="b">
        <f>[1]LISTADO_OTS!O655</f>
        <v>1</v>
      </c>
      <c r="V655" t="str">
        <f>[1]LISTADO_OTS!J655</f>
        <v>Ribabellosa</v>
      </c>
      <c r="W655">
        <f>[1]LISTADO_OTS!R655</f>
        <v>5</v>
      </c>
      <c r="X655" t="str">
        <f>[1]LISTADO_OTS!P655</f>
        <v>EDU</v>
      </c>
      <c r="Y655">
        <v>1</v>
      </c>
      <c r="Z655">
        <f>[1]LISTADO_OTS!S655</f>
        <v>3</v>
      </c>
    </row>
    <row r="656" spans="1:26" x14ac:dyDescent="0.4">
      <c r="A656">
        <v>655</v>
      </c>
      <c r="B656" t="str">
        <f>[1]LISTADO_OTS!E656</f>
        <v>TP/0311</v>
      </c>
      <c r="C656">
        <f>VLOOKUP([1]LISTADO_OTS!B656,[1]Redes!$C$1:$E$5,3,FALSE)</f>
        <v>5</v>
      </c>
      <c r="D656">
        <f>[1]LISTADO_OTS!C656</f>
        <v>2</v>
      </c>
      <c r="E656">
        <f>[1]LISTADO_OTS!D656</f>
        <v>1</v>
      </c>
      <c r="F656">
        <f>[1]LISTADO_OTS!Q656</f>
        <v>1</v>
      </c>
      <c r="G656">
        <f>[1]LISTADO_OTS!R656</f>
        <v>1</v>
      </c>
      <c r="H656" t="str">
        <f>[1]LISTADO_OTS!H656</f>
        <v>Mantenimiento preventivo enLlodio (Ellakuri,Tubacex,Gokoplaza)</v>
      </c>
      <c r="I656" t="str">
        <f>[1]LISTADO_OTS!I656</f>
        <v>Mantenimiento preventivo en Llodio (Ellakuri,Tubacex,Goikoplaza)</v>
      </c>
      <c r="J656" s="1">
        <f>[1]LISTADO_OTS!F656</f>
        <v>45950</v>
      </c>
      <c r="K656" s="1">
        <f>[1]LISTADO_OTS!G656</f>
        <v>45950</v>
      </c>
      <c r="L656">
        <f>[1]LISTADO_OTS!M656</f>
        <v>43.134931000000002</v>
      </c>
      <c r="M656">
        <f>[1]LISTADO_OTS!N656</f>
        <v>-2.968648</v>
      </c>
      <c r="U656" t="b">
        <f>[1]LISTADO_OTS!O656</f>
        <v>1</v>
      </c>
      <c r="V656" t="str">
        <f>[1]LISTADO_OTS!J656</f>
        <v>Llodio</v>
      </c>
      <c r="W656">
        <f>[1]LISTADO_OTS!R656</f>
        <v>1</v>
      </c>
      <c r="X656" t="str">
        <f>[1]LISTADO_OTS!P656</f>
        <v>EMILIO MIGUEL</v>
      </c>
      <c r="Y656">
        <v>1</v>
      </c>
      <c r="Z656">
        <f>[1]LISTADO_OTS!S656</f>
        <v>0</v>
      </c>
    </row>
    <row r="657" spans="1:26" x14ac:dyDescent="0.4">
      <c r="A657">
        <v>656</v>
      </c>
      <c r="B657" t="str">
        <f>[1]LISTADO_OTS!E657</f>
        <v>TP/0312</v>
      </c>
      <c r="C657">
        <f>VLOOKUP([1]LISTADO_OTS!B657,[1]Redes!$C$1:$E$5,3,FALSE)</f>
        <v>3</v>
      </c>
      <c r="D657">
        <f>[1]LISTADO_OTS!C657</f>
        <v>2</v>
      </c>
      <c r="E657">
        <f>[1]LISTADO_OTS!D657</f>
        <v>10</v>
      </c>
      <c r="F657">
        <f>[1]LISTADO_OTS!Q657</f>
        <v>5</v>
      </c>
      <c r="G657">
        <f>[1]LISTADO_OTS!R657</f>
        <v>5</v>
      </c>
      <c r="H657" t="str">
        <f>[1]LISTADO_OTS!H657</f>
        <v>Sustitución de contador C/Arquitecto Jesus Guinea n94 (Villanueva)</v>
      </c>
      <c r="I657" t="str">
        <f>[1]LISTADO_OTS!I657</f>
        <v>Sustitución de contador C/Arquitecto Jesus Guinea N94 (Villanueva)</v>
      </c>
      <c r="J657" s="1">
        <f>[1]LISTADO_OTS!F657</f>
        <v>45950</v>
      </c>
      <c r="K657" s="1">
        <f>[1]LISTADO_OTS!G657</f>
        <v>45950</v>
      </c>
      <c r="L657">
        <f>[1]LISTADO_OTS!M657</f>
        <v>42.847788000000001</v>
      </c>
      <c r="M657">
        <f>[1]LISTADO_OTS!N657</f>
        <v>-3.1048339999999999</v>
      </c>
      <c r="U657" t="b">
        <f>[1]LISTADO_OTS!O657</f>
        <v>1</v>
      </c>
      <c r="V657" t="str">
        <f>[1]LISTADO_OTS!J657</f>
        <v>Villanueva</v>
      </c>
      <c r="W657">
        <f>[1]LISTADO_OTS!R657</f>
        <v>5</v>
      </c>
      <c r="X657" t="str">
        <f>[1]LISTADO_OTS!P657</f>
        <v>KERMAN Y ZOUITA</v>
      </c>
      <c r="Y657">
        <v>1</v>
      </c>
      <c r="Z657">
        <f>[1]LISTADO_OTS!S657</f>
        <v>0</v>
      </c>
    </row>
    <row r="658" spans="1:26" x14ac:dyDescent="0.4">
      <c r="A658">
        <v>657</v>
      </c>
      <c r="B658" t="str">
        <f>[1]LISTADO_OTS!E658</f>
        <v>OT/0431</v>
      </c>
      <c r="C658">
        <f>VLOOKUP([1]LISTADO_OTS!B658,[1]Redes!$C$1:$E$5,3,FALSE)</f>
        <v>3</v>
      </c>
      <c r="D658">
        <f>[1]LISTADO_OTS!C658</f>
        <v>1</v>
      </c>
      <c r="E658">
        <f>[1]LISTADO_OTS!D658</f>
        <v>0</v>
      </c>
      <c r="F658">
        <f>[1]LISTADO_OTS!Q658</f>
        <v>5</v>
      </c>
      <c r="G658">
        <f>[1]LISTADO_OTS!R658</f>
        <v>5</v>
      </c>
      <c r="H658" t="str">
        <f>[1]LISTADO_OTS!H658</f>
        <v>Reparación de fuga en C/Arquitecto Jesus Guinea n9 (Villanueva)</v>
      </c>
      <c r="I658" t="str">
        <f>[1]LISTADO_OTS!I658</f>
        <v>Reparación de fuga en C/Arquitecto Jesus Guinea n9 (Villanueva)</v>
      </c>
      <c r="J658" s="1">
        <f>[1]LISTADO_OTS!F658</f>
        <v>45950</v>
      </c>
      <c r="K658" s="1">
        <f>[1]LISTADO_OTS!G658</f>
        <v>45950</v>
      </c>
      <c r="L658">
        <f>[1]LISTADO_OTS!M658</f>
        <v>42.847549999999998</v>
      </c>
      <c r="M658">
        <f>[1]LISTADO_OTS!N658</f>
        <v>-3.101988</v>
      </c>
      <c r="U658" t="b">
        <f>[1]LISTADO_OTS!O658</f>
        <v>1</v>
      </c>
      <c r="V658" t="str">
        <f>[1]LISTADO_OTS!J658</f>
        <v>Villanueva</v>
      </c>
      <c r="W658">
        <f>[1]LISTADO_OTS!R658</f>
        <v>5</v>
      </c>
      <c r="X658" t="str">
        <f>[1]LISTADO_OTS!P658</f>
        <v>KERMAN Y ZOUITA</v>
      </c>
      <c r="Y658">
        <v>1</v>
      </c>
      <c r="Z658">
        <f>[1]LISTADO_OTS!S658</f>
        <v>1</v>
      </c>
    </row>
    <row r="659" spans="1:26" x14ac:dyDescent="0.4">
      <c r="A659">
        <v>658</v>
      </c>
      <c r="B659" t="str">
        <f>[1]LISTADO_OTS!E659</f>
        <v>OT/0432</v>
      </c>
      <c r="C659">
        <f>VLOOKUP([1]LISTADO_OTS!B659,[1]Redes!$C$1:$E$5,3,FALSE)</f>
        <v>3</v>
      </c>
      <c r="D659">
        <f>[1]LISTADO_OTS!C659</f>
        <v>1</v>
      </c>
      <c r="E659">
        <f>[1]LISTADO_OTS!D659</f>
        <v>0</v>
      </c>
      <c r="F659">
        <f>[1]LISTADO_OTS!Q659</f>
        <v>5</v>
      </c>
      <c r="G659">
        <f>[1]LISTADO_OTS!R659</f>
        <v>5</v>
      </c>
      <c r="H659" t="str">
        <f>[1]LISTADO_OTS!H659</f>
        <v>Reparación de fuga en C/Omecillo n13 (Espejo)</v>
      </c>
      <c r="I659" t="str">
        <f>[1]LISTADO_OTS!I659</f>
        <v>Reparación de fuga en C/Omecillo n13 (Espejo)</v>
      </c>
      <c r="J659" s="1">
        <f>[1]LISTADO_OTS!F659</f>
        <v>45950</v>
      </c>
      <c r="K659" s="1">
        <f>[1]LISTADO_OTS!G659</f>
        <v>45950</v>
      </c>
      <c r="L659">
        <f>[1]LISTADO_OTS!M659</f>
        <v>42.808506000000001</v>
      </c>
      <c r="M659">
        <f>[1]LISTADO_OTS!N659</f>
        <v>-3.050214</v>
      </c>
      <c r="U659" t="b">
        <f>[1]LISTADO_OTS!O659</f>
        <v>1</v>
      </c>
      <c r="V659" t="str">
        <f>[1]LISTADO_OTS!J659</f>
        <v>Espejo</v>
      </c>
      <c r="W659">
        <f>[1]LISTADO_OTS!R659</f>
        <v>5</v>
      </c>
      <c r="X659" t="str">
        <f>[1]LISTADO_OTS!P659</f>
        <v>KERMAN Y ZOUITA</v>
      </c>
      <c r="Y659">
        <v>1</v>
      </c>
      <c r="Z659">
        <f>[1]LISTADO_OTS!S659</f>
        <v>1</v>
      </c>
    </row>
    <row r="660" spans="1:26" x14ac:dyDescent="0.4">
      <c r="A660">
        <v>659</v>
      </c>
      <c r="B660" t="str">
        <f>[1]LISTADO_OTS!E660</f>
        <v>TP/0313</v>
      </c>
      <c r="C660">
        <f>VLOOKUP([1]LISTADO_OTS!B660,[1]Redes!$C$1:$E$5,3,FALSE)</f>
        <v>3</v>
      </c>
      <c r="D660">
        <f>[1]LISTADO_OTS!C660</f>
        <v>2</v>
      </c>
      <c r="E660">
        <f>[1]LISTADO_OTS!D660</f>
        <v>8</v>
      </c>
      <c r="F660">
        <f>[1]LISTADO_OTS!Q660</f>
        <v>1</v>
      </c>
      <c r="G660">
        <f>[1]LISTADO_OTS!R660</f>
        <v>1</v>
      </c>
      <c r="H660" t="str">
        <f>[1]LISTADO_OTS!H660</f>
        <v>Instalación contador C/Bañuetaibar n1 (Amurrio)</v>
      </c>
      <c r="I660" t="str">
        <f>[1]LISTADO_OTS!I660</f>
        <v>Instalación contador C/Bañuetaibar n1 (Amurrio)</v>
      </c>
      <c r="J660" s="1">
        <f>[1]LISTADO_OTS!F660</f>
        <v>45950</v>
      </c>
      <c r="K660" s="1">
        <f>[1]LISTADO_OTS!G660</f>
        <v>45950</v>
      </c>
      <c r="L660">
        <f>[1]LISTADO_OTS!M660</f>
        <v>43.054042000000003</v>
      </c>
      <c r="M660">
        <f>[1]LISTADO_OTS!N660</f>
        <v>-2.997814</v>
      </c>
      <c r="U660" t="b">
        <f>[1]LISTADO_OTS!O660</f>
        <v>1</v>
      </c>
      <c r="V660" t="str">
        <f>[1]LISTADO_OTS!J660</f>
        <v>Amurrio</v>
      </c>
      <c r="W660">
        <f>[1]LISTADO_OTS!R660</f>
        <v>1</v>
      </c>
      <c r="X660" t="str">
        <f>[1]LISTADO_OTS!P660</f>
        <v>KERMAN Y ZOUITA</v>
      </c>
      <c r="Y660">
        <v>1</v>
      </c>
      <c r="Z660">
        <f>[1]LISTADO_OTS!S660</f>
        <v>0</v>
      </c>
    </row>
    <row r="661" spans="1:26" x14ac:dyDescent="0.4">
      <c r="A661">
        <v>660</v>
      </c>
      <c r="B661" t="str">
        <f>[1]LISTADO_OTS!E661</f>
        <v>TP/0314</v>
      </c>
      <c r="C661">
        <f>VLOOKUP([1]LISTADO_OTS!B661,[1]Redes!$C$1:$E$5,3,FALSE)</f>
        <v>3</v>
      </c>
      <c r="D661">
        <f>[1]LISTADO_OTS!C661</f>
        <v>2</v>
      </c>
      <c r="E661">
        <f>[1]LISTADO_OTS!D661</f>
        <v>8</v>
      </c>
      <c r="F661">
        <f>[1]LISTADO_OTS!Q661</f>
        <v>1</v>
      </c>
      <c r="G661">
        <f>[1]LISTADO_OTS!R661</f>
        <v>1</v>
      </c>
      <c r="H661" t="str">
        <f>[1]LISTADO_OTS!H661</f>
        <v>Instalación contador C/Jose Pikatza n9 (Amurrio)</v>
      </c>
      <c r="I661" t="str">
        <f>[1]LISTADO_OTS!I661</f>
        <v>Instalación contador C/Jose Pikatza n9 (Amurrio)</v>
      </c>
      <c r="J661" s="1">
        <f>[1]LISTADO_OTS!F661</f>
        <v>45950</v>
      </c>
      <c r="K661" s="1">
        <f>[1]LISTADO_OTS!G661</f>
        <v>45950</v>
      </c>
      <c r="L661">
        <f>[1]LISTADO_OTS!M661</f>
        <v>43.052826000000003</v>
      </c>
      <c r="M661">
        <f>[1]LISTADO_OTS!N661</f>
        <v>-3.0045289999999998</v>
      </c>
      <c r="U661" t="b">
        <f>[1]LISTADO_OTS!O661</f>
        <v>1</v>
      </c>
      <c r="V661" t="str">
        <f>[1]LISTADO_OTS!J661</f>
        <v>Amurrio</v>
      </c>
      <c r="W661">
        <f>[1]LISTADO_OTS!R661</f>
        <v>1</v>
      </c>
      <c r="X661" t="str">
        <f>[1]LISTADO_OTS!P661</f>
        <v>KERMAN Y ZOUITA</v>
      </c>
      <c r="Y661">
        <v>1</v>
      </c>
      <c r="Z661">
        <f>[1]LISTADO_OTS!S661</f>
        <v>0</v>
      </c>
    </row>
    <row r="662" spans="1:26" x14ac:dyDescent="0.4">
      <c r="A662">
        <v>661</v>
      </c>
      <c r="B662" t="str">
        <f>[1]LISTADO_OTS!E662</f>
        <v>TP/0315</v>
      </c>
      <c r="C662">
        <f>VLOOKUP([1]LISTADO_OTS!B662,[1]Redes!$C$1:$E$5,3,FALSE)</f>
        <v>3</v>
      </c>
      <c r="D662">
        <f>[1]LISTADO_OTS!C662</f>
        <v>2</v>
      </c>
      <c r="E662">
        <f>[1]LISTADO_OTS!D662</f>
        <v>12</v>
      </c>
      <c r="F662">
        <f>[1]LISTADO_OTS!Q662</f>
        <v>5</v>
      </c>
      <c r="G662">
        <f>[1]LISTADO_OTS!R662</f>
        <v>5</v>
      </c>
      <c r="H662" t="str">
        <f>[1]LISTADO_OTS!H662</f>
        <v>Colocación de avisos corte de agua en Espejo</v>
      </c>
      <c r="I662" t="str">
        <f>[1]LISTADO_OTS!I662</f>
        <v>Colocación de avisos corte de agua en Espejo</v>
      </c>
      <c r="J662" s="1">
        <f>[1]LISTADO_OTS!F662</f>
        <v>45951</v>
      </c>
      <c r="K662" s="1">
        <f>[1]LISTADO_OTS!G662</f>
        <v>45951</v>
      </c>
      <c r="L662" t="str">
        <f>[1]LISTADO_OTS!M662</f>
        <v/>
      </c>
      <c r="M662" t="str">
        <f>[1]LISTADO_OTS!N662</f>
        <v/>
      </c>
      <c r="U662" t="b">
        <f>[1]LISTADO_OTS!O662</f>
        <v>1</v>
      </c>
      <c r="V662" t="str">
        <f>[1]LISTADO_OTS!J662</f>
        <v>Espejo</v>
      </c>
      <c r="W662">
        <f>[1]LISTADO_OTS!R662</f>
        <v>5</v>
      </c>
      <c r="X662" t="str">
        <f>[1]LISTADO_OTS!P662</f>
        <v>EDUARDO</v>
      </c>
      <c r="Y662">
        <v>1</v>
      </c>
      <c r="Z662">
        <f>[1]LISTADO_OTS!S662</f>
        <v>0</v>
      </c>
    </row>
    <row r="663" spans="1:26" x14ac:dyDescent="0.4">
      <c r="A663">
        <v>662</v>
      </c>
      <c r="B663" t="str">
        <f>[1]LISTADO_OTS!E663</f>
        <v>OT/0433</v>
      </c>
      <c r="C663">
        <f>VLOOKUP([1]LISTADO_OTS!B663,[1]Redes!$C$1:$E$5,3,FALSE)</f>
        <v>3</v>
      </c>
      <c r="D663">
        <f>[1]LISTADO_OTS!C663</f>
        <v>1</v>
      </c>
      <c r="E663">
        <f>[1]LISTADO_OTS!D663</f>
        <v>0</v>
      </c>
      <c r="F663">
        <f>[1]LISTADO_OTS!Q663</f>
        <v>1</v>
      </c>
      <c r="G663">
        <f>[1]LISTADO_OTS!R663</f>
        <v>1</v>
      </c>
      <c r="H663" t="str">
        <f>[1]LISTADO_OTS!H663</f>
        <v>Aviso por falta de presión en C/Asudio n1 (Llodio)</v>
      </c>
      <c r="I663" t="str">
        <f>[1]LISTADO_OTS!I663</f>
        <v>Aviso por falta de presión en C/Asudio n1 (Llodio)</v>
      </c>
      <c r="J663" s="1">
        <f>[1]LISTADO_OTS!F663</f>
        <v>45951</v>
      </c>
      <c r="K663" s="1">
        <f>[1]LISTADO_OTS!G663</f>
        <v>45951</v>
      </c>
      <c r="L663">
        <f>[1]LISTADO_OTS!M663</f>
        <v>43.13935</v>
      </c>
      <c r="M663">
        <f>[1]LISTADO_OTS!N663</f>
        <v>-2.9643540000000002</v>
      </c>
      <c r="U663" t="b">
        <f>[1]LISTADO_OTS!O663</f>
        <v>1</v>
      </c>
      <c r="V663" t="str">
        <f>[1]LISTADO_OTS!J663</f>
        <v>Llodio</v>
      </c>
      <c r="W663">
        <f>[1]LISTADO_OTS!R663</f>
        <v>1</v>
      </c>
      <c r="X663" t="str">
        <f>[1]LISTADO_OTS!P663</f>
        <v>TOMAS</v>
      </c>
      <c r="Y663">
        <v>1</v>
      </c>
      <c r="Z663">
        <f>[1]LISTADO_OTS!S663</f>
        <v>3</v>
      </c>
    </row>
    <row r="664" spans="1:26" x14ac:dyDescent="0.4">
      <c r="A664">
        <v>663</v>
      </c>
      <c r="B664" t="str">
        <f>[1]LISTADO_OTS!E664</f>
        <v>OT/0434</v>
      </c>
      <c r="C664">
        <f>VLOOKUP([1]LISTADO_OTS!B664,[1]Redes!$C$1:$E$5,3,FALSE)</f>
        <v>5</v>
      </c>
      <c r="D664">
        <f>[1]LISTADO_OTS!C664</f>
        <v>1</v>
      </c>
      <c r="E664">
        <f>[1]LISTADO_OTS!D664</f>
        <v>0</v>
      </c>
      <c r="F664">
        <f>[1]LISTADO_OTS!Q664</f>
        <v>1</v>
      </c>
      <c r="G664">
        <f>[1]LISTADO_OTS!R664</f>
        <v>1</v>
      </c>
      <c r="H664" t="str">
        <f>[1]LISTADO_OTS!H664</f>
        <v>Aviso por filtraciónes en saneamiento C/Nerbion n10 (Llodio)</v>
      </c>
      <c r="I664" t="str">
        <f>[1]LISTADO_OTS!I664</f>
        <v>Aviso por filtraciónes en C/Nerbioi n10 (Llodio)</v>
      </c>
      <c r="J664" s="1">
        <f>[1]LISTADO_OTS!F664</f>
        <v>45951</v>
      </c>
      <c r="K664" s="1">
        <f>[1]LISTADO_OTS!G664</f>
        <v>45952</v>
      </c>
      <c r="L664">
        <f>[1]LISTADO_OTS!M664</f>
        <v>43.141786000000003</v>
      </c>
      <c r="M664">
        <f>[1]LISTADO_OTS!N664</f>
        <v>-2.9619460000000002</v>
      </c>
      <c r="U664" t="b">
        <f>[1]LISTADO_OTS!O664</f>
        <v>1</v>
      </c>
      <c r="V664" t="str">
        <f>[1]LISTADO_OTS!J664</f>
        <v>Llodio</v>
      </c>
      <c r="W664">
        <f>[1]LISTADO_OTS!R664</f>
        <v>1</v>
      </c>
      <c r="X664" t="str">
        <f>[1]LISTADO_OTS!P664</f>
        <v>TOMAS</v>
      </c>
      <c r="Y664">
        <v>1</v>
      </c>
      <c r="Z664">
        <f>[1]LISTADO_OTS!S664</f>
        <v>1</v>
      </c>
    </row>
    <row r="665" spans="1:26" x14ac:dyDescent="0.4">
      <c r="A665">
        <v>664</v>
      </c>
      <c r="B665" t="str">
        <f>[1]LISTADO_OTS!E665</f>
        <v>OT/0435</v>
      </c>
      <c r="C665">
        <f>VLOOKUP([1]LISTADO_OTS!B665,[1]Redes!$C$1:$E$5,3,FALSE)</f>
        <v>3</v>
      </c>
      <c r="D665">
        <f>[1]LISTADO_OTS!C665</f>
        <v>1</v>
      </c>
      <c r="E665">
        <f>[1]LISTADO_OTS!D665</f>
        <v>0</v>
      </c>
      <c r="F665">
        <f>[1]LISTADO_OTS!Q665</f>
        <v>1</v>
      </c>
      <c r="G665">
        <f>[1]LISTADO_OTS!R665</f>
        <v>1</v>
      </c>
      <c r="H665" t="str">
        <f>[1]LISTADO_OTS!H665</f>
        <v>Aviso por avería en C/Goikolarra (Amurrio)</v>
      </c>
      <c r="I665" t="str">
        <f>[1]LISTADO_OTS!I665</f>
        <v>Aviso por avería en C/Goikolarra (Amurrio)</v>
      </c>
      <c r="J665" s="1">
        <f>[1]LISTADO_OTS!F665</f>
        <v>45951</v>
      </c>
      <c r="K665" s="1">
        <f>[1]LISTADO_OTS!G665</f>
        <v>45951</v>
      </c>
      <c r="L665">
        <f>[1]LISTADO_OTS!M665</f>
        <v>43.060304000000002</v>
      </c>
      <c r="M665">
        <f>[1]LISTADO_OTS!N665</f>
        <v>-3.0019909999999999</v>
      </c>
      <c r="U665" t="b">
        <f>[1]LISTADO_OTS!O665</f>
        <v>1</v>
      </c>
      <c r="V665" t="str">
        <f>[1]LISTADO_OTS!J665</f>
        <v>Amurrio</v>
      </c>
      <c r="W665">
        <f>[1]LISTADO_OTS!R665</f>
        <v>1</v>
      </c>
      <c r="X665" t="str">
        <f>[1]LISTADO_OTS!P665</f>
        <v>IÑIGO</v>
      </c>
      <c r="Y665">
        <v>1</v>
      </c>
      <c r="Z665">
        <f>[1]LISTADO_OTS!S665</f>
        <v>3</v>
      </c>
    </row>
    <row r="666" spans="1:26" x14ac:dyDescent="0.4">
      <c r="A666">
        <v>665</v>
      </c>
      <c r="B666" t="str">
        <f>[1]LISTADO_OTS!E666</f>
        <v>TP/0316</v>
      </c>
      <c r="C666">
        <f>VLOOKUP([1]LISTADO_OTS!B666,[1]Redes!$C$1:$E$5,3,FALSE)</f>
        <v>3</v>
      </c>
      <c r="D666">
        <f>[1]LISTADO_OTS!C666</f>
        <v>2</v>
      </c>
      <c r="E666">
        <f>[1]LISTADO_OTS!D666</f>
        <v>12</v>
      </c>
      <c r="F666">
        <f>[1]LISTADO_OTS!Q666</f>
        <v>1</v>
      </c>
      <c r="G666">
        <f>[1]LISTADO_OTS!R666</f>
        <v>1</v>
      </c>
      <c r="H666" t="str">
        <f>[1]LISTADO_OTS!H666</f>
        <v>Corte de agua en Lateorro (Llodio)</v>
      </c>
      <c r="I666" t="str">
        <f>[1]LISTADO_OTS!I666</f>
        <v>Corte de agua en Lateorro (Llodio)</v>
      </c>
      <c r="J666" s="1">
        <f>[1]LISTADO_OTS!F666</f>
        <v>45951</v>
      </c>
      <c r="K666" s="1">
        <f>[1]LISTADO_OTS!G666</f>
        <v>45951</v>
      </c>
      <c r="L666">
        <f>[1]LISTADO_OTS!M666</f>
        <v>43.138648000000003</v>
      </c>
      <c r="M666">
        <f>[1]LISTADO_OTS!N666</f>
        <v>-2.961284</v>
      </c>
      <c r="U666" t="b">
        <f>[1]LISTADO_OTS!O666</f>
        <v>1</v>
      </c>
      <c r="V666" t="str">
        <f>[1]LISTADO_OTS!J666</f>
        <v>Llodio</v>
      </c>
      <c r="W666">
        <f>[1]LISTADO_OTS!R666</f>
        <v>1</v>
      </c>
      <c r="X666" t="str">
        <f>[1]LISTADO_OTS!P666</f>
        <v>IÑIGO</v>
      </c>
      <c r="Y666">
        <v>1</v>
      </c>
      <c r="Z666">
        <f>[1]LISTADO_OTS!S666</f>
        <v>0</v>
      </c>
    </row>
    <row r="667" spans="1:26" x14ac:dyDescent="0.4">
      <c r="A667">
        <v>666</v>
      </c>
      <c r="B667" t="str">
        <f>[1]LISTADO_OTS!E667</f>
        <v>OT/0436</v>
      </c>
      <c r="C667">
        <f>VLOOKUP([1]LISTADO_OTS!B667,[1]Redes!$C$1:$E$5,3,FALSE)</f>
        <v>3</v>
      </c>
      <c r="D667">
        <f>[1]LISTADO_OTS!C667</f>
        <v>1</v>
      </c>
      <c r="E667">
        <f>[1]LISTADO_OTS!D667</f>
        <v>0</v>
      </c>
      <c r="F667">
        <f>[1]LISTADO_OTS!Q667</f>
        <v>1</v>
      </c>
      <c r="G667">
        <f>[1]LISTADO_OTS!R667</f>
        <v>1</v>
      </c>
      <c r="H667" t="str">
        <f>[1]LISTADO_OTS!H667</f>
        <v>Reparación de fuga en Lekamaña n6</v>
      </c>
      <c r="I667" t="str">
        <f>[1]LISTADO_OTS!I667</f>
        <v>Reparación de fuga en Lekamaña n6</v>
      </c>
      <c r="J667" s="1">
        <f>[1]LISTADO_OTS!F667</f>
        <v>45951</v>
      </c>
      <c r="K667" s="1">
        <f>[1]LISTADO_OTS!G667</f>
        <v>45951</v>
      </c>
      <c r="L667">
        <f>[1]LISTADO_OTS!M667</f>
        <v>43.020856999999999</v>
      </c>
      <c r="M667">
        <f>[1]LISTADO_OTS!N667</f>
        <v>-2.996143</v>
      </c>
      <c r="U667" t="b">
        <f>[1]LISTADO_OTS!O667</f>
        <v>1</v>
      </c>
      <c r="V667" t="str">
        <f>[1]LISTADO_OTS!J667</f>
        <v>Lekamaña</v>
      </c>
      <c r="W667">
        <f>[1]LISTADO_OTS!R667</f>
        <v>1</v>
      </c>
      <c r="X667" t="str">
        <f>[1]LISTADO_OTS!P667</f>
        <v>IÑIGO</v>
      </c>
      <c r="Y667">
        <v>1</v>
      </c>
      <c r="Z667">
        <f>[1]LISTADO_OTS!S667</f>
        <v>1</v>
      </c>
    </row>
    <row r="668" spans="1:26" x14ac:dyDescent="0.4">
      <c r="A668">
        <v>667</v>
      </c>
      <c r="B668" t="str">
        <f>[1]LISTADO_OTS!E668</f>
        <v>OT/0437</v>
      </c>
      <c r="C668">
        <f>VLOOKUP([1]LISTADO_OTS!B668,[1]Redes!$C$1:$E$5,3,FALSE)</f>
        <v>3</v>
      </c>
      <c r="D668">
        <f>[1]LISTADO_OTS!C668</f>
        <v>1</v>
      </c>
      <c r="E668">
        <f>[1]LISTADO_OTS!D668</f>
        <v>0</v>
      </c>
      <c r="F668">
        <f>[1]LISTADO_OTS!Q668</f>
        <v>5</v>
      </c>
      <c r="G668">
        <f>[1]LISTADO_OTS!R668</f>
        <v>5</v>
      </c>
      <c r="H668" t="str">
        <f>[1]LISTADO_OTS!H668</f>
        <v>Reparación de fuga en C/Las Panlejas ( Pobes)</v>
      </c>
      <c r="I668" t="str">
        <f>[1]LISTADO_OTS!I668</f>
        <v>Reparación de fuga en C/Las Panlejas ( Pobes)</v>
      </c>
      <c r="J668" s="1">
        <f>[1]LISTADO_OTS!F668</f>
        <v>45951</v>
      </c>
      <c r="K668" s="1">
        <f>[1]LISTADO_OTS!G668</f>
        <v>45951</v>
      </c>
      <c r="L668">
        <f>[1]LISTADO_OTS!M668</f>
        <v>42.803846999999998</v>
      </c>
      <c r="M668">
        <f>[1]LISTADO_OTS!N668</f>
        <v>-2.9080170000000001</v>
      </c>
      <c r="U668" t="b">
        <f>[1]LISTADO_OTS!O668</f>
        <v>1</v>
      </c>
      <c r="V668" t="str">
        <f>[1]LISTADO_OTS!J668</f>
        <v>Pobes</v>
      </c>
      <c r="W668">
        <f>[1]LISTADO_OTS!R668</f>
        <v>5</v>
      </c>
      <c r="X668" t="str">
        <f>[1]LISTADO_OTS!P668</f>
        <v>KERMAN</v>
      </c>
      <c r="Y668">
        <v>1</v>
      </c>
      <c r="Z668">
        <f>[1]LISTADO_OTS!S668</f>
        <v>1</v>
      </c>
    </row>
    <row r="669" spans="1:26" x14ac:dyDescent="0.4">
      <c r="A669">
        <v>668</v>
      </c>
      <c r="B669" t="str">
        <f>[1]LISTADO_OTS!E669</f>
        <v>OT/0438</v>
      </c>
      <c r="C669">
        <f>VLOOKUP([1]LISTADO_OTS!B669,[1]Redes!$C$1:$E$5,3,FALSE)</f>
        <v>3</v>
      </c>
      <c r="D669">
        <f>[1]LISTADO_OTS!C669</f>
        <v>1</v>
      </c>
      <c r="E669">
        <f>[1]LISTADO_OTS!D669</f>
        <v>0</v>
      </c>
      <c r="F669">
        <f>[1]LISTADO_OTS!Q669</f>
        <v>3</v>
      </c>
      <c r="G669">
        <f>[1]LISTADO_OTS!R669</f>
        <v>3</v>
      </c>
      <c r="H669" t="str">
        <f>[1]LISTADO_OTS!H669</f>
        <v>Reparación de fuga en C/Sorginetxe-Arrizala (Opakua)</v>
      </c>
      <c r="I669" t="str">
        <f>[1]LISTADO_OTS!I669</f>
        <v>Reparación de fuga en C/Sorginetxe-Arrizala (Opakua)</v>
      </c>
      <c r="J669" s="1">
        <f>[1]LISTADO_OTS!F669</f>
        <v>45951</v>
      </c>
      <c r="K669" s="1">
        <f>[1]LISTADO_OTS!G669</f>
        <v>45951</v>
      </c>
      <c r="L669">
        <f>[1]LISTADO_OTS!M669</f>
        <v>42.827922999999998</v>
      </c>
      <c r="M669">
        <f>[1]LISTADO_OTS!N669</f>
        <v>-2.3718490000000001</v>
      </c>
      <c r="U669" t="b">
        <f>[1]LISTADO_OTS!O669</f>
        <v>1</v>
      </c>
      <c r="V669" t="str">
        <f>[1]LISTADO_OTS!J669</f>
        <v>Opacua</v>
      </c>
      <c r="W669">
        <f>[1]LISTADO_OTS!R669</f>
        <v>3</v>
      </c>
      <c r="X669" t="str">
        <f>[1]LISTADO_OTS!P669</f>
        <v>KERMAN</v>
      </c>
      <c r="Y669">
        <v>1</v>
      </c>
      <c r="Z669">
        <f>[1]LISTADO_OTS!S669</f>
        <v>1</v>
      </c>
    </row>
    <row r="670" spans="1:26" x14ac:dyDescent="0.4">
      <c r="A670">
        <v>669</v>
      </c>
      <c r="B670" t="str">
        <f>[1]LISTADO_OTS!E670</f>
        <v>TP/0317</v>
      </c>
      <c r="C670">
        <f>VLOOKUP([1]LISTADO_OTS!B670,[1]Redes!$C$1:$E$5,3,FALSE)</f>
        <v>3</v>
      </c>
      <c r="D670">
        <f>[1]LISTADO_OTS!C670</f>
        <v>2</v>
      </c>
      <c r="E670">
        <f>[1]LISTADO_OTS!D670</f>
        <v>8</v>
      </c>
      <c r="F670">
        <f>[1]LISTADO_OTS!Q670</f>
        <v>1</v>
      </c>
      <c r="G670">
        <f>[1]LISTADO_OTS!R670</f>
        <v>1</v>
      </c>
      <c r="H670" t="str">
        <f>[1]LISTADO_OTS!H670</f>
        <v>Instalación contador en Colegio Lateorro (Llodio)</v>
      </c>
      <c r="I670" t="str">
        <f>[1]LISTADO_OTS!I670</f>
        <v>Instalación contador en Colegio Lateorro (Llodio)</v>
      </c>
      <c r="J670" s="1">
        <f>[1]LISTADO_OTS!F670</f>
        <v>45951</v>
      </c>
      <c r="K670" s="1">
        <f>[1]LISTADO_OTS!G670</f>
        <v>45951</v>
      </c>
      <c r="L670">
        <f>[1]LISTADO_OTS!M670</f>
        <v>43.138330000000003</v>
      </c>
      <c r="M670">
        <f>[1]LISTADO_OTS!N670</f>
        <v>-2.9585900000000001</v>
      </c>
      <c r="U670" t="b">
        <f>[1]LISTADO_OTS!O670</f>
        <v>1</v>
      </c>
      <c r="V670" t="str">
        <f>[1]LISTADO_OTS!J670</f>
        <v>Llodio</v>
      </c>
      <c r="W670">
        <f>[1]LISTADO_OTS!R670</f>
        <v>1</v>
      </c>
      <c r="X670" t="str">
        <f>[1]LISTADO_OTS!P670</f>
        <v>IÑIGO</v>
      </c>
      <c r="Y670">
        <v>1</v>
      </c>
      <c r="Z670">
        <f>[1]LISTADO_OTS!S670</f>
        <v>0</v>
      </c>
    </row>
    <row r="671" spans="1:26" x14ac:dyDescent="0.4">
      <c r="A671">
        <v>670</v>
      </c>
      <c r="B671" t="str">
        <f>[1]LISTADO_OTS!E671</f>
        <v>OT/0439</v>
      </c>
      <c r="C671">
        <f>VLOOKUP([1]LISTADO_OTS!B671,[1]Redes!$C$1:$E$5,3,FALSE)</f>
        <v>3</v>
      </c>
      <c r="D671">
        <f>[1]LISTADO_OTS!C671</f>
        <v>1</v>
      </c>
      <c r="E671">
        <f>[1]LISTADO_OTS!D671</f>
        <v>0</v>
      </c>
      <c r="F671">
        <f>[1]LISTADO_OTS!Q671</f>
        <v>1</v>
      </c>
      <c r="G671">
        <f>[1]LISTADO_OTS!R671</f>
        <v>1</v>
      </c>
      <c r="H671" t="str">
        <f>[1]LISTADO_OTS!H671</f>
        <v>Reparación de fuga en Larrazabal n33-34 (Llodio)</v>
      </c>
      <c r="I671" t="str">
        <f>[1]LISTADO_OTS!I671</f>
        <v>Reparación de fuga en Larrazabal n33-34 (Llodio)</v>
      </c>
      <c r="J671" s="1">
        <f>[1]LISTADO_OTS!F671</f>
        <v>45951</v>
      </c>
      <c r="K671" s="1">
        <f>[1]LISTADO_OTS!G671</f>
        <v>45951</v>
      </c>
      <c r="L671">
        <f>[1]LISTADO_OTS!M671</f>
        <v>43.140017999999998</v>
      </c>
      <c r="M671">
        <f>[1]LISTADO_OTS!N671</f>
        <v>-2.9815659999999999</v>
      </c>
      <c r="U671" t="b">
        <f>[1]LISTADO_OTS!O671</f>
        <v>1</v>
      </c>
      <c r="V671" t="str">
        <f>[1]LISTADO_OTS!J671</f>
        <v>Llodio</v>
      </c>
      <c r="W671">
        <f>[1]LISTADO_OTS!R671</f>
        <v>1</v>
      </c>
      <c r="X671" t="str">
        <f>[1]LISTADO_OTS!P671</f>
        <v>MIGUEL</v>
      </c>
      <c r="Y671">
        <v>1</v>
      </c>
      <c r="Z671">
        <f>[1]LISTADO_OTS!S671</f>
        <v>1</v>
      </c>
    </row>
    <row r="672" spans="1:26" x14ac:dyDescent="0.4">
      <c r="A672">
        <v>671</v>
      </c>
      <c r="B672" t="str">
        <f>[1]LISTADO_OTS!E672</f>
        <v>OT/0440</v>
      </c>
      <c r="C672">
        <f>VLOOKUP([1]LISTADO_OTS!B672,[1]Redes!$C$1:$E$5,3,FALSE)</f>
        <v>3</v>
      </c>
      <c r="D672">
        <f>[1]LISTADO_OTS!C672</f>
        <v>1</v>
      </c>
      <c r="E672">
        <f>[1]LISTADO_OTS!D672</f>
        <v>0</v>
      </c>
      <c r="F672">
        <f>[1]LISTADO_OTS!Q672</f>
        <v>5</v>
      </c>
      <c r="G672">
        <f>[1]LISTADO_OTS!R672</f>
        <v>5</v>
      </c>
      <c r="H672" t="str">
        <f>[1]LISTADO_OTS!H672</f>
        <v>Fuga en C/Mayor n33 en Berantevilla</v>
      </c>
      <c r="I672" t="str">
        <f>[1]LISTADO_OTS!I672</f>
        <v>Fuga en C/Mayor n33 en Berantevilla</v>
      </c>
      <c r="J672" s="1">
        <f>[1]LISTADO_OTS!F672</f>
        <v>45950</v>
      </c>
      <c r="K672" s="1">
        <f>[1]LISTADO_OTS!G672</f>
        <v>45951</v>
      </c>
      <c r="L672">
        <f>[1]LISTADO_OTS!M672</f>
        <v>42.683660000000003</v>
      </c>
      <c r="M672">
        <f>[1]LISTADO_OTS!N672</f>
        <v>-2.8569900000000001</v>
      </c>
      <c r="U672" t="b">
        <f>[1]LISTADO_OTS!O672</f>
        <v>1</v>
      </c>
      <c r="V672" t="str">
        <f>[1]LISTADO_OTS!J672</f>
        <v>Berantevilla</v>
      </c>
      <c r="W672">
        <f>[1]LISTADO_OTS!R672</f>
        <v>5</v>
      </c>
      <c r="X672" t="str">
        <f>[1]LISTADO_OTS!P672</f>
        <v>V</v>
      </c>
      <c r="Y672">
        <v>1</v>
      </c>
      <c r="Z672">
        <f>[1]LISTADO_OTS!S672</f>
        <v>1</v>
      </c>
    </row>
    <row r="673" spans="1:26" x14ac:dyDescent="0.4">
      <c r="A673">
        <v>672</v>
      </c>
      <c r="B673" t="str">
        <f>[1]LISTADO_OTS!E673</f>
        <v>OT/0441</v>
      </c>
      <c r="C673">
        <f>VLOOKUP([1]LISTADO_OTS!B673,[1]Redes!$C$1:$E$5,3,FALSE)</f>
        <v>3</v>
      </c>
      <c r="D673">
        <f>[1]LISTADO_OTS!C673</f>
        <v>1</v>
      </c>
      <c r="E673">
        <f>[1]LISTADO_OTS!D673</f>
        <v>0</v>
      </c>
      <c r="F673">
        <f>[1]LISTADO_OTS!Q673</f>
        <v>5</v>
      </c>
      <c r="G673">
        <f>[1]LISTADO_OTS!R673</f>
        <v>5</v>
      </c>
      <c r="H673" t="str">
        <f>[1]LISTADO_OTS!H673</f>
        <v>Reparación de Fuga en Pobes C/Fuente pudia n48</v>
      </c>
      <c r="I673" t="str">
        <f>[1]LISTADO_OTS!I673</f>
        <v>Fuga en Pobes C/Fuente pudia n48</v>
      </c>
      <c r="J673" s="1">
        <f>[1]LISTADO_OTS!F673</f>
        <v>45950</v>
      </c>
      <c r="K673" s="1">
        <f>[1]LISTADO_OTS!G673</f>
        <v>45951</v>
      </c>
      <c r="L673">
        <f>[1]LISTADO_OTS!M673</f>
        <v>42.802503000000002</v>
      </c>
      <c r="M673">
        <f>[1]LISTADO_OTS!N673</f>
        <v>-2.9108749999999999</v>
      </c>
      <c r="U673" t="b">
        <f>[1]LISTADO_OTS!O673</f>
        <v>1</v>
      </c>
      <c r="V673" t="str">
        <f>[1]LISTADO_OTS!J673</f>
        <v>Pobes</v>
      </c>
      <c r="W673">
        <f>[1]LISTADO_OTS!R673</f>
        <v>5</v>
      </c>
      <c r="X673" t="str">
        <f>[1]LISTADO_OTS!P673</f>
        <v>V</v>
      </c>
      <c r="Y673">
        <v>1</v>
      </c>
      <c r="Z673">
        <f>[1]LISTADO_OTS!S673</f>
        <v>1</v>
      </c>
    </row>
    <row r="674" spans="1:26" x14ac:dyDescent="0.4">
      <c r="A674">
        <v>673</v>
      </c>
      <c r="B674" t="str">
        <f>[1]LISTADO_OTS!E674</f>
        <v>TP/0318</v>
      </c>
      <c r="C674">
        <f>VLOOKUP([1]LISTADO_OTS!B674,[1]Redes!$C$1:$E$5,3,FALSE)</f>
        <v>3</v>
      </c>
      <c r="D674">
        <f>[1]LISTADO_OTS!C674</f>
        <v>2</v>
      </c>
      <c r="E674">
        <f>[1]LISTADO_OTS!D674</f>
        <v>12</v>
      </c>
      <c r="F674">
        <f>[1]LISTADO_OTS!Q674</f>
        <v>3</v>
      </c>
      <c r="G674">
        <f>[1]LISTADO_OTS!R674</f>
        <v>3</v>
      </c>
      <c r="H674" t="str">
        <f>[1]LISTADO_OTS!H674</f>
        <v>Corte de agua en Agurain C/HarriKrutz</v>
      </c>
      <c r="I674" t="str">
        <f>[1]LISTADO_OTS!I674</f>
        <v>Corte de agua en Agurain C/HarriKrutz</v>
      </c>
      <c r="J674" s="1">
        <f>[1]LISTADO_OTS!F674</f>
        <v>45952</v>
      </c>
      <c r="K674" s="1">
        <f>[1]LISTADO_OTS!G674</f>
        <v>45952</v>
      </c>
      <c r="L674" t="str">
        <f>[1]LISTADO_OTS!M674</f>
        <v/>
      </c>
      <c r="M674" t="str">
        <f>[1]LISTADO_OTS!N674</f>
        <v/>
      </c>
      <c r="U674" t="b">
        <f>[1]LISTADO_OTS!O674</f>
        <v>1</v>
      </c>
      <c r="V674" t="str">
        <f>[1]LISTADO_OTS!J674</f>
        <v>Agurain</v>
      </c>
      <c r="W674">
        <f>[1]LISTADO_OTS!R674</f>
        <v>3</v>
      </c>
      <c r="X674" t="str">
        <f>[1]LISTADO_OTS!P674</f>
        <v>V</v>
      </c>
      <c r="Y674">
        <v>1</v>
      </c>
      <c r="Z674">
        <f>[1]LISTADO_OTS!S674</f>
        <v>0</v>
      </c>
    </row>
    <row r="675" spans="1:26" x14ac:dyDescent="0.4">
      <c r="A675">
        <v>674</v>
      </c>
      <c r="B675" t="str">
        <f>[1]LISTADO_OTS!E675</f>
        <v>OT/0442</v>
      </c>
      <c r="C675">
        <f>VLOOKUP([1]LISTADO_OTS!B675,[1]Redes!$C$1:$E$5,3,FALSE)</f>
        <v>3</v>
      </c>
      <c r="D675">
        <f>[1]LISTADO_OTS!C675</f>
        <v>1</v>
      </c>
      <c r="E675">
        <f>[1]LISTADO_OTS!D675</f>
        <v>0</v>
      </c>
      <c r="F675">
        <f>[1]LISTADO_OTS!Q675</f>
        <v>1</v>
      </c>
      <c r="G675">
        <f>[1]LISTADO_OTS!R675</f>
        <v>1</v>
      </c>
      <c r="H675" t="str">
        <f>[1]LISTADO_OTS!H675</f>
        <v>Reparación de fuga en Retes de Tudela</v>
      </c>
      <c r="I675" t="str">
        <f>[1]LISTADO_OTS!I675</f>
        <v>Reparación de fuga en Retes de Tudela</v>
      </c>
      <c r="J675" s="1">
        <f>[1]LISTADO_OTS!F675</f>
        <v>45952</v>
      </c>
      <c r="K675" s="1">
        <f>[1]LISTADO_OTS!G675</f>
        <v>45952</v>
      </c>
      <c r="L675">
        <f>[1]LISTADO_OTS!M675</f>
        <v>43.114828000000003</v>
      </c>
      <c r="M675">
        <f>[1]LISTADO_OTS!N675</f>
        <v>-3.1690990000000001</v>
      </c>
      <c r="U675" t="b">
        <f>[1]LISTADO_OTS!O675</f>
        <v>1</v>
      </c>
      <c r="V675" t="str">
        <f>[1]LISTADO_OTS!J675</f>
        <v>Retes de Tudela</v>
      </c>
      <c r="W675">
        <f>[1]LISTADO_OTS!R675</f>
        <v>1</v>
      </c>
      <c r="X675" t="str">
        <f>[1]LISTADO_OTS!P675</f>
        <v>V</v>
      </c>
      <c r="Y675">
        <v>1</v>
      </c>
      <c r="Z675">
        <f>[1]LISTADO_OTS!S675</f>
        <v>1</v>
      </c>
    </row>
    <row r="676" spans="1:26" x14ac:dyDescent="0.4">
      <c r="A676">
        <v>675</v>
      </c>
      <c r="B676" t="str">
        <f>[1]LISTADO_OTS!E676</f>
        <v>TP/0319</v>
      </c>
      <c r="C676">
        <f>VLOOKUP([1]LISTADO_OTS!B676,[1]Redes!$C$1:$E$5,3,FALSE)</f>
        <v>2</v>
      </c>
      <c r="D676">
        <f>[1]LISTADO_OTS!C676</f>
        <v>2</v>
      </c>
      <c r="E676">
        <f>[1]LISTADO_OTS!D676</f>
        <v>3</v>
      </c>
      <c r="F676">
        <f>[1]LISTADO_OTS!Q676</f>
        <v>4</v>
      </c>
      <c r="G676">
        <f>[1]LISTADO_OTS!R676</f>
        <v>4</v>
      </c>
      <c r="H676" t="str">
        <f>[1]LISTADO_OTS!H676</f>
        <v>Mantenimiento de fosas Sépticas en Mendibil</v>
      </c>
      <c r="I676" t="str">
        <f>[1]LISTADO_OTS!I676</f>
        <v>Mantenimiento de fosas Sépticas en Mendibil</v>
      </c>
      <c r="J676" s="1">
        <f>[1]LISTADO_OTS!F676</f>
        <v>45952</v>
      </c>
      <c r="K676" s="1">
        <f>[1]LISTADO_OTS!G676</f>
        <v>45952</v>
      </c>
      <c r="L676">
        <f>[1]LISTADO_OTS!M676</f>
        <v>42.905535999999998</v>
      </c>
      <c r="M676">
        <f>[1]LISTADO_OTS!N676</f>
        <v>-2.6296080000000002</v>
      </c>
      <c r="U676" t="b">
        <f>[1]LISTADO_OTS!O676</f>
        <v>1</v>
      </c>
      <c r="V676" t="str">
        <f>[1]LISTADO_OTS!J676</f>
        <v>Mendibil</v>
      </c>
      <c r="W676">
        <f>[1]LISTADO_OTS!R676</f>
        <v>4</v>
      </c>
      <c r="X676" t="str">
        <f>[1]LISTADO_OTS!P676</f>
        <v>EMILIO KERMAN</v>
      </c>
      <c r="Y676">
        <v>1</v>
      </c>
      <c r="Z676">
        <f>[1]LISTADO_OTS!S676</f>
        <v>0</v>
      </c>
    </row>
    <row r="677" spans="1:26" x14ac:dyDescent="0.4">
      <c r="A677">
        <v>676</v>
      </c>
      <c r="B677" t="str">
        <f>[1]LISTADO_OTS!E677</f>
        <v>GF/0005</v>
      </c>
      <c r="C677">
        <f>VLOOKUP([1]LISTADO_OTS!B677,[1]Redes!$C$1:$E$5,3,FALSE)</f>
        <v>4</v>
      </c>
      <c r="D677">
        <f>[1]LISTADO_OTS!C677</f>
        <v>3</v>
      </c>
      <c r="E677">
        <f>[1]LISTADO_OTS!D677</f>
        <v>0</v>
      </c>
      <c r="F677">
        <f>[1]LISTADO_OTS!Q677</f>
        <v>10</v>
      </c>
      <c r="G677">
        <f>[1]LISTADO_OTS!R677</f>
        <v>10</v>
      </c>
      <c r="H677" t="str">
        <f>[1]LISTADO_OTS!H677</f>
        <v>Gastos fijos de explotación totales</v>
      </c>
      <c r="I677" t="str">
        <f>[1]LISTADO_OTS!I677</f>
        <v>Gastos fijos de explotación totales</v>
      </c>
      <c r="J677" s="1">
        <f>[1]LISTADO_OTS!F677</f>
        <v>45931</v>
      </c>
      <c r="K677" s="1">
        <f>[1]LISTADO_OTS!G677</f>
        <v>45961</v>
      </c>
      <c r="L677" t="str">
        <f>[1]LISTADO_OTS!M677</f>
        <v/>
      </c>
      <c r="M677" t="str">
        <f>[1]LISTADO_OTS!N677</f>
        <v/>
      </c>
      <c r="U677" t="b">
        <f>[1]LISTADO_OTS!O677</f>
        <v>1</v>
      </c>
      <c r="V677" t="str">
        <f>[1]LISTADO_OTS!J677</f>
        <v/>
      </c>
      <c r="W677">
        <f>[1]LISTADO_OTS!R677</f>
        <v>10</v>
      </c>
      <c r="X677" t="str">
        <f>[1]LISTADO_OTS!P677</f>
        <v>ELENA</v>
      </c>
      <c r="Y677">
        <v>1</v>
      </c>
      <c r="Z677">
        <f>[1]LISTADO_OTS!S677</f>
        <v>0</v>
      </c>
    </row>
    <row r="678" spans="1:26" x14ac:dyDescent="0.4">
      <c r="A678">
        <v>677</v>
      </c>
      <c r="B678" t="str">
        <f>[1]LISTADO_OTS!E678</f>
        <v>GF/0006</v>
      </c>
      <c r="C678">
        <f>VLOOKUP([1]LISTADO_OTS!B678,[1]Redes!$C$1:$E$5,3,FALSE)</f>
        <v>4</v>
      </c>
      <c r="D678">
        <f>[1]LISTADO_OTS!C678</f>
        <v>3</v>
      </c>
      <c r="E678">
        <f>[1]LISTADO_OTS!D678</f>
        <v>0</v>
      </c>
      <c r="F678">
        <f>[1]LISTADO_OTS!Q678</f>
        <v>10</v>
      </c>
      <c r="G678">
        <f>[1]LISTADO_OTS!R678</f>
        <v>10</v>
      </c>
      <c r="H678" t="str">
        <f>[1]LISTADO_OTS!H678</f>
        <v>Gestión documental del contrato</v>
      </c>
      <c r="I678" t="str">
        <f>[1]LISTADO_OTS!I678</f>
        <v>Gestión documental del contrato</v>
      </c>
      <c r="J678" s="1">
        <f>[1]LISTADO_OTS!F678</f>
        <v>45931</v>
      </c>
      <c r="K678" s="1">
        <f>[1]LISTADO_OTS!G678</f>
        <v>45961</v>
      </c>
      <c r="L678" t="str">
        <f>[1]LISTADO_OTS!M678</f>
        <v/>
      </c>
      <c r="M678" t="str">
        <f>[1]LISTADO_OTS!N678</f>
        <v/>
      </c>
      <c r="U678" t="b">
        <f>[1]LISTADO_OTS!O678</f>
        <v>1</v>
      </c>
      <c r="V678" t="str">
        <f>[1]LISTADO_OTS!J678</f>
        <v/>
      </c>
      <c r="W678">
        <f>[1]LISTADO_OTS!R678</f>
        <v>10</v>
      </c>
      <c r="X678" t="str">
        <f>[1]LISTADO_OTS!P678</f>
        <v>ELENA</v>
      </c>
      <c r="Y678">
        <v>1</v>
      </c>
      <c r="Z678">
        <f>[1]LISTADO_OTS!S678</f>
        <v>0</v>
      </c>
    </row>
    <row r="679" spans="1:26" x14ac:dyDescent="0.4">
      <c r="A679">
        <v>678</v>
      </c>
      <c r="B679" t="str">
        <f>[1]LISTADO_OTS!E679</f>
        <v>TP/0320</v>
      </c>
      <c r="C679">
        <f>VLOOKUP([1]LISTADO_OTS!B679,[1]Redes!$C$1:$E$5,3,FALSE)</f>
        <v>2</v>
      </c>
      <c r="D679">
        <f>[1]LISTADO_OTS!C679</f>
        <v>2</v>
      </c>
      <c r="E679">
        <f>[1]LISTADO_OTS!D679</f>
        <v>3</v>
      </c>
      <c r="F679">
        <f>[1]LISTADO_OTS!Q679</f>
        <v>4</v>
      </c>
      <c r="G679">
        <f>[1]LISTADO_OTS!R679</f>
        <v>4</v>
      </c>
      <c r="H679" t="str">
        <f>[1]LISTADO_OTS!H679</f>
        <v>Vaciado y limpieza de fosas sépticas de Luko</v>
      </c>
      <c r="I679" t="str">
        <f>[1]LISTADO_OTS!I679</f>
        <v>Vaciado y limpieza de fosas sépticas de Luko</v>
      </c>
      <c r="J679" s="1">
        <f>[1]LISTADO_OTS!F679</f>
        <v>45952</v>
      </c>
      <c r="K679" s="1">
        <f>[1]LISTADO_OTS!G679</f>
        <v>45952</v>
      </c>
      <c r="L679">
        <f>[1]LISTADO_OTS!M679</f>
        <v>42.933149999999998</v>
      </c>
      <c r="M679">
        <f>[1]LISTADO_OTS!N679</f>
        <v>-2.6412689999999999</v>
      </c>
      <c r="U679" t="b">
        <f>[1]LISTADO_OTS!O679</f>
        <v>1</v>
      </c>
      <c r="V679" t="str">
        <f>[1]LISTADO_OTS!J679</f>
        <v>Luko</v>
      </c>
      <c r="W679">
        <f>[1]LISTADO_OTS!R679</f>
        <v>4</v>
      </c>
      <c r="X679" t="str">
        <f>[1]LISTADO_OTS!P679</f>
        <v>EMILIO KERMAN</v>
      </c>
      <c r="Y679">
        <v>1</v>
      </c>
      <c r="Z679">
        <f>[1]LISTADO_OTS!S679</f>
        <v>0</v>
      </c>
    </row>
    <row r="680" spans="1:26" x14ac:dyDescent="0.4">
      <c r="A680">
        <v>679</v>
      </c>
      <c r="B680" t="str">
        <f>[1]LISTADO_OTS!E680</f>
        <v>OT/0443</v>
      </c>
      <c r="C680">
        <f>VLOOKUP([1]LISTADO_OTS!B680,[1]Redes!$C$1:$E$5,3,FALSE)</f>
        <v>3</v>
      </c>
      <c r="D680">
        <f>[1]LISTADO_OTS!C680</f>
        <v>1</v>
      </c>
      <c r="E680">
        <f>[1]LISTADO_OTS!D680</f>
        <v>0</v>
      </c>
      <c r="F680">
        <f>[1]LISTADO_OTS!Q680</f>
        <v>3</v>
      </c>
      <c r="G680">
        <f>[1]LISTADO_OTS!R680</f>
        <v>3</v>
      </c>
      <c r="H680" t="str">
        <f>[1]LISTADO_OTS!H680</f>
        <v>Reparación de fuga en acometida en C/Gauna n43 (Gauna)</v>
      </c>
      <c r="I680" t="str">
        <f>[1]LISTADO_OTS!I680</f>
        <v>Reparación de fuga en acometida en C/Gauna n43 (Gauna)</v>
      </c>
      <c r="J680" s="1">
        <f>[1]LISTADO_OTS!F680</f>
        <v>45952</v>
      </c>
      <c r="K680" s="1">
        <f>[1]LISTADO_OTS!G680</f>
        <v>45952</v>
      </c>
      <c r="L680">
        <f>[1]LISTADO_OTS!M680</f>
        <v>42.823960999999997</v>
      </c>
      <c r="M680">
        <f>[1]LISTADO_OTS!N680</f>
        <v>-2.4965540000000002</v>
      </c>
      <c r="U680" t="b">
        <f>[1]LISTADO_OTS!O680</f>
        <v>1</v>
      </c>
      <c r="V680" t="str">
        <f>[1]LISTADO_OTS!J680</f>
        <v>Gauna</v>
      </c>
      <c r="W680">
        <f>[1]LISTADO_OTS!R680</f>
        <v>3</v>
      </c>
      <c r="X680" t="str">
        <f>[1]LISTADO_OTS!P680</f>
        <v>EDU ZOUITA</v>
      </c>
      <c r="Y680">
        <v>1</v>
      </c>
      <c r="Z680">
        <f>[1]LISTADO_OTS!S680</f>
        <v>1</v>
      </c>
    </row>
    <row r="681" spans="1:26" x14ac:dyDescent="0.4">
      <c r="A681">
        <v>680</v>
      </c>
      <c r="B681" t="str">
        <f>[1]LISTADO_OTS!E681</f>
        <v>OT/0444</v>
      </c>
      <c r="C681">
        <f>VLOOKUP([1]LISTADO_OTS!B681,[1]Redes!$C$1:$E$5,3,FALSE)</f>
        <v>3</v>
      </c>
      <c r="D681">
        <f>[1]LISTADO_OTS!C681</f>
        <v>1</v>
      </c>
      <c r="E681">
        <f>[1]LISTADO_OTS!D681</f>
        <v>0</v>
      </c>
      <c r="F681">
        <f>[1]LISTADO_OTS!Q681</f>
        <v>1</v>
      </c>
      <c r="G681">
        <f>[1]LISTADO_OTS!R681</f>
        <v>1</v>
      </c>
      <c r="H681" t="str">
        <f>[1]LISTADO_OTS!H681</f>
        <v>Aviso de falta de presión en C/Otazu n1 (Luiando)</v>
      </c>
      <c r="I681" t="str">
        <f>[1]LISTADO_OTS!I681</f>
        <v>Aviso de falta de presión en C/Otazu n1 (Luiando)</v>
      </c>
      <c r="J681" s="1">
        <f>[1]LISTADO_OTS!F681</f>
        <v>45953</v>
      </c>
      <c r="K681" s="1">
        <f>[1]LISTADO_OTS!G681</f>
        <v>45953</v>
      </c>
      <c r="L681">
        <f>[1]LISTADO_OTS!M681</f>
        <v>43.106623999999996</v>
      </c>
      <c r="M681">
        <f>[1]LISTADO_OTS!N681</f>
        <v>-2.9961289999999998</v>
      </c>
      <c r="U681" t="b">
        <f>[1]LISTADO_OTS!O681</f>
        <v>1</v>
      </c>
      <c r="V681" t="str">
        <f>[1]LISTADO_OTS!J681</f>
        <v>Luiando</v>
      </c>
      <c r="W681">
        <f>[1]LISTADO_OTS!R681</f>
        <v>1</v>
      </c>
      <c r="X681" t="str">
        <f>[1]LISTADO_OTS!P681</f>
        <v>TOMAS</v>
      </c>
      <c r="Y681">
        <v>1</v>
      </c>
      <c r="Z681">
        <f>[1]LISTADO_OTS!S681</f>
        <v>3</v>
      </c>
    </row>
    <row r="682" spans="1:26" x14ac:dyDescent="0.4">
      <c r="A682">
        <v>681</v>
      </c>
      <c r="B682" t="str">
        <f>[1]LISTADO_OTS!E682</f>
        <v>TP/0321</v>
      </c>
      <c r="C682">
        <f>VLOOKUP([1]LISTADO_OTS!B682,[1]Redes!$C$1:$E$5,3,FALSE)</f>
        <v>5</v>
      </c>
      <c r="D682">
        <f>[1]LISTADO_OTS!C682</f>
        <v>2</v>
      </c>
      <c r="E682">
        <f>[1]LISTADO_OTS!D682</f>
        <v>1</v>
      </c>
      <c r="F682">
        <f>[1]LISTADO_OTS!Q682</f>
        <v>1</v>
      </c>
      <c r="G682">
        <f>[1]LISTADO_OTS!R682</f>
        <v>1</v>
      </c>
      <c r="H682" t="str">
        <f>[1]LISTADO_OTS!H682</f>
        <v>Mantenimiento preventivo saneamiento TUBACEX en ArtzIniega</v>
      </c>
      <c r="I682" t="str">
        <f>[1]LISTADO_OTS!I682</f>
        <v>Mantenimiento preventivo saneamiento TUBACEX en Artzeniega</v>
      </c>
      <c r="J682" s="1">
        <f>[1]LISTADO_OTS!F682</f>
        <v>45953</v>
      </c>
      <c r="K682" s="1">
        <f>[1]LISTADO_OTS!G682</f>
        <v>45953</v>
      </c>
      <c r="L682">
        <f>[1]LISTADO_OTS!M682</f>
        <v>43.123460000000001</v>
      </c>
      <c r="M682">
        <f>[1]LISTADO_OTS!N682</f>
        <v>-3.1190600000000002</v>
      </c>
      <c r="U682" t="b">
        <f>[1]LISTADO_OTS!O682</f>
        <v>1</v>
      </c>
      <c r="V682" t="str">
        <f>[1]LISTADO_OTS!J682</f>
        <v>Artziniega</v>
      </c>
      <c r="W682">
        <f>[1]LISTADO_OTS!R682</f>
        <v>1</v>
      </c>
      <c r="X682" t="str">
        <f>[1]LISTADO_OTS!P682</f>
        <v/>
      </c>
      <c r="Y682">
        <v>1</v>
      </c>
      <c r="Z682">
        <f>[1]LISTADO_OTS!S682</f>
        <v>0</v>
      </c>
    </row>
    <row r="683" spans="1:26" x14ac:dyDescent="0.4">
      <c r="A683">
        <v>682</v>
      </c>
      <c r="B683" t="str">
        <f>[1]LISTADO_OTS!E683</f>
        <v>OT/0445</v>
      </c>
      <c r="C683">
        <f>VLOOKUP([1]LISTADO_OTS!B683,[1]Redes!$C$1:$E$5,3,FALSE)</f>
        <v>3</v>
      </c>
      <c r="D683">
        <f>[1]LISTADO_OTS!C683</f>
        <v>1</v>
      </c>
      <c r="E683">
        <f>[1]LISTADO_OTS!D683</f>
        <v>0</v>
      </c>
      <c r="F683">
        <f>[1]LISTADO_OTS!Q683</f>
        <v>5</v>
      </c>
      <c r="G683">
        <f>[1]LISTADO_OTS!R683</f>
        <v>5</v>
      </c>
      <c r="H683" t="str">
        <f>[1]LISTADO_OTS!H683</f>
        <v>Reparación de fuga en Lacorzanilla  Berantevilla (Ermita la Virgen)</v>
      </c>
      <c r="I683" t="str">
        <f>[1]LISTADO_OTS!I683</f>
        <v>Reparación de fuga en Lacorzanilla  Berantevilla (Ermita la Virgen)</v>
      </c>
      <c r="J683" s="1">
        <f>[1]LISTADO_OTS!F683</f>
        <v>45953</v>
      </c>
      <c r="K683" s="1">
        <f>[1]LISTADO_OTS!G683</f>
        <v>45953</v>
      </c>
      <c r="L683">
        <f>[1]LISTADO_OTS!M683</f>
        <v>42.679879999999997</v>
      </c>
      <c r="M683">
        <f>[1]LISTADO_OTS!N683</f>
        <v>-2.8829500000000001</v>
      </c>
      <c r="U683" t="b">
        <f>[1]LISTADO_OTS!O683</f>
        <v>1</v>
      </c>
      <c r="V683" t="str">
        <f>[1]LISTADO_OTS!J683</f>
        <v>Lacorzanilla</v>
      </c>
      <c r="W683">
        <f>[1]LISTADO_OTS!R683</f>
        <v>5</v>
      </c>
      <c r="X683" t="str">
        <f>[1]LISTADO_OTS!P683</f>
        <v>EDU MIGUEL</v>
      </c>
      <c r="Y683">
        <v>1</v>
      </c>
      <c r="Z683">
        <f>[1]LISTADO_OTS!S683</f>
        <v>1</v>
      </c>
    </row>
    <row r="684" spans="1:26" x14ac:dyDescent="0.4">
      <c r="A684">
        <v>683</v>
      </c>
      <c r="B684" t="str">
        <f>[1]LISTADO_OTS!E684</f>
        <v>TP/0322</v>
      </c>
      <c r="C684">
        <f>VLOOKUP([1]LISTADO_OTS!B684,[1]Redes!$C$1:$E$5,3,FALSE)</f>
        <v>3</v>
      </c>
      <c r="D684">
        <f>[1]LISTADO_OTS!C684</f>
        <v>2</v>
      </c>
      <c r="E684">
        <f>[1]LISTADO_OTS!D684</f>
        <v>12</v>
      </c>
      <c r="F684">
        <f>[1]LISTADO_OTS!Q684</f>
        <v>1</v>
      </c>
      <c r="G684">
        <f>[1]LISTADO_OTS!R684</f>
        <v>1</v>
      </c>
      <c r="H684" t="str">
        <f>[1]LISTADO_OTS!H684</f>
        <v>Corte de agua en C/San Jose (Amurrio)</v>
      </c>
      <c r="I684" t="str">
        <f>[1]LISTADO_OTS!I684</f>
        <v>Corte de agua en C/San Jose (Amurrio)</v>
      </c>
      <c r="J684" s="1">
        <f>[1]LISTADO_OTS!F684</f>
        <v>45953</v>
      </c>
      <c r="K684" s="1">
        <f>[1]LISTADO_OTS!G684</f>
        <v>45953</v>
      </c>
      <c r="L684" t="str">
        <f>[1]LISTADO_OTS!M684</f>
        <v/>
      </c>
      <c r="M684" t="str">
        <f>[1]LISTADO_OTS!N684</f>
        <v/>
      </c>
      <c r="U684" t="b">
        <f>[1]LISTADO_OTS!O684</f>
        <v>1</v>
      </c>
      <c r="V684" t="str">
        <f>[1]LISTADO_OTS!J684</f>
        <v>Amurrio</v>
      </c>
      <c r="W684">
        <f>[1]LISTADO_OTS!R684</f>
        <v>1</v>
      </c>
      <c r="X684" t="str">
        <f>[1]LISTADO_OTS!P684</f>
        <v>V</v>
      </c>
      <c r="Y684">
        <v>1</v>
      </c>
      <c r="Z684">
        <f>[1]LISTADO_OTS!S684</f>
        <v>0</v>
      </c>
    </row>
    <row r="685" spans="1:26" x14ac:dyDescent="0.4">
      <c r="A685">
        <v>684</v>
      </c>
      <c r="B685" t="str">
        <f>[1]LISTADO_OTS!E685</f>
        <v>TP/0323</v>
      </c>
      <c r="C685">
        <f>VLOOKUP([1]LISTADO_OTS!B685,[1]Redes!$C$1:$E$5,3,FALSE)</f>
        <v>3</v>
      </c>
      <c r="D685">
        <f>[1]LISTADO_OTS!C685</f>
        <v>2</v>
      </c>
      <c r="E685">
        <f>[1]LISTADO_OTS!D685</f>
        <v>8</v>
      </c>
      <c r="F685">
        <f>[1]LISTADO_OTS!Q685</f>
        <v>5</v>
      </c>
      <c r="G685">
        <f>[1]LISTADO_OTS!R685</f>
        <v>5</v>
      </c>
      <c r="H685" t="str">
        <f>[1]LISTADO_OTS!H685</f>
        <v>Instalación contador C/La paz n7 (Rivabellosa)</v>
      </c>
      <c r="I685" t="str">
        <f>[1]LISTADO_OTS!I685</f>
        <v>Instalación contador C/La paz n7 (Rivabellosa)</v>
      </c>
      <c r="J685" s="1">
        <f>[1]LISTADO_OTS!F685</f>
        <v>45953</v>
      </c>
      <c r="K685" s="1">
        <f>[1]LISTADO_OTS!G685</f>
        <v>45953</v>
      </c>
      <c r="L685">
        <f>[1]LISTADO_OTS!M685</f>
        <v>42.708427</v>
      </c>
      <c r="M685">
        <f>[1]LISTADO_OTS!N685</f>
        <v>-2.919311</v>
      </c>
      <c r="U685" t="b">
        <f>[1]LISTADO_OTS!O685</f>
        <v>1</v>
      </c>
      <c r="V685" t="str">
        <f>[1]LISTADO_OTS!J685</f>
        <v>Ribabellosa</v>
      </c>
      <c r="W685">
        <f>[1]LISTADO_OTS!R685</f>
        <v>5</v>
      </c>
      <c r="X685" t="str">
        <f>[1]LISTADO_OTS!P685</f>
        <v>KERMAN</v>
      </c>
      <c r="Y685">
        <v>1</v>
      </c>
      <c r="Z685">
        <f>[1]LISTADO_OTS!S685</f>
        <v>0</v>
      </c>
    </row>
    <row r="686" spans="1:26" x14ac:dyDescent="0.4">
      <c r="A686">
        <v>685</v>
      </c>
      <c r="B686" t="str">
        <f>[1]LISTADO_OTS!E686</f>
        <v>TP/0324</v>
      </c>
      <c r="C686">
        <f>VLOOKUP([1]LISTADO_OTS!B686,[1]Redes!$C$1:$E$5,3,FALSE)</f>
        <v>3</v>
      </c>
      <c r="D686">
        <f>[1]LISTADO_OTS!C686</f>
        <v>2</v>
      </c>
      <c r="E686">
        <f>[1]LISTADO_OTS!D686</f>
        <v>9</v>
      </c>
      <c r="F686">
        <f>[1]LISTADO_OTS!Q686</f>
        <v>5</v>
      </c>
      <c r="G686">
        <f>[1]LISTADO_OTS!R686</f>
        <v>5</v>
      </c>
      <c r="H686" t="str">
        <f>[1]LISTADO_OTS!H686</f>
        <v>Retirada contador junto al cemanterio en Jokano</v>
      </c>
      <c r="I686" t="str">
        <f>[1]LISTADO_OTS!I686</f>
        <v>Retirada contador junto al cemanterio en Jokano</v>
      </c>
      <c r="J686" s="1">
        <f>[1]LISTADO_OTS!F686</f>
        <v>45953</v>
      </c>
      <c r="K686" s="1">
        <f>[1]LISTADO_OTS!G686</f>
        <v>45953</v>
      </c>
      <c r="L686">
        <f>[1]LISTADO_OTS!M686</f>
        <v>42.870984999999997</v>
      </c>
      <c r="M686">
        <f>[1]LISTADO_OTS!N686</f>
        <v>-2.9169450000000001</v>
      </c>
      <c r="U686" t="b">
        <f>[1]LISTADO_OTS!O686</f>
        <v>1</v>
      </c>
      <c r="V686" t="str">
        <f>[1]LISTADO_OTS!J686</f>
        <v>Jókano</v>
      </c>
      <c r="W686">
        <f>[1]LISTADO_OTS!R686</f>
        <v>5</v>
      </c>
      <c r="X686" t="str">
        <f>[1]LISTADO_OTS!P686</f>
        <v>KERMAN</v>
      </c>
      <c r="Y686">
        <v>1</v>
      </c>
      <c r="Z686">
        <f>[1]LISTADO_OTS!S686</f>
        <v>0</v>
      </c>
    </row>
    <row r="687" spans="1:26" x14ac:dyDescent="0.4">
      <c r="A687">
        <v>686</v>
      </c>
      <c r="B687" t="str">
        <f>[1]LISTADO_OTS!E687</f>
        <v>OT/0446</v>
      </c>
      <c r="C687">
        <f>VLOOKUP([1]LISTADO_OTS!B687,[1]Redes!$C$1:$E$5,3,FALSE)</f>
        <v>3</v>
      </c>
      <c r="D687">
        <f>[1]LISTADO_OTS!C687</f>
        <v>1</v>
      </c>
      <c r="E687">
        <f>[1]LISTADO_OTS!D687</f>
        <v>0</v>
      </c>
      <c r="F687">
        <f>[1]LISTADO_OTS!Q687</f>
        <v>5</v>
      </c>
      <c r="G687">
        <f>[1]LISTADO_OTS!R687</f>
        <v>5</v>
      </c>
      <c r="H687" t="str">
        <f>[1]LISTADO_OTS!H687</f>
        <v>Reparar fuga en contador en C/Lorrabido n28 (Barrio)</v>
      </c>
      <c r="I687" t="str">
        <f>[1]LISTADO_OTS!I687</f>
        <v>Reparar fuga en contador en C/Lorrabido n28 (Barrio)</v>
      </c>
      <c r="J687" s="1">
        <f>[1]LISTADO_OTS!F687</f>
        <v>45953</v>
      </c>
      <c r="K687" s="1">
        <f>[1]LISTADO_OTS!G687</f>
        <v>45953</v>
      </c>
      <c r="L687">
        <f>[1]LISTADO_OTS!M687</f>
        <v>42.808264999999999</v>
      </c>
      <c r="M687">
        <f>[1]LISTADO_OTS!N687</f>
        <v>-3.088498</v>
      </c>
      <c r="U687" t="b">
        <f>[1]LISTADO_OTS!O687</f>
        <v>1</v>
      </c>
      <c r="V687" t="str">
        <f>[1]LISTADO_OTS!J687</f>
        <v>Barrio</v>
      </c>
      <c r="W687">
        <f>[1]LISTADO_OTS!R687</f>
        <v>5</v>
      </c>
      <c r="X687" t="str">
        <f>[1]LISTADO_OTS!P687</f>
        <v>KERMAN</v>
      </c>
      <c r="Y687">
        <v>1</v>
      </c>
      <c r="Z687">
        <f>[1]LISTADO_OTS!S687</f>
        <v>1</v>
      </c>
    </row>
    <row r="688" spans="1:26" x14ac:dyDescent="0.4">
      <c r="A688">
        <v>687</v>
      </c>
      <c r="B688" t="str">
        <f>[1]LISTADO_OTS!E688</f>
        <v>OT/0447</v>
      </c>
      <c r="C688">
        <f>VLOOKUP([1]LISTADO_OTS!B688,[1]Redes!$C$1:$E$5,3,FALSE)</f>
        <v>3</v>
      </c>
      <c r="D688">
        <f>[1]LISTADO_OTS!C688</f>
        <v>1</v>
      </c>
      <c r="E688">
        <f>[1]LISTADO_OTS!D688</f>
        <v>0</v>
      </c>
      <c r="F688">
        <f>[1]LISTADO_OTS!Q688</f>
        <v>5</v>
      </c>
      <c r="G688">
        <f>[1]LISTADO_OTS!R688</f>
        <v>5</v>
      </c>
      <c r="H688" t="str">
        <f>[1]LISTADO_OTS!H688</f>
        <v>Reparación de fuga en Carretera Bilbao 68 ( Espejo)</v>
      </c>
      <c r="I688" t="str">
        <f>[1]LISTADO_OTS!I688</f>
        <v>Reparación de fuga en Carretera Bilbao 68 ( Espejo)</v>
      </c>
      <c r="J688" s="1">
        <f>[1]LISTADO_OTS!F688</f>
        <v>45953</v>
      </c>
      <c r="K688" s="1">
        <f>[1]LISTADO_OTS!G688</f>
        <v>45953</v>
      </c>
      <c r="L688">
        <f>[1]LISTADO_OTS!M688</f>
        <v>42.809967999999998</v>
      </c>
      <c r="M688">
        <f>[1]LISTADO_OTS!N688</f>
        <v>-3.0467870000000001</v>
      </c>
      <c r="U688" t="b">
        <f>[1]LISTADO_OTS!O688</f>
        <v>1</v>
      </c>
      <c r="V688" t="str">
        <f>[1]LISTADO_OTS!J688</f>
        <v>Espejo</v>
      </c>
      <c r="W688">
        <f>[1]LISTADO_OTS!R688</f>
        <v>5</v>
      </c>
      <c r="X688" t="str">
        <f>[1]LISTADO_OTS!P688</f>
        <v>KERMAN</v>
      </c>
      <c r="Y688">
        <v>1</v>
      </c>
      <c r="Z688">
        <f>[1]LISTADO_OTS!S688</f>
        <v>1</v>
      </c>
    </row>
    <row r="689" spans="1:26" x14ac:dyDescent="0.4">
      <c r="A689">
        <v>688</v>
      </c>
      <c r="B689" t="str">
        <f>[1]LISTADO_OTS!E689</f>
        <v>OT/0448</v>
      </c>
      <c r="C689">
        <f>VLOOKUP([1]LISTADO_OTS!B689,[1]Redes!$C$1:$E$5,3,FALSE)</f>
        <v>3</v>
      </c>
      <c r="D689">
        <f>[1]LISTADO_OTS!C689</f>
        <v>1</v>
      </c>
      <c r="E689">
        <f>[1]LISTADO_OTS!D689</f>
        <v>0</v>
      </c>
      <c r="F689">
        <f>[1]LISTADO_OTS!Q689</f>
        <v>1</v>
      </c>
      <c r="G689">
        <f>[1]LISTADO_OTS!R689</f>
        <v>1</v>
      </c>
      <c r="H689" t="str">
        <f>[1]LISTADO_OTS!H689</f>
        <v>Aviso de fuga en C/Zumalakarregi n38 (Llodio)</v>
      </c>
      <c r="I689" t="str">
        <f>[1]LISTADO_OTS!I689</f>
        <v>Aviso de fuga en C/Zumalakarregi n38 (Llodio)</v>
      </c>
      <c r="J689" s="1">
        <f>[1]LISTADO_OTS!F689</f>
        <v>45953</v>
      </c>
      <c r="K689" s="1">
        <f>[1]LISTADO_OTS!G689</f>
        <v>45953</v>
      </c>
      <c r="L689">
        <f>[1]LISTADO_OTS!M689</f>
        <v>43.14302</v>
      </c>
      <c r="M689">
        <f>[1]LISTADO_OTS!N689</f>
        <v>-2.9635799999999999</v>
      </c>
      <c r="U689" t="b">
        <f>[1]LISTADO_OTS!O689</f>
        <v>1</v>
      </c>
      <c r="V689" t="str">
        <f>[1]LISTADO_OTS!J689</f>
        <v>Llodio</v>
      </c>
      <c r="W689">
        <f>[1]LISTADO_OTS!R689</f>
        <v>1</v>
      </c>
      <c r="X689" t="str">
        <f>[1]LISTADO_OTS!P689</f>
        <v>JOSEBA</v>
      </c>
      <c r="Y689">
        <v>1</v>
      </c>
      <c r="Z689">
        <f>[1]LISTADO_OTS!S689</f>
        <v>1</v>
      </c>
    </row>
    <row r="690" spans="1:26" x14ac:dyDescent="0.4">
      <c r="A690">
        <v>689</v>
      </c>
      <c r="B690" t="str">
        <f>[1]LISTADO_OTS!E690</f>
        <v>OT/0449</v>
      </c>
      <c r="C690">
        <f>VLOOKUP([1]LISTADO_OTS!B690,[1]Redes!$C$1:$E$5,3,FALSE)</f>
        <v>3</v>
      </c>
      <c r="D690">
        <f>[1]LISTADO_OTS!C690</f>
        <v>1</v>
      </c>
      <c r="E690">
        <f>[1]LISTADO_OTS!D690</f>
        <v>0</v>
      </c>
      <c r="F690">
        <f>[1]LISTADO_OTS!Q690</f>
        <v>1</v>
      </c>
      <c r="G690">
        <f>[1]LISTADO_OTS!R690</f>
        <v>1</v>
      </c>
      <c r="H690" t="str">
        <f>[1]LISTADO_OTS!H690</f>
        <v>Aviso por falta de agua en C/Larrimbe n29 (Amurrio)</v>
      </c>
      <c r="I690" t="str">
        <f>[1]LISTADO_OTS!I690</f>
        <v>Aviso por falta de agua en C/Larrimbe n29 (Amurrio)</v>
      </c>
      <c r="J690" s="1">
        <f>[1]LISTADO_OTS!F690</f>
        <v>45954</v>
      </c>
      <c r="K690" s="1">
        <f>[1]LISTADO_OTS!G690</f>
        <v>45955</v>
      </c>
      <c r="L690">
        <f>[1]LISTADO_OTS!M690</f>
        <v>43.035997000000002</v>
      </c>
      <c r="M690">
        <f>[1]LISTADO_OTS!N690</f>
        <v>-2.9750459999999999</v>
      </c>
      <c r="U690" t="b">
        <f>[1]LISTADO_OTS!O690</f>
        <v>1</v>
      </c>
      <c r="V690" t="str">
        <f>[1]LISTADO_OTS!J690</f>
        <v>Amurrio</v>
      </c>
      <c r="W690">
        <f>[1]LISTADO_OTS!R690</f>
        <v>1</v>
      </c>
      <c r="X690" t="str">
        <f>[1]LISTADO_OTS!P690</f>
        <v>MIGUEL JOSEBA</v>
      </c>
      <c r="Y690">
        <v>1</v>
      </c>
      <c r="Z690">
        <f>[1]LISTADO_OTS!S690</f>
        <v>3</v>
      </c>
    </row>
    <row r="691" spans="1:26" x14ac:dyDescent="0.4">
      <c r="A691">
        <v>690</v>
      </c>
      <c r="B691" t="str">
        <f>[1]LISTADO_OTS!E691</f>
        <v>TP/0325</v>
      </c>
      <c r="C691">
        <f>VLOOKUP([1]LISTADO_OTS!B691,[1]Redes!$C$1:$E$5,3,FALSE)</f>
        <v>1</v>
      </c>
      <c r="D691">
        <f>[1]LISTADO_OTS!C691</f>
        <v>2</v>
      </c>
      <c r="E691">
        <f>[1]LISTADO_OTS!D691</f>
        <v>2</v>
      </c>
      <c r="F691">
        <f>[1]LISTADO_OTS!Q691</f>
        <v>1</v>
      </c>
      <c r="G691">
        <f>[1]LISTADO_OTS!R691</f>
        <v>1</v>
      </c>
      <c r="H691" t="str">
        <f>[1]LISTADO_OTS!H691</f>
        <v>Limpieza de captaciones Aiaraldea</v>
      </c>
      <c r="I691" t="str">
        <f>[1]LISTADO_OTS!I691</f>
        <v>Limpieza de captaciones Aiaraldea</v>
      </c>
      <c r="J691" s="1">
        <f>[1]LISTADO_OTS!F691</f>
        <v>45954</v>
      </c>
      <c r="K691" s="1">
        <f>[1]LISTADO_OTS!G691</f>
        <v>45954</v>
      </c>
      <c r="L691" t="str">
        <f>[1]LISTADO_OTS!M691</f>
        <v/>
      </c>
      <c r="M691" t="str">
        <f>[1]LISTADO_OTS!N691</f>
        <v/>
      </c>
      <c r="U691" t="b">
        <f>[1]LISTADO_OTS!O691</f>
        <v>1</v>
      </c>
      <c r="V691" t="str">
        <f>[1]LISTADO_OTS!J691</f>
        <v>Aiaraldea</v>
      </c>
      <c r="W691">
        <f>[1]LISTADO_OTS!R691</f>
        <v>1</v>
      </c>
      <c r="X691" t="str">
        <f>[1]LISTADO_OTS!P691</f>
        <v>V</v>
      </c>
      <c r="Y691">
        <v>1</v>
      </c>
      <c r="Z691">
        <f>[1]LISTADO_OTS!S691</f>
        <v>0</v>
      </c>
    </row>
    <row r="692" spans="1:26" x14ac:dyDescent="0.4">
      <c r="A692">
        <v>691</v>
      </c>
      <c r="B692" t="str">
        <f>[1]LISTADO_OTS!E692</f>
        <v>TP/0326</v>
      </c>
      <c r="C692">
        <f>VLOOKUP([1]LISTADO_OTS!B692,[1]Redes!$C$1:$E$5,3,FALSE)</f>
        <v>3</v>
      </c>
      <c r="D692">
        <f>[1]LISTADO_OTS!C692</f>
        <v>2</v>
      </c>
      <c r="E692">
        <f>[1]LISTADO_OTS!D692</f>
        <v>12</v>
      </c>
      <c r="F692">
        <f>[1]LISTADO_OTS!Q692</f>
        <v>1</v>
      </c>
      <c r="G692">
        <f>[1]LISTADO_OTS!R692</f>
        <v>1</v>
      </c>
      <c r="H692" t="str">
        <f>[1]LISTADO_OTS!H692</f>
        <v>Corte de agua en C/Goikolarra en Amurrio</v>
      </c>
      <c r="I692" t="str">
        <f>[1]LISTADO_OTS!I692</f>
        <v>Corte de agua en C/Goikolarra en Amurrio</v>
      </c>
      <c r="J692" s="1">
        <f>[1]LISTADO_OTS!F692</f>
        <v>45954</v>
      </c>
      <c r="K692" s="1">
        <f>[1]LISTADO_OTS!G692</f>
        <v>45954</v>
      </c>
      <c r="L692" t="str">
        <f>[1]LISTADO_OTS!M692</f>
        <v/>
      </c>
      <c r="M692" t="str">
        <f>[1]LISTADO_OTS!N692</f>
        <v/>
      </c>
      <c r="U692" t="b">
        <f>[1]LISTADO_OTS!O692</f>
        <v>1</v>
      </c>
      <c r="V692" t="str">
        <f>[1]LISTADO_OTS!J692</f>
        <v>Amurrio</v>
      </c>
      <c r="W692">
        <f>[1]LISTADO_OTS!R692</f>
        <v>1</v>
      </c>
      <c r="X692" t="str">
        <f>[1]LISTADO_OTS!P692</f>
        <v>V</v>
      </c>
      <c r="Y692">
        <v>1</v>
      </c>
      <c r="Z692">
        <f>[1]LISTADO_OTS!S692</f>
        <v>0</v>
      </c>
    </row>
    <row r="693" spans="1:26" x14ac:dyDescent="0.4">
      <c r="A693">
        <v>692</v>
      </c>
      <c r="B693" t="str">
        <f>[1]LISTADO_OTS!E693</f>
        <v>TP/0327</v>
      </c>
      <c r="C693">
        <f>VLOOKUP([1]LISTADO_OTS!B693,[1]Redes!$C$1:$E$5,3,FALSE)</f>
        <v>3</v>
      </c>
      <c r="D693">
        <f>[1]LISTADO_OTS!C693</f>
        <v>2</v>
      </c>
      <c r="E693">
        <f>[1]LISTADO_OTS!D693</f>
        <v>17</v>
      </c>
      <c r="F693">
        <f>[1]LISTADO_OTS!Q693</f>
        <v>1</v>
      </c>
      <c r="G693">
        <f>[1]LISTADO_OTS!R693</f>
        <v>1</v>
      </c>
      <c r="H693" t="str">
        <f>[1]LISTADO_OTS!H693</f>
        <v>Limpieza de red en Olabezar (La Cadena)</v>
      </c>
      <c r="I693" t="str">
        <f>[1]LISTADO_OTS!I693</f>
        <v>Limpieza de red en Olabezar (La Cadena)</v>
      </c>
      <c r="J693" s="1">
        <f>[1]LISTADO_OTS!F693</f>
        <v>45954</v>
      </c>
      <c r="K693" s="1">
        <f>[1]LISTADO_OTS!G693</f>
        <v>45954</v>
      </c>
      <c r="L693" t="str">
        <f>[1]LISTADO_OTS!M693</f>
        <v/>
      </c>
      <c r="M693" t="str">
        <f>[1]LISTADO_OTS!N693</f>
        <v/>
      </c>
      <c r="U693" t="b">
        <f>[1]LISTADO_OTS!O693</f>
        <v>1</v>
      </c>
      <c r="V693" t="str">
        <f>[1]LISTADO_OTS!J693</f>
        <v>Olabezar</v>
      </c>
      <c r="W693">
        <f>[1]LISTADO_OTS!R693</f>
        <v>1</v>
      </c>
      <c r="X693" t="str">
        <f>[1]LISTADO_OTS!P693</f>
        <v>V</v>
      </c>
      <c r="Y693">
        <v>1</v>
      </c>
      <c r="Z693">
        <f>[1]LISTADO_OTS!S693</f>
        <v>0</v>
      </c>
    </row>
    <row r="694" spans="1:26" x14ac:dyDescent="0.4">
      <c r="A694">
        <v>693</v>
      </c>
      <c r="B694" t="str">
        <f>[1]LISTADO_OTS!E694</f>
        <v>TP/0328</v>
      </c>
      <c r="C694">
        <f>VLOOKUP([1]LISTADO_OTS!B694,[1]Redes!$C$1:$E$5,3,FALSE)</f>
        <v>3</v>
      </c>
      <c r="D694">
        <f>[1]LISTADO_OTS!C694</f>
        <v>2</v>
      </c>
      <c r="E694">
        <f>[1]LISTADO_OTS!D694</f>
        <v>10</v>
      </c>
      <c r="F694">
        <f>[1]LISTADO_OTS!Q694</f>
        <v>1</v>
      </c>
      <c r="G694">
        <f>[1]LISTADO_OTS!R694</f>
        <v>1</v>
      </c>
      <c r="H694" t="str">
        <f>[1]LISTADO_OTS!H694</f>
        <v>Sustitución de contador en C/Goikolarra (Amurrio)</v>
      </c>
      <c r="I694" t="str">
        <f>[1]LISTADO_OTS!I694</f>
        <v>Sustitución de contador en C/Goikolarra (Amurrio)</v>
      </c>
      <c r="J694" s="1">
        <f>[1]LISTADO_OTS!F694</f>
        <v>45954</v>
      </c>
      <c r="K694" s="1">
        <f>[1]LISTADO_OTS!G694</f>
        <v>45954</v>
      </c>
      <c r="L694" t="str">
        <f>[1]LISTADO_OTS!M694</f>
        <v/>
      </c>
      <c r="M694" t="str">
        <f>[1]LISTADO_OTS!N694</f>
        <v/>
      </c>
      <c r="U694" t="b">
        <f>[1]LISTADO_OTS!O694</f>
        <v>1</v>
      </c>
      <c r="V694" t="str">
        <f>[1]LISTADO_OTS!J694</f>
        <v>Amurrio</v>
      </c>
      <c r="W694">
        <f>[1]LISTADO_OTS!R694</f>
        <v>1</v>
      </c>
      <c r="X694" t="str">
        <f>[1]LISTADO_OTS!P694</f>
        <v>IÑIGO</v>
      </c>
      <c r="Y694">
        <v>1</v>
      </c>
      <c r="Z694">
        <f>[1]LISTADO_OTS!S694</f>
        <v>0</v>
      </c>
    </row>
    <row r="695" spans="1:26" x14ac:dyDescent="0.4">
      <c r="A695">
        <v>694</v>
      </c>
      <c r="B695" t="str">
        <f>[1]LISTADO_OTS!E695</f>
        <v>TP/0329</v>
      </c>
      <c r="C695">
        <f>VLOOKUP([1]LISTADO_OTS!B695,[1]Redes!$C$1:$E$5,3,FALSE)</f>
        <v>3</v>
      </c>
      <c r="D695">
        <f>[1]LISTADO_OTS!C695</f>
        <v>2</v>
      </c>
      <c r="E695">
        <f>[1]LISTADO_OTS!D695</f>
        <v>8</v>
      </c>
      <c r="F695">
        <f>[1]LISTADO_OTS!Q695</f>
        <v>3</v>
      </c>
      <c r="G695">
        <f>[1]LISTADO_OTS!R695</f>
        <v>3</v>
      </c>
      <c r="H695" t="str">
        <f>[1]LISTADO_OTS!H695</f>
        <v>Instalación contador C/Treviño n5 (Agurain)</v>
      </c>
      <c r="I695" t="str">
        <f>[1]LISTADO_OTS!I695</f>
        <v>Instalación contador C/Treviño n5 (Agurain)</v>
      </c>
      <c r="J695" s="1">
        <f>[1]LISTADO_OTS!F695</f>
        <v>45954</v>
      </c>
      <c r="K695" s="1">
        <f>[1]LISTADO_OTS!G695</f>
        <v>45954</v>
      </c>
      <c r="L695">
        <f>[1]LISTADO_OTS!M695</f>
        <v>42.846809999999998</v>
      </c>
      <c r="M695">
        <f>[1]LISTADO_OTS!N695</f>
        <v>-2.3890099999999999</v>
      </c>
      <c r="U695" t="b">
        <f>[1]LISTADO_OTS!O695</f>
        <v>1</v>
      </c>
      <c r="V695" t="str">
        <f>[1]LISTADO_OTS!J695</f>
        <v>Agurain</v>
      </c>
      <c r="W695">
        <f>[1]LISTADO_OTS!R695</f>
        <v>3</v>
      </c>
      <c r="X695" t="str">
        <f>[1]LISTADO_OTS!P695</f>
        <v>IÑIGO</v>
      </c>
      <c r="Y695">
        <v>1</v>
      </c>
      <c r="Z695">
        <f>[1]LISTADO_OTS!S695</f>
        <v>0</v>
      </c>
    </row>
    <row r="696" spans="1:26" x14ac:dyDescent="0.4">
      <c r="A696">
        <v>695</v>
      </c>
      <c r="B696" t="str">
        <f>[1]LISTADO_OTS!E696</f>
        <v>TP/0330</v>
      </c>
      <c r="C696">
        <f>VLOOKUP([1]LISTADO_OTS!B696,[1]Redes!$C$1:$E$5,3,FALSE)</f>
        <v>5</v>
      </c>
      <c r="D696">
        <f>[1]LISTADO_OTS!C696</f>
        <v>2</v>
      </c>
      <c r="E696">
        <f>[1]LISTADO_OTS!D696</f>
        <v>1</v>
      </c>
      <c r="F696">
        <f>[1]LISTADO_OTS!Q696</f>
        <v>1</v>
      </c>
      <c r="G696">
        <f>[1]LISTADO_OTS!R696</f>
        <v>1</v>
      </c>
      <c r="H696" t="str">
        <f>[1]LISTADO_OTS!H696</f>
        <v>Mantenimiento preventivo saneamiento C/Aldai (Amurrio)</v>
      </c>
      <c r="I696" t="str">
        <f>[1]LISTADO_OTS!I696</f>
        <v>Mantenimiento preventivo saneamiento C/Aldai (Amurrio)</v>
      </c>
      <c r="J696" s="1">
        <f>[1]LISTADO_OTS!F696</f>
        <v>45954</v>
      </c>
      <c r="K696" s="1">
        <f>[1]LISTADO_OTS!G696</f>
        <v>45954</v>
      </c>
      <c r="L696">
        <f>[1]LISTADO_OTS!M696</f>
        <v>43.050424999999997</v>
      </c>
      <c r="M696">
        <f>[1]LISTADO_OTS!N696</f>
        <v>-3.0031759999999998</v>
      </c>
      <c r="U696" t="b">
        <f>[1]LISTADO_OTS!O696</f>
        <v>1</v>
      </c>
      <c r="V696" t="str">
        <f>[1]LISTADO_OTS!J696</f>
        <v>Amurrio</v>
      </c>
      <c r="W696">
        <f>[1]LISTADO_OTS!R696</f>
        <v>1</v>
      </c>
      <c r="X696" t="str">
        <f>[1]LISTADO_OTS!P696</f>
        <v>EMILIO IÑIGO EDU MIGUEL</v>
      </c>
      <c r="Y696">
        <v>1</v>
      </c>
      <c r="Z696">
        <f>[1]LISTADO_OTS!S696</f>
        <v>0</v>
      </c>
    </row>
    <row r="697" spans="1:26" x14ac:dyDescent="0.4">
      <c r="A697">
        <v>696</v>
      </c>
      <c r="B697" t="str">
        <f>[1]LISTADO_OTS!E697</f>
        <v>OT/0450</v>
      </c>
      <c r="C697">
        <f>VLOOKUP([1]LISTADO_OTS!B697,[1]Redes!$C$1:$E$5,3,FALSE)</f>
        <v>3</v>
      </c>
      <c r="D697">
        <f>[1]LISTADO_OTS!C697</f>
        <v>1</v>
      </c>
      <c r="E697">
        <f>[1]LISTADO_OTS!D697</f>
        <v>0</v>
      </c>
      <c r="F697">
        <f>[1]LISTADO_OTS!Q697</f>
        <v>5</v>
      </c>
      <c r="G697">
        <f>[1]LISTADO_OTS!R697</f>
        <v>5</v>
      </c>
      <c r="H697" t="str">
        <f>[1]LISTADO_OTS!H697</f>
        <v>Aviso por falta de presión en C/Puente en Armiñon</v>
      </c>
      <c r="I697" t="str">
        <f>[1]LISTADO_OTS!I697</f>
        <v>Aviso por falta de presión en C/Puente en Armiñon</v>
      </c>
      <c r="J697" s="1">
        <f>[1]LISTADO_OTS!F697</f>
        <v>45955</v>
      </c>
      <c r="K697" s="1">
        <f>[1]LISTADO_OTS!G697</f>
        <v>45955</v>
      </c>
      <c r="L697">
        <f>[1]LISTADO_OTS!M697</f>
        <v>42.723115999999997</v>
      </c>
      <c r="M697">
        <f>[1]LISTADO_OTS!N697</f>
        <v>-2.8742169999999998</v>
      </c>
      <c r="U697" t="b">
        <f>[1]LISTADO_OTS!O697</f>
        <v>1</v>
      </c>
      <c r="V697" t="str">
        <f>[1]LISTADO_OTS!J697</f>
        <v>Armiñon</v>
      </c>
      <c r="W697">
        <f>[1]LISTADO_OTS!R697</f>
        <v>5</v>
      </c>
      <c r="X697" t="str">
        <f>[1]LISTADO_OTS!P697</f>
        <v/>
      </c>
      <c r="Y697">
        <v>1</v>
      </c>
      <c r="Z697">
        <f>[1]LISTADO_OTS!S697</f>
        <v>3</v>
      </c>
    </row>
    <row r="698" spans="1:26" x14ac:dyDescent="0.4">
      <c r="A698">
        <v>697</v>
      </c>
      <c r="B698" t="str">
        <f>[1]LISTADO_OTS!E698</f>
        <v>OT/0451</v>
      </c>
      <c r="C698">
        <f>VLOOKUP([1]LISTADO_OTS!B698,[1]Redes!$C$1:$E$5,3,FALSE)</f>
        <v>3</v>
      </c>
      <c r="D698">
        <f>[1]LISTADO_OTS!C698</f>
        <v>1</v>
      </c>
      <c r="E698">
        <f>[1]LISTADO_OTS!D698</f>
        <v>0</v>
      </c>
      <c r="F698">
        <f>[1]LISTADO_OTS!Q698</f>
        <v>1</v>
      </c>
      <c r="G698">
        <f>[1]LISTADO_OTS!R698</f>
        <v>1</v>
      </c>
      <c r="H698" t="str">
        <f>[1]LISTADO_OTS!H698</f>
        <v>Fuga en Maroño</v>
      </c>
      <c r="I698" t="str">
        <f>[1]LISTADO_OTS!I698</f>
        <v>Fuga en Maroño</v>
      </c>
      <c r="J698" s="1">
        <f>[1]LISTADO_OTS!F698</f>
        <v>45957</v>
      </c>
      <c r="K698" s="1">
        <f>[1]LISTADO_OTS!G698</f>
        <v>45958</v>
      </c>
      <c r="L698">
        <f>[1]LISTADO_OTS!M698</f>
        <v>43.043495999999998</v>
      </c>
      <c r="M698" t="str">
        <f>[1]LISTADO_OTS!N698</f>
        <v>-3,063023</v>
      </c>
      <c r="U698" t="b">
        <f>[1]LISTADO_OTS!O698</f>
        <v>1</v>
      </c>
      <c r="V698" t="str">
        <f>[1]LISTADO_OTS!J698</f>
        <v>Maroño</v>
      </c>
      <c r="W698">
        <f>[1]LISTADO_OTS!R698</f>
        <v>1</v>
      </c>
      <c r="X698" t="str">
        <f>[1]LISTADO_OTS!P698</f>
        <v>V</v>
      </c>
      <c r="Y698">
        <v>1</v>
      </c>
      <c r="Z698">
        <f>[1]LISTADO_OTS!S698</f>
        <v>1</v>
      </c>
    </row>
    <row r="699" spans="1:26" x14ac:dyDescent="0.4">
      <c r="A699">
        <v>698</v>
      </c>
      <c r="B699" t="str">
        <f>[1]LISTADO_OTS!E699</f>
        <v>OT/0452</v>
      </c>
      <c r="C699">
        <f>VLOOKUP([1]LISTADO_OTS!B699,[1]Redes!$C$1:$E$5,3,FALSE)</f>
        <v>3</v>
      </c>
      <c r="D699">
        <f>[1]LISTADO_OTS!C699</f>
        <v>1</v>
      </c>
      <c r="E699">
        <f>[1]LISTADO_OTS!D699</f>
        <v>0</v>
      </c>
      <c r="F699">
        <f>[1]LISTADO_OTS!Q699</f>
        <v>5</v>
      </c>
      <c r="G699">
        <f>[1]LISTADO_OTS!R699</f>
        <v>5</v>
      </c>
      <c r="H699" t="str">
        <f>[1]LISTADO_OTS!H699</f>
        <v>Abonado sin agua en Espejo C/Las Arenas n6</v>
      </c>
      <c r="I699" t="str">
        <f>[1]LISTADO_OTS!I699</f>
        <v>Abonado sin agua en Espejo C/Las Arenas n6</v>
      </c>
      <c r="J699" s="1">
        <f>[1]LISTADO_OTS!F699</f>
        <v>45955</v>
      </c>
      <c r="K699" s="1">
        <f>[1]LISTADO_OTS!G699</f>
        <v>45955</v>
      </c>
      <c r="L699">
        <f>[1]LISTADO_OTS!M699</f>
        <v>42.809910000000002</v>
      </c>
      <c r="M699">
        <f>[1]LISTADO_OTS!N699</f>
        <v>-3.04542</v>
      </c>
      <c r="U699" t="b">
        <f>[1]LISTADO_OTS!O699</f>
        <v>1</v>
      </c>
      <c r="V699" t="str">
        <f>[1]LISTADO_OTS!J699</f>
        <v>Espejo</v>
      </c>
      <c r="W699">
        <f>[1]LISTADO_OTS!R699</f>
        <v>5</v>
      </c>
      <c r="X699" t="str">
        <f>[1]LISTADO_OTS!P699</f>
        <v>V</v>
      </c>
      <c r="Y699">
        <v>1</v>
      </c>
      <c r="Z699">
        <f>[1]LISTADO_OTS!S699</f>
        <v>3</v>
      </c>
    </row>
    <row r="700" spans="1:26" x14ac:dyDescent="0.4">
      <c r="A700">
        <v>699</v>
      </c>
      <c r="B700" t="str">
        <f>[1]LISTADO_OTS!E700</f>
        <v>OT/0453</v>
      </c>
      <c r="C700">
        <f>VLOOKUP([1]LISTADO_OTS!B700,[1]Redes!$C$1:$E$5,3,FALSE)</f>
        <v>5</v>
      </c>
      <c r="D700">
        <f>[1]LISTADO_OTS!C700</f>
        <v>1</v>
      </c>
      <c r="E700">
        <f>[1]LISTADO_OTS!D700</f>
        <v>0</v>
      </c>
      <c r="F700">
        <f>[1]LISTADO_OTS!Q700</f>
        <v>1</v>
      </c>
      <c r="G700">
        <f>[1]LISTADO_OTS!R700</f>
        <v>1</v>
      </c>
      <c r="H700" t="str">
        <f>[1]LISTADO_OTS!H700</f>
        <v>Atasco saneamiento C/Perrutxito n19-17 en Salinas de Añana</v>
      </c>
      <c r="I700" t="str">
        <f>[1]LISTADO_OTS!I700</f>
        <v>Atasco saneamiento C/Perrutxito n19-17 en Salinas de Añana</v>
      </c>
      <c r="J700" s="1">
        <f>[1]LISTADO_OTS!F700</f>
        <v>45955</v>
      </c>
      <c r="K700" s="1">
        <f>[1]LISTADO_OTS!G700</f>
        <v>45955</v>
      </c>
      <c r="L700">
        <f>[1]LISTADO_OTS!M700</f>
        <v>42.801842999999998</v>
      </c>
      <c r="M700">
        <f>[1]LISTADO_OTS!N700</f>
        <v>-2.9848249999999998</v>
      </c>
      <c r="U700" t="b">
        <f>[1]LISTADO_OTS!O700</f>
        <v>1</v>
      </c>
      <c r="V700" t="str">
        <f>[1]LISTADO_OTS!J700</f>
        <v xml:space="preserve"> Salinas de Añana</v>
      </c>
      <c r="W700">
        <f>[1]LISTADO_OTS!R700</f>
        <v>1</v>
      </c>
      <c r="X700" t="str">
        <f>[1]LISTADO_OTS!P700</f>
        <v>V</v>
      </c>
      <c r="Y700">
        <v>1</v>
      </c>
      <c r="Z700">
        <f>[1]LISTADO_OTS!S700</f>
        <v>2</v>
      </c>
    </row>
    <row r="701" spans="1:26" x14ac:dyDescent="0.4">
      <c r="A701">
        <v>700</v>
      </c>
      <c r="B701" t="str">
        <f>[1]LISTADO_OTS!E701</f>
        <v>TP/0334</v>
      </c>
      <c r="C701">
        <f>VLOOKUP([1]LISTADO_OTS!B701,[1]Redes!$C$1:$E$5,3,FALSE)</f>
        <v>2</v>
      </c>
      <c r="D701">
        <f>[1]LISTADO_OTS!C701</f>
        <v>2</v>
      </c>
      <c r="E701">
        <f>[1]LISTADO_OTS!D701</f>
        <v>3</v>
      </c>
      <c r="F701">
        <f>[1]LISTADO_OTS!Q701</f>
        <v>5</v>
      </c>
      <c r="G701">
        <f>[1]LISTADO_OTS!R701</f>
        <v>5</v>
      </c>
      <c r="H701" t="str">
        <f>[1]LISTADO_OTS!H701</f>
        <v>Limpieza y vaciado de fosa Anucita</v>
      </c>
      <c r="I701" t="str">
        <f>[1]LISTADO_OTS!I701</f>
        <v>Limpieza y vaciado de fosa Anucita</v>
      </c>
      <c r="J701" s="1">
        <f>[1]LISTADO_OTS!F701</f>
        <v>45951</v>
      </c>
      <c r="K701" s="1">
        <f>[1]LISTADO_OTS!G701</f>
        <v>45957</v>
      </c>
      <c r="L701">
        <f>[1]LISTADO_OTS!M701</f>
        <v>42.804118000000003</v>
      </c>
      <c r="M701">
        <f>[1]LISTADO_OTS!N701</f>
        <v>-2.9063880000000002</v>
      </c>
      <c r="U701" t="b">
        <f>[1]LISTADO_OTS!O701</f>
        <v>1</v>
      </c>
      <c r="V701" t="str">
        <f>[1]LISTADO_OTS!J701</f>
        <v>Anucita</v>
      </c>
      <c r="W701">
        <f>[1]LISTADO_OTS!R701</f>
        <v>5</v>
      </c>
      <c r="X701" t="str">
        <f>[1]LISTADO_OTS!P701</f>
        <v>ENEKO EMILIO KERMAN</v>
      </c>
      <c r="Y701">
        <v>1</v>
      </c>
      <c r="Z701">
        <f>[1]LISTADO_OTS!S701</f>
        <v>0</v>
      </c>
    </row>
    <row r="702" spans="1:26" x14ac:dyDescent="0.4">
      <c r="A702">
        <v>701</v>
      </c>
      <c r="B702" t="str">
        <f>[1]LISTADO_OTS!E702</f>
        <v>TP/0331</v>
      </c>
      <c r="C702">
        <f>VLOOKUP([1]LISTADO_OTS!B702,[1]Redes!$C$1:$E$5,3,FALSE)</f>
        <v>3</v>
      </c>
      <c r="D702">
        <f>[1]LISTADO_OTS!C702</f>
        <v>2</v>
      </c>
      <c r="E702">
        <f>[1]LISTADO_OTS!D702</f>
        <v>7</v>
      </c>
      <c r="F702">
        <f>[1]LISTADO_OTS!Q702</f>
        <v>5</v>
      </c>
      <c r="G702">
        <f>[1]LISTADO_OTS!R702</f>
        <v>5</v>
      </c>
      <c r="H702" t="str">
        <f>[1]LISTADO_OTS!H702</f>
        <v>Localización de fuga en Depósito reparto-Arbigano</v>
      </c>
      <c r="I702" t="str">
        <f>[1]LISTADO_OTS!I702</f>
        <v>Localización de fuga en Depósito reparto-Arbigano</v>
      </c>
      <c r="J702" s="1">
        <f>[1]LISTADO_OTS!F702</f>
        <v>45950</v>
      </c>
      <c r="K702" s="1">
        <f>[1]LISTADO_OTS!G702</f>
        <v>45950</v>
      </c>
      <c r="L702" t="str">
        <f>[1]LISTADO_OTS!M702</f>
        <v/>
      </c>
      <c r="M702" t="str">
        <f>[1]LISTADO_OTS!N702</f>
        <v/>
      </c>
      <c r="U702" t="b">
        <f>[1]LISTADO_OTS!O702</f>
        <v>1</v>
      </c>
      <c r="V702" t="str">
        <f>[1]LISTADO_OTS!J702</f>
        <v>Arbígano</v>
      </c>
      <c r="W702">
        <f>[1]LISTADO_OTS!R702</f>
        <v>5</v>
      </c>
      <c r="X702" t="str">
        <f>[1]LISTADO_OTS!P702</f>
        <v>ENEKO</v>
      </c>
      <c r="Y702">
        <v>1</v>
      </c>
      <c r="Z702">
        <f>[1]LISTADO_OTS!S702</f>
        <v>1</v>
      </c>
    </row>
    <row r="703" spans="1:26" x14ac:dyDescent="0.4">
      <c r="A703">
        <v>702</v>
      </c>
      <c r="B703" t="str">
        <f>[1]LISTADO_OTS!E703</f>
        <v>TP/0332</v>
      </c>
      <c r="C703">
        <f>VLOOKUP([1]LISTADO_OTS!B703,[1]Redes!$C$1:$E$5,3,FALSE)</f>
        <v>3</v>
      </c>
      <c r="D703">
        <f>[1]LISTADO_OTS!C703</f>
        <v>2</v>
      </c>
      <c r="E703">
        <f>[1]LISTADO_OTS!D703</f>
        <v>20</v>
      </c>
      <c r="F703">
        <f>[1]LISTADO_OTS!Q703</f>
        <v>5</v>
      </c>
      <c r="G703">
        <f>[1]LISTADO_OTS!R703</f>
        <v>5</v>
      </c>
      <c r="H703" t="str">
        <f>[1]LISTADO_OTS!H703</f>
        <v>Localización de fuga en bajada-Depósito en Armiñon</v>
      </c>
      <c r="I703" t="str">
        <f>[1]LISTADO_OTS!I703</f>
        <v>Localización de fuga en bajada-Depósito en Armiñon</v>
      </c>
      <c r="J703" s="1">
        <f>[1]LISTADO_OTS!F703</f>
        <v>45950</v>
      </c>
      <c r="K703" s="1">
        <f>[1]LISTADO_OTS!G703</f>
        <v>45950</v>
      </c>
      <c r="L703" t="str">
        <f>[1]LISTADO_OTS!M703</f>
        <v/>
      </c>
      <c r="M703" t="str">
        <f>[1]LISTADO_OTS!N703</f>
        <v/>
      </c>
      <c r="U703" t="b">
        <f>[1]LISTADO_OTS!O703</f>
        <v>1</v>
      </c>
      <c r="V703" t="str">
        <f>[1]LISTADO_OTS!J703</f>
        <v>Armiñon</v>
      </c>
      <c r="W703">
        <f>[1]LISTADO_OTS!R703</f>
        <v>5</v>
      </c>
      <c r="X703" t="str">
        <f>[1]LISTADO_OTS!P703</f>
        <v>ENEKO</v>
      </c>
      <c r="Y703">
        <v>1</v>
      </c>
      <c r="Z703">
        <f>[1]LISTADO_OTS!S703</f>
        <v>1</v>
      </c>
    </row>
    <row r="704" spans="1:26" x14ac:dyDescent="0.4">
      <c r="A704">
        <v>703</v>
      </c>
      <c r="B704" t="str">
        <f>[1]LISTADO_OTS!E704</f>
        <v>TP/0333</v>
      </c>
      <c r="C704">
        <f>VLOOKUP([1]LISTADO_OTS!B704,[1]Redes!$C$1:$E$5,3,FALSE)</f>
        <v>3</v>
      </c>
      <c r="D704">
        <f>[1]LISTADO_OTS!C704</f>
        <v>2</v>
      </c>
      <c r="E704">
        <f>[1]LISTADO_OTS!D704</f>
        <v>7</v>
      </c>
      <c r="F704">
        <f>[1]LISTADO_OTS!Q704</f>
        <v>5</v>
      </c>
      <c r="G704">
        <f>[1]LISTADO_OTS!R704</f>
        <v>5</v>
      </c>
      <c r="H704" t="str">
        <f>[1]LISTADO_OTS!H704</f>
        <v>Localización de fuga en Lacorzanilla</v>
      </c>
      <c r="I704" t="str">
        <f>[1]LISTADO_OTS!I704</f>
        <v>Localización de fuga en Lacorzanilla</v>
      </c>
      <c r="J704" s="1">
        <f>[1]LISTADO_OTS!F704</f>
        <v>45951</v>
      </c>
      <c r="K704" s="1">
        <f>[1]LISTADO_OTS!G704</f>
        <v>45951</v>
      </c>
      <c r="L704" t="str">
        <f>[1]LISTADO_OTS!M704</f>
        <v/>
      </c>
      <c r="M704" t="str">
        <f>[1]LISTADO_OTS!N704</f>
        <v/>
      </c>
      <c r="U704" t="b">
        <f>[1]LISTADO_OTS!O704</f>
        <v>1</v>
      </c>
      <c r="V704" t="str">
        <f>[1]LISTADO_OTS!J704</f>
        <v>Lacorzanilla</v>
      </c>
      <c r="W704">
        <f>[1]LISTADO_OTS!R704</f>
        <v>5</v>
      </c>
      <c r="X704" t="str">
        <f>[1]LISTADO_OTS!P704</f>
        <v>ENEKO</v>
      </c>
      <c r="Y704">
        <v>1</v>
      </c>
      <c r="Z704">
        <f>[1]LISTADO_OTS!S704</f>
        <v>1</v>
      </c>
    </row>
    <row r="705" spans="1:26" x14ac:dyDescent="0.4">
      <c r="A705">
        <v>704</v>
      </c>
      <c r="B705" t="str">
        <f>[1]LISTADO_OTS!E705</f>
        <v>TP/0335</v>
      </c>
      <c r="C705">
        <f>VLOOKUP([1]LISTADO_OTS!B705,[1]Redes!$C$1:$E$5,3,FALSE)</f>
        <v>3</v>
      </c>
      <c r="D705">
        <f>[1]LISTADO_OTS!C705</f>
        <v>2</v>
      </c>
      <c r="E705">
        <f>[1]LISTADO_OTS!D705</f>
        <v>7</v>
      </c>
      <c r="F705">
        <f>[1]LISTADO_OTS!Q705</f>
        <v>1</v>
      </c>
      <c r="G705">
        <f>[1]LISTADO_OTS!R705</f>
        <v>1</v>
      </c>
      <c r="H705" t="str">
        <f>[1]LISTADO_OTS!H705</f>
        <v>Localización de fuga en Retes de Tudela</v>
      </c>
      <c r="I705" t="str">
        <f>[1]LISTADO_OTS!I705</f>
        <v>Localización de fuga en Retes de Tudela</v>
      </c>
      <c r="J705" s="1">
        <f>[1]LISTADO_OTS!F705</f>
        <v>45951</v>
      </c>
      <c r="K705" s="1">
        <f>[1]LISTADO_OTS!G705</f>
        <v>45951</v>
      </c>
      <c r="L705">
        <f>[1]LISTADO_OTS!M705</f>
        <v>43.114828000000003</v>
      </c>
      <c r="M705">
        <f>[1]LISTADO_OTS!N705</f>
        <v>-3.1690990000000001</v>
      </c>
      <c r="U705" t="b">
        <f>[1]LISTADO_OTS!O705</f>
        <v>1</v>
      </c>
      <c r="V705" t="str">
        <f>[1]LISTADO_OTS!J705</f>
        <v>Retes de Tudela</v>
      </c>
      <c r="W705">
        <f>[1]LISTADO_OTS!R705</f>
        <v>1</v>
      </c>
      <c r="X705" t="str">
        <f>[1]LISTADO_OTS!P705</f>
        <v>ENEKO</v>
      </c>
      <c r="Y705">
        <v>1</v>
      </c>
      <c r="Z705">
        <f>[1]LISTADO_OTS!S705</f>
        <v>1</v>
      </c>
    </row>
    <row r="706" spans="1:26" x14ac:dyDescent="0.4">
      <c r="A706">
        <v>705</v>
      </c>
      <c r="B706" t="str">
        <f>[1]LISTADO_OTS!E706</f>
        <v>OT/0454</v>
      </c>
      <c r="C706">
        <f>VLOOKUP([1]LISTADO_OTS!B706,[1]Redes!$C$1:$E$5,3,FALSE)</f>
        <v>3</v>
      </c>
      <c r="D706">
        <f>[1]LISTADO_OTS!C706</f>
        <v>1</v>
      </c>
      <c r="E706">
        <f>[1]LISTADO_OTS!D706</f>
        <v>0</v>
      </c>
      <c r="F706">
        <f>[1]LISTADO_OTS!Q706</f>
        <v>1</v>
      </c>
      <c r="G706">
        <f>[1]LISTADO_OTS!R706</f>
        <v>1</v>
      </c>
      <c r="H706" t="str">
        <f>[1]LISTADO_OTS!H706</f>
        <v>Reparación de fuga en Llanteno</v>
      </c>
      <c r="I706" t="str">
        <f>[1]LISTADO_OTS!I706</f>
        <v>Reparación de fuga en Llanteno</v>
      </c>
      <c r="J706" s="1">
        <f>[1]LISTADO_OTS!F706</f>
        <v>45946</v>
      </c>
      <c r="K706" s="1">
        <f>[1]LISTADO_OTS!G706</f>
        <v>45947</v>
      </c>
      <c r="L706">
        <f>[1]LISTADO_OTS!M706</f>
        <v>43.11148</v>
      </c>
      <c r="M706">
        <f>[1]LISTADO_OTS!N706</f>
        <v>-3.0927199999999999</v>
      </c>
      <c r="U706" t="b">
        <f>[1]LISTADO_OTS!O706</f>
        <v>1</v>
      </c>
      <c r="V706" t="str">
        <f>[1]LISTADO_OTS!J706</f>
        <v>Llanteno</v>
      </c>
      <c r="W706">
        <f>[1]LISTADO_OTS!R706</f>
        <v>1</v>
      </c>
      <c r="X706" t="str">
        <f>[1]LISTADO_OTS!P706</f>
        <v>KERMAN</v>
      </c>
      <c r="Y706">
        <v>1</v>
      </c>
      <c r="Z706">
        <f>[1]LISTADO_OTS!S706</f>
        <v>1</v>
      </c>
    </row>
    <row r="707" spans="1:26" x14ac:dyDescent="0.4">
      <c r="A707">
        <v>706</v>
      </c>
      <c r="B707" t="str">
        <f>[1]LISTADO_OTS!E707</f>
        <v>OT/0455</v>
      </c>
      <c r="C707">
        <f>VLOOKUP([1]LISTADO_OTS!B707,[1]Redes!$C$1:$E$5,3,FALSE)</f>
        <v>3</v>
      </c>
      <c r="D707">
        <f>[1]LISTADO_OTS!C707</f>
        <v>1</v>
      </c>
      <c r="E707">
        <f>[1]LISTADO_OTS!D707</f>
        <v>0</v>
      </c>
      <c r="F707">
        <f>[1]LISTADO_OTS!Q707</f>
        <v>1</v>
      </c>
      <c r="G707">
        <f>[1]LISTADO_OTS!R707</f>
        <v>1</v>
      </c>
      <c r="H707" t="str">
        <f>[1]LISTADO_OTS!H707</f>
        <v>Abonado sin presión en C/Larrimbe n29 (Amurrio)</v>
      </c>
      <c r="I707" t="str">
        <f>[1]LISTADO_OTS!I707</f>
        <v>Abonado sin presión en C/Larrimbe n29 (Amurrio)</v>
      </c>
      <c r="J707" s="1">
        <f>[1]LISTADO_OTS!F707</f>
        <v>45957</v>
      </c>
      <c r="K707" s="1">
        <f>[1]LISTADO_OTS!G707</f>
        <v>45957</v>
      </c>
      <c r="L707">
        <f>[1]LISTADO_OTS!M707</f>
        <v>43.044199999999996</v>
      </c>
      <c r="M707">
        <f>[1]LISTADO_OTS!N707</f>
        <v>-2.9856099999999999</v>
      </c>
      <c r="U707" t="b">
        <f>[1]LISTADO_OTS!O707</f>
        <v>1</v>
      </c>
      <c r="V707" t="str">
        <f>[1]LISTADO_OTS!J707</f>
        <v>Amurrio</v>
      </c>
      <c r="W707">
        <f>[1]LISTADO_OTS!R707</f>
        <v>1</v>
      </c>
      <c r="X707" t="str">
        <f>[1]LISTADO_OTS!P707</f>
        <v>ENEKO</v>
      </c>
      <c r="Y707">
        <v>1</v>
      </c>
      <c r="Z707">
        <f>[1]LISTADO_OTS!S707</f>
        <v>3</v>
      </c>
    </row>
    <row r="708" spans="1:26" x14ac:dyDescent="0.4">
      <c r="A708">
        <v>707</v>
      </c>
      <c r="B708" t="str">
        <f>[1]LISTADO_OTS!E708</f>
        <v>OT/0456</v>
      </c>
      <c r="C708">
        <f>VLOOKUP([1]LISTADO_OTS!B708,[1]Redes!$C$1:$E$5,3,FALSE)</f>
        <v>3</v>
      </c>
      <c r="D708">
        <f>[1]LISTADO_OTS!C708</f>
        <v>1</v>
      </c>
      <c r="E708">
        <f>[1]LISTADO_OTS!D708</f>
        <v>0</v>
      </c>
      <c r="F708">
        <f>[1]LISTADO_OTS!Q708</f>
        <v>5</v>
      </c>
      <c r="G708">
        <f>[1]LISTADO_OTS!R708</f>
        <v>5</v>
      </c>
      <c r="H708" t="str">
        <f>[1]LISTADO_OTS!H708</f>
        <v>Aviso abonado por llave de acometida que no cierra C/El Arenal n1 (Armiñon)</v>
      </c>
      <c r="I708" t="str">
        <f>[1]LISTADO_OTS!I708</f>
        <v>Aviso abonado por llave de acometida que no cierra C/El Arenal n1 (Armiñon)</v>
      </c>
      <c r="J708" s="1">
        <f>[1]LISTADO_OTS!F708</f>
        <v>45957</v>
      </c>
      <c r="K708" s="1">
        <f>[1]LISTADO_OTS!G708</f>
        <v>45957</v>
      </c>
      <c r="L708">
        <f>[1]LISTADO_OTS!M708</f>
        <v>42.722850000000001</v>
      </c>
      <c r="M708">
        <f>[1]LISTADO_OTS!N708</f>
        <v>-2.8703400000000001</v>
      </c>
      <c r="U708" t="b">
        <f>[1]LISTADO_OTS!O708</f>
        <v>1</v>
      </c>
      <c r="V708" t="str">
        <f>[1]LISTADO_OTS!J708</f>
        <v>Armiñon</v>
      </c>
      <c r="W708">
        <f>[1]LISTADO_OTS!R708</f>
        <v>5</v>
      </c>
      <c r="X708" t="str">
        <f>[1]LISTADO_OTS!P708</f>
        <v>EDU</v>
      </c>
      <c r="Y708">
        <v>1</v>
      </c>
      <c r="Z708">
        <f>[1]LISTADO_OTS!S708</f>
        <v>1</v>
      </c>
    </row>
    <row r="709" spans="1:26" x14ac:dyDescent="0.4">
      <c r="A709">
        <v>708</v>
      </c>
      <c r="B709" t="str">
        <f>[1]LISTADO_OTS!E709</f>
        <v>TP/0336</v>
      </c>
      <c r="C709">
        <f>VLOOKUP([1]LISTADO_OTS!B709,[1]Redes!$C$1:$E$5,3,FALSE)</f>
        <v>3</v>
      </c>
      <c r="D709">
        <f>[1]LISTADO_OTS!C709</f>
        <v>2</v>
      </c>
      <c r="E709">
        <f>[1]LISTADO_OTS!D709</f>
        <v>10</v>
      </c>
      <c r="F709">
        <f>[1]LISTADO_OTS!Q709</f>
        <v>1</v>
      </c>
      <c r="G709">
        <f>[1]LISTADO_OTS!R709</f>
        <v>1</v>
      </c>
      <c r="H709" t="str">
        <f>[1]LISTADO_OTS!H709</f>
        <v>Sustitución de contador de control en C/Arraño (Acometida atxa)</v>
      </c>
      <c r="I709" t="str">
        <f>[1]LISTADO_OTS!I709</f>
        <v>Sustitución de contador de control en C/Arraño (Acometida atxa)</v>
      </c>
      <c r="J709" s="1">
        <f>[1]LISTADO_OTS!F709</f>
        <v>45957</v>
      </c>
      <c r="K709" s="1">
        <f>[1]LISTADO_OTS!G709</f>
        <v>45957</v>
      </c>
      <c r="L709">
        <f>[1]LISTADO_OTS!M709</f>
        <v>43.151313000000002</v>
      </c>
      <c r="M709">
        <f>[1]LISTADO_OTS!N709</f>
        <v>-2.9831949999999998</v>
      </c>
      <c r="U709" t="b">
        <f>[1]LISTADO_OTS!O709</f>
        <v>1</v>
      </c>
      <c r="V709" t="str">
        <f>[1]LISTADO_OTS!J709</f>
        <v>Llodio</v>
      </c>
      <c r="W709">
        <f>[1]LISTADO_OTS!R709</f>
        <v>1</v>
      </c>
      <c r="X709" t="str">
        <f>[1]LISTADO_OTS!P709</f>
        <v>TOMAS</v>
      </c>
      <c r="Y709">
        <v>1</v>
      </c>
      <c r="Z709">
        <f>[1]LISTADO_OTS!S709</f>
        <v>0</v>
      </c>
    </row>
    <row r="710" spans="1:26" x14ac:dyDescent="0.4">
      <c r="A710">
        <v>709</v>
      </c>
      <c r="B710" t="str">
        <f>[1]LISTADO_OTS!E710</f>
        <v>TP/0337</v>
      </c>
      <c r="C710">
        <f>VLOOKUP([1]LISTADO_OTS!B710,[1]Redes!$C$1:$E$5,3,FALSE)</f>
        <v>5</v>
      </c>
      <c r="D710">
        <f>[1]LISTADO_OTS!C710</f>
        <v>2</v>
      </c>
      <c r="E710">
        <f>[1]LISTADO_OTS!D710</f>
        <v>1</v>
      </c>
      <c r="F710">
        <f>[1]LISTADO_OTS!Q710</f>
        <v>5</v>
      </c>
      <c r="G710">
        <f>[1]LISTADO_OTS!R710</f>
        <v>5</v>
      </c>
      <c r="H710" t="str">
        <f>[1]LISTADO_OTS!H710</f>
        <v>Mantenimiento peventivo en vias de tren en Pobes</v>
      </c>
      <c r="I710" t="str">
        <f>[1]LISTADO_OTS!I710</f>
        <v>Mantenimiento peventivo en vias de tren en Pobes</v>
      </c>
      <c r="J710" s="1">
        <f>[1]LISTADO_OTS!F710</f>
        <v>45957</v>
      </c>
      <c r="K710" s="1">
        <f>[1]LISTADO_OTS!G710</f>
        <v>45957</v>
      </c>
      <c r="L710">
        <f>[1]LISTADO_OTS!M710</f>
        <v>42.504575000000003</v>
      </c>
      <c r="M710">
        <f>[1]LISTADO_OTS!N710</f>
        <v>-2.9075869999999999</v>
      </c>
      <c r="U710" t="b">
        <f>[1]LISTADO_OTS!O710</f>
        <v>1</v>
      </c>
      <c r="V710" t="str">
        <f>[1]LISTADO_OTS!J710</f>
        <v>Pobes</v>
      </c>
      <c r="W710">
        <f>[1]LISTADO_OTS!R710</f>
        <v>5</v>
      </c>
      <c r="X710" t="str">
        <f>[1]LISTADO_OTS!P710</f>
        <v>EMILIO KERMAN</v>
      </c>
      <c r="Y710">
        <v>1</v>
      </c>
      <c r="Z710">
        <f>[1]LISTADO_OTS!S710</f>
        <v>0</v>
      </c>
    </row>
    <row r="711" spans="1:26" x14ac:dyDescent="0.4">
      <c r="A711">
        <v>710</v>
      </c>
      <c r="B711" t="str">
        <f>[1]LISTADO_OTS!E711</f>
        <v>TP/0338</v>
      </c>
      <c r="C711">
        <f>VLOOKUP([1]LISTADO_OTS!B711,[1]Redes!$C$1:$E$5,3,FALSE)</f>
        <v>5</v>
      </c>
      <c r="D711">
        <f>[1]LISTADO_OTS!C711</f>
        <v>2</v>
      </c>
      <c r="E711">
        <f>[1]LISTADO_OTS!D711</f>
        <v>1</v>
      </c>
      <c r="F711">
        <f>[1]LISTADO_OTS!Q711</f>
        <v>1</v>
      </c>
      <c r="G711">
        <f>[1]LISTADO_OTS!R711</f>
        <v>1</v>
      </c>
      <c r="H711" t="str">
        <f>[1]LISTADO_OTS!H711</f>
        <v>Mantenimiento peventivo en Saneamiento en Artzeniaga</v>
      </c>
      <c r="I711" t="str">
        <f>[1]LISTADO_OTS!I711</f>
        <v>Mantenimiento peventivo en Saneamiento en Artzeniaga</v>
      </c>
      <c r="J711" s="1">
        <f>[1]LISTADO_OTS!F711</f>
        <v>45961</v>
      </c>
      <c r="K711" s="1">
        <f>[1]LISTADO_OTS!G711</f>
        <v>45961</v>
      </c>
      <c r="L711">
        <f>[1]LISTADO_OTS!M711</f>
        <v>43.119509999999998</v>
      </c>
      <c r="M711">
        <f>[1]LISTADO_OTS!N711</f>
        <v>-3.1326000000000001</v>
      </c>
      <c r="U711" t="b">
        <f>[1]LISTADO_OTS!O711</f>
        <v>1</v>
      </c>
      <c r="V711" t="str">
        <f>[1]LISTADO_OTS!J711</f>
        <v>Artziniega</v>
      </c>
      <c r="W711">
        <f>[1]LISTADO_OTS!R711</f>
        <v>1</v>
      </c>
      <c r="X711" t="str">
        <f>[1]LISTADO_OTS!P711</f>
        <v/>
      </c>
      <c r="Y711">
        <v>1</v>
      </c>
      <c r="Z711">
        <f>[1]LISTADO_OTS!S711</f>
        <v>0</v>
      </c>
    </row>
    <row r="712" spans="1:26" x14ac:dyDescent="0.4">
      <c r="A712">
        <v>711</v>
      </c>
      <c r="B712" t="str">
        <f>[1]LISTADO_OTS!E712</f>
        <v>OT/0457</v>
      </c>
      <c r="C712">
        <f>VLOOKUP([1]LISTADO_OTS!B712,[1]Redes!$C$1:$E$5,3,FALSE)</f>
        <v>5</v>
      </c>
      <c r="D712">
        <f>[1]LISTADO_OTS!C712</f>
        <v>1</v>
      </c>
      <c r="E712">
        <f>[1]LISTADO_OTS!D712</f>
        <v>0</v>
      </c>
      <c r="F712">
        <f>[1]LISTADO_OTS!Q712</f>
        <v>1</v>
      </c>
      <c r="G712">
        <f>[1]LISTADO_OTS!R712</f>
        <v>1</v>
      </c>
      <c r="H712" t="str">
        <f>[1]LISTADO_OTS!H712</f>
        <v>Desatasco en C/Virgen del Carmen N36-38 (Llodio)</v>
      </c>
      <c r="I712" t="str">
        <f>[1]LISTADO_OTS!I712</f>
        <v>Desatasco en C/Virgen del Carmen N36-38 (Llodio)</v>
      </c>
      <c r="J712" s="1">
        <f>[1]LISTADO_OTS!F712</f>
        <v>45958</v>
      </c>
      <c r="K712" s="1">
        <f>[1]LISTADO_OTS!G712</f>
        <v>45958</v>
      </c>
      <c r="L712">
        <f>[1]LISTADO_OTS!M712</f>
        <v>43.145980000000002</v>
      </c>
      <c r="M712">
        <f>[1]LISTADO_OTS!N712</f>
        <v>-2.95818</v>
      </c>
      <c r="U712" t="b">
        <f>[1]LISTADO_OTS!O712</f>
        <v>1</v>
      </c>
      <c r="V712" t="str">
        <f>[1]LISTADO_OTS!J712</f>
        <v>Llodio</v>
      </c>
      <c r="W712">
        <f>[1]LISTADO_OTS!R712</f>
        <v>1</v>
      </c>
      <c r="X712" t="str">
        <f>[1]LISTADO_OTS!P712</f>
        <v>EMILIO KERMAN</v>
      </c>
      <c r="Y712">
        <v>1</v>
      </c>
      <c r="Z712">
        <f>[1]LISTADO_OTS!S712</f>
        <v>2</v>
      </c>
    </row>
    <row r="713" spans="1:26" x14ac:dyDescent="0.4">
      <c r="A713">
        <v>712</v>
      </c>
      <c r="B713" t="str">
        <f>[1]LISTADO_OTS!E713</f>
        <v>TP/0339</v>
      </c>
      <c r="C713">
        <f>VLOOKUP([1]LISTADO_OTS!B713,[1]Redes!$C$1:$E$5,3,FALSE)</f>
        <v>3</v>
      </c>
      <c r="D713">
        <f>[1]LISTADO_OTS!C713</f>
        <v>2</v>
      </c>
      <c r="E713">
        <f>[1]LISTADO_OTS!D713</f>
        <v>4</v>
      </c>
      <c r="F713">
        <f>[1]LISTADO_OTS!Q713</f>
        <v>1</v>
      </c>
      <c r="G713">
        <f>[1]LISTADO_OTS!R713</f>
        <v>1</v>
      </c>
      <c r="H713" t="str">
        <f>[1]LISTADO_OTS!H713</f>
        <v>Revisión de la red de abastecimiento de Llanteno</v>
      </c>
      <c r="I713" t="str">
        <f>[1]LISTADO_OTS!I713</f>
        <v>Revisión de la red de abastecimiento de Llanteno</v>
      </c>
      <c r="J713" s="1">
        <f>[1]LISTADO_OTS!F713</f>
        <v>45952</v>
      </c>
      <c r="K713" s="1">
        <f>[1]LISTADO_OTS!G713</f>
        <v>45952</v>
      </c>
      <c r="L713" t="str">
        <f>[1]LISTADO_OTS!M713</f>
        <v/>
      </c>
      <c r="M713" t="str">
        <f>[1]LISTADO_OTS!N713</f>
        <v/>
      </c>
      <c r="U713" t="b">
        <f>[1]LISTADO_OTS!O713</f>
        <v>1</v>
      </c>
      <c r="V713" t="str">
        <f>[1]LISTADO_OTS!J713</f>
        <v>Llanteno</v>
      </c>
      <c r="W713">
        <f>[1]LISTADO_OTS!R713</f>
        <v>1</v>
      </c>
      <c r="X713" t="str">
        <f>[1]LISTADO_OTS!P713</f>
        <v>ENEKO</v>
      </c>
      <c r="Y713">
        <v>1</v>
      </c>
      <c r="Z713">
        <f>[1]LISTADO_OTS!S713</f>
        <v>0</v>
      </c>
    </row>
    <row r="714" spans="1:26" x14ac:dyDescent="0.4">
      <c r="A714">
        <v>713</v>
      </c>
      <c r="B714" t="str">
        <f>[1]LISTADO_OTS!E714</f>
        <v>TP/0340</v>
      </c>
      <c r="C714">
        <f>VLOOKUP([1]LISTADO_OTS!B714,[1]Redes!$C$1:$E$5,3,FALSE)</f>
        <v>3</v>
      </c>
      <c r="D714">
        <f>[1]LISTADO_OTS!C714</f>
        <v>2</v>
      </c>
      <c r="E714">
        <f>[1]LISTADO_OTS!D714</f>
        <v>11</v>
      </c>
      <c r="F714">
        <f>[1]LISTADO_OTS!Q714</f>
        <v>1</v>
      </c>
      <c r="G714">
        <f>[1]LISTADO_OTS!R714</f>
        <v>1</v>
      </c>
      <c r="H714" t="str">
        <f>[1]LISTADO_OTS!H714</f>
        <v>Ruta de lecturas mensuales de caudalímetro</v>
      </c>
      <c r="I714" t="str">
        <f>[1]LISTADO_OTS!I714</f>
        <v>Ruta de lecturas mensuales de caudalímetro</v>
      </c>
      <c r="J714" s="1">
        <f>[1]LISTADO_OTS!F714</f>
        <v>45952</v>
      </c>
      <c r="K714" s="1">
        <f>[1]LISTADO_OTS!G714</f>
        <v>45952</v>
      </c>
      <c r="L714" t="str">
        <f>[1]LISTADO_OTS!M714</f>
        <v/>
      </c>
      <c r="M714" t="str">
        <f>[1]LISTADO_OTS!N714</f>
        <v/>
      </c>
      <c r="U714" t="b">
        <f>[1]LISTADO_OTS!O714</f>
        <v>1</v>
      </c>
      <c r="V714" t="str">
        <f>[1]LISTADO_OTS!J714</f>
        <v>Aiaraldea</v>
      </c>
      <c r="W714">
        <f>[1]LISTADO_OTS!R714</f>
        <v>1</v>
      </c>
      <c r="X714" t="str">
        <f>[1]LISTADO_OTS!P714</f>
        <v>ENEKO</v>
      </c>
      <c r="Y714">
        <v>1</v>
      </c>
      <c r="Z714">
        <f>[1]LISTADO_OTS!S714</f>
        <v>0</v>
      </c>
    </row>
    <row r="715" spans="1:26" x14ac:dyDescent="0.4">
      <c r="A715">
        <v>714</v>
      </c>
      <c r="B715" t="str">
        <f>[1]LISTADO_OTS!E715</f>
        <v>TP/0341</v>
      </c>
      <c r="C715">
        <f>VLOOKUP([1]LISTADO_OTS!B715,[1]Redes!$C$1:$E$5,3,FALSE)</f>
        <v>5</v>
      </c>
      <c r="D715">
        <f>[1]LISTADO_OTS!C715</f>
        <v>2</v>
      </c>
      <c r="E715">
        <f>[1]LISTADO_OTS!D715</f>
        <v>3</v>
      </c>
      <c r="F715">
        <f>[1]LISTADO_OTS!Q715</f>
        <v>9</v>
      </c>
      <c r="G715">
        <f>[1]LISTADO_OTS!R715</f>
        <v>9</v>
      </c>
      <c r="H715" t="str">
        <f>[1]LISTADO_OTS!H715</f>
        <v>Revisión sistemas depuradores de fosas en Oreitia</v>
      </c>
      <c r="I715" t="str">
        <f>[1]LISTADO_OTS!I715</f>
        <v>Revisión sistemas depuradores de fosas en Oreitia</v>
      </c>
      <c r="J715" s="1">
        <f>[1]LISTADO_OTS!F715</f>
        <v>45953</v>
      </c>
      <c r="K715" s="1">
        <f>[1]LISTADO_OTS!G715</f>
        <v>45953</v>
      </c>
      <c r="L715" t="str">
        <f>[1]LISTADO_OTS!M715</f>
        <v/>
      </c>
      <c r="M715" t="str">
        <f>[1]LISTADO_OTS!N715</f>
        <v/>
      </c>
      <c r="U715" t="b">
        <f>[1]LISTADO_OTS!O715</f>
        <v>1</v>
      </c>
      <c r="V715" t="str">
        <f>[1]LISTADO_OTS!J715</f>
        <v>Oreitia</v>
      </c>
      <c r="W715">
        <f>[1]LISTADO_OTS!R715</f>
        <v>9</v>
      </c>
      <c r="X715" t="str">
        <f>[1]LISTADO_OTS!P715</f>
        <v>ENEKO</v>
      </c>
      <c r="Y715">
        <v>1</v>
      </c>
      <c r="Z715">
        <f>[1]LISTADO_OTS!S715</f>
        <v>0</v>
      </c>
    </row>
    <row r="716" spans="1:26" x14ac:dyDescent="0.4">
      <c r="A716">
        <v>715</v>
      </c>
      <c r="B716" t="str">
        <f>[1]LISTADO_OTS!E716</f>
        <v>TP/0342</v>
      </c>
      <c r="C716">
        <f>VLOOKUP([1]LISTADO_OTS!B716,[1]Redes!$C$1:$E$5,3,FALSE)</f>
        <v>3</v>
      </c>
      <c r="D716">
        <f>[1]LISTADO_OTS!C716</f>
        <v>2</v>
      </c>
      <c r="E716">
        <f>[1]LISTADO_OTS!D716</f>
        <v>7</v>
      </c>
      <c r="F716">
        <f>[1]LISTADO_OTS!Q716</f>
        <v>5</v>
      </c>
      <c r="G716">
        <f>[1]LISTADO_OTS!R716</f>
        <v>5</v>
      </c>
      <c r="H716" t="str">
        <f>[1]LISTADO_OTS!H716</f>
        <v>Localización de fuga en Arbigano</v>
      </c>
      <c r="I716" t="str">
        <f>[1]LISTADO_OTS!I716</f>
        <v>Localización de fuga en Arbigano</v>
      </c>
      <c r="J716" s="1">
        <f>[1]LISTADO_OTS!F716</f>
        <v>45953</v>
      </c>
      <c r="K716" s="1">
        <f>[1]LISTADO_OTS!G716</f>
        <v>45953</v>
      </c>
      <c r="L716" t="str">
        <f>[1]LISTADO_OTS!M716</f>
        <v/>
      </c>
      <c r="M716" t="str">
        <f>[1]LISTADO_OTS!N716</f>
        <v/>
      </c>
      <c r="U716" t="b">
        <f>[1]LISTADO_OTS!O716</f>
        <v>1</v>
      </c>
      <c r="V716" t="str">
        <f>[1]LISTADO_OTS!J716</f>
        <v>Arbígano</v>
      </c>
      <c r="W716">
        <f>[1]LISTADO_OTS!R716</f>
        <v>5</v>
      </c>
      <c r="X716" t="str">
        <f>[1]LISTADO_OTS!P716</f>
        <v>ENEKO</v>
      </c>
      <c r="Y716">
        <v>1</v>
      </c>
      <c r="Z716">
        <f>[1]LISTADO_OTS!S716</f>
        <v>1</v>
      </c>
    </row>
    <row r="717" spans="1:26" x14ac:dyDescent="0.4">
      <c r="A717">
        <v>716</v>
      </c>
      <c r="B717" t="str">
        <f>[1]LISTADO_OTS!E717</f>
        <v>OT/0458</v>
      </c>
      <c r="C717">
        <f>VLOOKUP([1]LISTADO_OTS!B717,[1]Redes!$C$1:$E$5,3,FALSE)</f>
        <v>3</v>
      </c>
      <c r="D717">
        <f>[1]LISTADO_OTS!C717</f>
        <v>1</v>
      </c>
      <c r="E717">
        <f>[1]LISTADO_OTS!D717</f>
        <v>0</v>
      </c>
      <c r="F717">
        <f>[1]LISTADO_OTS!Q717</f>
        <v>5</v>
      </c>
      <c r="G717">
        <f>[1]LISTADO_OTS!R717</f>
        <v>5</v>
      </c>
      <c r="H717" t="str">
        <f>[1]LISTADO_OTS!H717</f>
        <v>Colocación llave acometida en C/Juan de Lazcano n10-12 (Zambrana)</v>
      </c>
      <c r="I717" t="str">
        <f>[1]LISTADO_OTS!I717</f>
        <v>Colocación llave acometida en C/Juan de Lazcano n12 (Zambrana)</v>
      </c>
      <c r="J717" s="1">
        <f>[1]LISTADO_OTS!F717</f>
        <v>45957</v>
      </c>
      <c r="K717" s="1">
        <f>[1]LISTADO_OTS!G717</f>
        <v>45961</v>
      </c>
      <c r="L717">
        <f>[1]LISTADO_OTS!M717</f>
        <v>42.661366000000001</v>
      </c>
      <c r="M717">
        <f>[1]LISTADO_OTS!N717</f>
        <v>-2.8772739999999999</v>
      </c>
      <c r="U717" t="b">
        <f>[1]LISTADO_OTS!O717</f>
        <v>1</v>
      </c>
      <c r="V717" t="str">
        <f>[1]LISTADO_OTS!J717</f>
        <v>Zambrana</v>
      </c>
      <c r="W717">
        <f>[1]LISTADO_OTS!R717</f>
        <v>5</v>
      </c>
      <c r="X717" t="str">
        <f>[1]LISTADO_OTS!P717</f>
        <v>KERMAN</v>
      </c>
      <c r="Y717">
        <v>1</v>
      </c>
      <c r="Z717">
        <f>[1]LISTADO_OTS!S717</f>
        <v>3</v>
      </c>
    </row>
    <row r="718" spans="1:26" x14ac:dyDescent="0.4">
      <c r="A718">
        <v>717</v>
      </c>
      <c r="B718" t="str">
        <f>[1]LISTADO_OTS!E718</f>
        <v>TP/0343</v>
      </c>
      <c r="C718">
        <f>VLOOKUP([1]LISTADO_OTS!B718,[1]Redes!$C$1:$E$5,3,FALSE)</f>
        <v>3</v>
      </c>
      <c r="D718">
        <f>[1]LISTADO_OTS!C718</f>
        <v>2</v>
      </c>
      <c r="E718">
        <f>[1]LISTADO_OTS!D718</f>
        <v>4</v>
      </c>
      <c r="F718">
        <f>[1]LISTADO_OTS!Q718</f>
        <v>1</v>
      </c>
      <c r="G718">
        <f>[1]LISTADO_OTS!R718</f>
        <v>1</v>
      </c>
      <c r="H718" t="str">
        <f>[1]LISTADO_OTS!H718</f>
        <v>Digitalización de redes abastecimiento y saneamiento</v>
      </c>
      <c r="I718" t="str">
        <f>[1]LISTADO_OTS!I718</f>
        <v>Lekamaña,Onsoño,Pobes,Alegría</v>
      </c>
      <c r="J718" s="1">
        <f>[1]LISTADO_OTS!F718</f>
        <v>45931</v>
      </c>
      <c r="K718" s="1">
        <f>[1]LISTADO_OTS!G718</f>
        <v>45961</v>
      </c>
      <c r="L718" t="str">
        <f>[1]LISTADO_OTS!M718</f>
        <v/>
      </c>
      <c r="M718" t="str">
        <f>[1]LISTADO_OTS!N718</f>
        <v/>
      </c>
      <c r="U718" t="b">
        <f>[1]LISTADO_OTS!O718</f>
        <v>1</v>
      </c>
      <c r="V718" t="str">
        <f>[1]LISTADO_OTS!J718</f>
        <v>Aiaraldea</v>
      </c>
      <c r="W718">
        <f>[1]LISTADO_OTS!R718</f>
        <v>1</v>
      </c>
      <c r="X718" t="str">
        <f>[1]LISTADO_OTS!P718</f>
        <v>JORGE</v>
      </c>
      <c r="Y718">
        <v>1</v>
      </c>
      <c r="Z718">
        <f>[1]LISTADO_OTS!S718</f>
        <v>0</v>
      </c>
    </row>
    <row r="719" spans="1:26" x14ac:dyDescent="0.4">
      <c r="A719">
        <v>718</v>
      </c>
      <c r="B719" t="str">
        <f>[1]LISTADO_OTS!E719</f>
        <v>OT/0459</v>
      </c>
      <c r="C719">
        <f>VLOOKUP([1]LISTADO_OTS!B719,[1]Redes!$C$1:$E$5,3,FALSE)</f>
        <v>3</v>
      </c>
      <c r="D719">
        <f>[1]LISTADO_OTS!C719</f>
        <v>1</v>
      </c>
      <c r="E719">
        <f>[1]LISTADO_OTS!D719</f>
        <v>0</v>
      </c>
      <c r="F719">
        <f>[1]LISTADO_OTS!Q719</f>
        <v>1</v>
      </c>
      <c r="G719">
        <f>[1]LISTADO_OTS!R719</f>
        <v>1</v>
      </c>
      <c r="H719" t="str">
        <f>[1]LISTADO_OTS!H719</f>
        <v>Colocación de avisos de corte de agua en C/Isasi n20 (Llodio)</v>
      </c>
      <c r="I719" t="str">
        <f>[1]LISTADO_OTS!I719</f>
        <v>Colocación de avisos de corte de agua en C/Isasi n20 (Llodio)</v>
      </c>
      <c r="J719" s="1">
        <f>[1]LISTADO_OTS!F719</f>
        <v>45958</v>
      </c>
      <c r="K719" s="1">
        <f>[1]LISTADO_OTS!G719</f>
        <v>45958</v>
      </c>
      <c r="L719">
        <f>[1]LISTADO_OTS!M719</f>
        <v>43.151114</v>
      </c>
      <c r="M719">
        <f>[1]LISTADO_OTS!N719</f>
        <v>-2.9713579999999999</v>
      </c>
      <c r="U719" t="b">
        <f>[1]LISTADO_OTS!O719</f>
        <v>1</v>
      </c>
      <c r="V719" t="str">
        <f>[1]LISTADO_OTS!J719</f>
        <v>Llodio</v>
      </c>
      <c r="W719">
        <f>[1]LISTADO_OTS!R719</f>
        <v>1</v>
      </c>
      <c r="X719" t="str">
        <f>[1]LISTADO_OTS!P719</f>
        <v>TOMAS</v>
      </c>
      <c r="Y719">
        <v>1</v>
      </c>
      <c r="Z719">
        <f>[1]LISTADO_OTS!S719</f>
        <v>3</v>
      </c>
    </row>
    <row r="720" spans="1:26" x14ac:dyDescent="0.4">
      <c r="A720">
        <v>719</v>
      </c>
      <c r="B720" t="str">
        <f>[1]LISTADO_OTS!E720</f>
        <v>OT/0460</v>
      </c>
      <c r="C720">
        <f>VLOOKUP([1]LISTADO_OTS!B720,[1]Redes!$C$1:$E$5,3,FALSE)</f>
        <v>5</v>
      </c>
      <c r="D720">
        <f>[1]LISTADO_OTS!C720</f>
        <v>1</v>
      </c>
      <c r="E720">
        <f>[1]LISTADO_OTS!D720</f>
        <v>0</v>
      </c>
      <c r="F720">
        <f>[1]LISTADO_OTS!Q720</f>
        <v>1</v>
      </c>
      <c r="G720">
        <f>[1]LISTADO_OTS!R720</f>
        <v>1</v>
      </c>
      <c r="H720" t="str">
        <f>[1]LISTADO_OTS!H720</f>
        <v>Desatasco saneamiento es Esquina Abajo n24  en Respaldiza</v>
      </c>
      <c r="I720" t="str">
        <f>[1]LISTADO_OTS!I720</f>
        <v>Desatasco saneamiento es Esquina Abajo n24  en Respaldiza</v>
      </c>
      <c r="J720" s="1">
        <f>[1]LISTADO_OTS!F720</f>
        <v>45958</v>
      </c>
      <c r="K720" s="1">
        <f>[1]LISTADO_OTS!G720</f>
        <v>45958</v>
      </c>
      <c r="L720">
        <f>[1]LISTADO_OTS!M720</f>
        <v>43.097340000000003</v>
      </c>
      <c r="M720">
        <f>[1]LISTADO_OTS!N720</f>
        <v>-3.0437720000000001</v>
      </c>
      <c r="U720" t="b">
        <f>[1]LISTADO_OTS!O720</f>
        <v>1</v>
      </c>
      <c r="V720" t="str">
        <f>[1]LISTADO_OTS!J720</f>
        <v>Respaldiza</v>
      </c>
      <c r="W720">
        <f>[1]LISTADO_OTS!R720</f>
        <v>1</v>
      </c>
      <c r="X720" t="str">
        <f>[1]LISTADO_OTS!P720</f>
        <v>EMILIO KERMAN</v>
      </c>
      <c r="Y720">
        <v>1</v>
      </c>
      <c r="Z720">
        <f>[1]LISTADO_OTS!S720</f>
        <v>2</v>
      </c>
    </row>
    <row r="721" spans="1:26" x14ac:dyDescent="0.4">
      <c r="A721">
        <v>720</v>
      </c>
      <c r="B721" t="str">
        <f>[1]LISTADO_OTS!E721</f>
        <v>OT/0461</v>
      </c>
      <c r="C721">
        <f>VLOOKUP([1]LISTADO_OTS!B721,[1]Redes!$C$1:$E$5,3,FALSE)</f>
        <v>3</v>
      </c>
      <c r="D721">
        <f>[1]LISTADO_OTS!C721</f>
        <v>1</v>
      </c>
      <c r="E721">
        <f>[1]LISTADO_OTS!D721</f>
        <v>0</v>
      </c>
      <c r="F721">
        <f>[1]LISTADO_OTS!Q721</f>
        <v>5</v>
      </c>
      <c r="G721">
        <f>[1]LISTADO_OTS!R721</f>
        <v>5</v>
      </c>
      <c r="H721" t="str">
        <f>[1]LISTADO_OTS!H721</f>
        <v>Acondicionamiento asfalto en Espejo por cata de Facsa</v>
      </c>
      <c r="I721" t="str">
        <f>[1]LISTADO_OTS!I721</f>
        <v>Acondicionamiento asfalto en Espejo por cata de Facsa</v>
      </c>
      <c r="J721" s="1">
        <f>[1]LISTADO_OTS!F721</f>
        <v>45958</v>
      </c>
      <c r="K721" s="1">
        <f>[1]LISTADO_OTS!G721</f>
        <v>45958</v>
      </c>
      <c r="L721">
        <f>[1]LISTADO_OTS!M721</f>
        <v>42.808259999999997</v>
      </c>
      <c r="M721">
        <f>[1]LISTADO_OTS!N721</f>
        <v>-3.0462799999999999</v>
      </c>
      <c r="U721" t="b">
        <f>[1]LISTADO_OTS!O721</f>
        <v>1</v>
      </c>
      <c r="V721" t="str">
        <f>[1]LISTADO_OTS!J721</f>
        <v>Espejo</v>
      </c>
      <c r="W721">
        <f>[1]LISTADO_OTS!R721</f>
        <v>5</v>
      </c>
      <c r="X721" t="str">
        <f>[1]LISTADO_OTS!P721</f>
        <v>MIGUEL KERMAN EMILIO ALBERTO</v>
      </c>
      <c r="Y721">
        <v>1</v>
      </c>
      <c r="Z721">
        <f>[1]LISTADO_OTS!S721</f>
        <v>3</v>
      </c>
    </row>
    <row r="722" spans="1:26" x14ac:dyDescent="0.4">
      <c r="A722">
        <v>721</v>
      </c>
      <c r="B722" t="str">
        <f>[1]LISTADO_OTS!E722</f>
        <v>OT/0462</v>
      </c>
      <c r="C722">
        <f>VLOOKUP([1]LISTADO_OTS!B722,[1]Redes!$C$1:$E$5,3,FALSE)</f>
        <v>3</v>
      </c>
      <c r="D722">
        <f>[1]LISTADO_OTS!C722</f>
        <v>1</v>
      </c>
      <c r="E722">
        <f>[1]LISTADO_OTS!D722</f>
        <v>0</v>
      </c>
      <c r="F722">
        <f>[1]LISTADO_OTS!Q722</f>
        <v>1</v>
      </c>
      <c r="G722">
        <f>[1]LISTADO_OTS!R722</f>
        <v>1</v>
      </c>
      <c r="H722" t="str">
        <f>[1]LISTADO_OTS!H722</f>
        <v>Reparación de fuga en C/Aldai n1</v>
      </c>
      <c r="I722" t="str">
        <f>[1]LISTADO_OTS!I722</f>
        <v>Reparación de fuga en C/Aldai n1</v>
      </c>
      <c r="J722" s="1">
        <f>[1]LISTADO_OTS!F722</f>
        <v>45957</v>
      </c>
      <c r="K722" s="1">
        <f>[1]LISTADO_OTS!G722</f>
        <v>45957</v>
      </c>
      <c r="L722">
        <f>[1]LISTADO_OTS!M722</f>
        <v>43.051189999999998</v>
      </c>
      <c r="M722">
        <f>[1]LISTADO_OTS!N722</f>
        <v>-3.00224</v>
      </c>
      <c r="U722" t="b">
        <f>[1]LISTADO_OTS!O722</f>
        <v>1</v>
      </c>
      <c r="V722" t="str">
        <f>[1]LISTADO_OTS!J722</f>
        <v>Amurrio</v>
      </c>
      <c r="W722">
        <f>[1]LISTADO_OTS!R722</f>
        <v>1</v>
      </c>
      <c r="X722" t="str">
        <f>[1]LISTADO_OTS!P722</f>
        <v>KHARIM RAFNIR</v>
      </c>
      <c r="Y722">
        <v>1</v>
      </c>
      <c r="Z722">
        <f>[1]LISTADO_OTS!S722</f>
        <v>1</v>
      </c>
    </row>
    <row r="723" spans="1:26" x14ac:dyDescent="0.4">
      <c r="A723">
        <v>722</v>
      </c>
      <c r="B723" t="str">
        <f>[1]LISTADO_OTS!E723</f>
        <v>OT/0463</v>
      </c>
      <c r="C723">
        <f>VLOOKUP([1]LISTADO_OTS!B723,[1]Redes!$C$1:$E$5,3,FALSE)</f>
        <v>3</v>
      </c>
      <c r="D723">
        <f>[1]LISTADO_OTS!C723</f>
        <v>1</v>
      </c>
      <c r="E723">
        <f>[1]LISTADO_OTS!D723</f>
        <v>0</v>
      </c>
      <c r="F723">
        <f>[1]LISTADO_OTS!Q723</f>
        <v>1</v>
      </c>
      <c r="G723">
        <f>[1]LISTADO_OTS!R723</f>
        <v>1</v>
      </c>
      <c r="H723" t="str">
        <f>[1]LISTADO_OTS!H723</f>
        <v>Fugas C/Esquina Abajo en Respaldiza</v>
      </c>
      <c r="I723" t="str">
        <f>[1]LISTADO_OTS!I723</f>
        <v>Fugas C/Esquina Abajo en Respaldiza</v>
      </c>
      <c r="J723" s="1">
        <f>[1]LISTADO_OTS!F723</f>
        <v>45958</v>
      </c>
      <c r="K723" s="1">
        <f>[1]LISTADO_OTS!G723</f>
        <v>45958</v>
      </c>
      <c r="L723">
        <f>[1]LISTADO_OTS!M723</f>
        <v>43.086793</v>
      </c>
      <c r="M723">
        <f>[1]LISTADO_OTS!N723</f>
        <v>-3.0431550000000001</v>
      </c>
      <c r="U723" t="b">
        <f>[1]LISTADO_OTS!O723</f>
        <v>1</v>
      </c>
      <c r="V723" t="str">
        <f>[1]LISTADO_OTS!J723</f>
        <v>Respaldiza</v>
      </c>
      <c r="W723">
        <f>[1]LISTADO_OTS!R723</f>
        <v>1</v>
      </c>
      <c r="X723" t="str">
        <f>[1]LISTADO_OTS!P723</f>
        <v>MIGUEL Y ZOUITA</v>
      </c>
      <c r="Y723">
        <v>1</v>
      </c>
      <c r="Z723">
        <f>[1]LISTADO_OTS!S723</f>
        <v>1</v>
      </c>
    </row>
    <row r="724" spans="1:26" x14ac:dyDescent="0.4">
      <c r="A724">
        <v>723</v>
      </c>
      <c r="B724" t="str">
        <f>[1]LISTADO_OTS!E724</f>
        <v>OT/0464</v>
      </c>
      <c r="C724">
        <f>VLOOKUP([1]LISTADO_OTS!B724,[1]Redes!$C$1:$E$5,3,FALSE)</f>
        <v>3</v>
      </c>
      <c r="D724">
        <f>[1]LISTADO_OTS!C724</f>
        <v>1</v>
      </c>
      <c r="E724">
        <f>[1]LISTADO_OTS!D724</f>
        <v>0</v>
      </c>
      <c r="F724">
        <f>[1]LISTADO_OTS!Q724</f>
        <v>1</v>
      </c>
      <c r="G724">
        <f>[1]LISTADO_OTS!R724</f>
        <v>1</v>
      </c>
      <c r="H724" t="str">
        <f>[1]LISTADO_OTS!H724</f>
        <v>Reparación de fuga en C/Esquina Abajo n109 en Respaldiza</v>
      </c>
      <c r="I724" t="str">
        <f>[1]LISTADO_OTS!I724</f>
        <v>Reparación de fuga en C/Esquina Abajo n109 en Respaldiza</v>
      </c>
      <c r="J724" s="1">
        <f>[1]LISTADO_OTS!F724</f>
        <v>45959</v>
      </c>
      <c r="K724" s="1">
        <f>[1]LISTADO_OTS!G724</f>
        <v>45959</v>
      </c>
      <c r="L724">
        <f>[1]LISTADO_OTS!M724</f>
        <v>43.083544000000003</v>
      </c>
      <c r="M724">
        <f>[1]LISTADO_OTS!N724</f>
        <v>-3.0443709999999999</v>
      </c>
      <c r="U724" t="b">
        <f>[1]LISTADO_OTS!O724</f>
        <v>1</v>
      </c>
      <c r="V724" t="str">
        <f>[1]LISTADO_OTS!J724</f>
        <v>Respaldiza</v>
      </c>
      <c r="W724">
        <f>[1]LISTADO_OTS!R724</f>
        <v>1</v>
      </c>
      <c r="X724" t="str">
        <f>[1]LISTADO_OTS!P724</f>
        <v>MIGUEL</v>
      </c>
      <c r="Y724">
        <v>1</v>
      </c>
      <c r="Z724">
        <f>[1]LISTADO_OTS!S724</f>
        <v>1</v>
      </c>
    </row>
    <row r="725" spans="1:26" x14ac:dyDescent="0.4">
      <c r="A725">
        <v>724</v>
      </c>
      <c r="B725" t="str">
        <f>[1]LISTADO_OTS!E725</f>
        <v>TP/0344</v>
      </c>
      <c r="C725">
        <f>VLOOKUP([1]LISTADO_OTS!B725,[1]Redes!$C$1:$E$5,3,FALSE)</f>
        <v>3</v>
      </c>
      <c r="D725">
        <f>[1]LISTADO_OTS!C725</f>
        <v>2</v>
      </c>
      <c r="E725">
        <f>[1]LISTADO_OTS!D725</f>
        <v>9</v>
      </c>
      <c r="F725">
        <f>[1]LISTADO_OTS!Q725</f>
        <v>1</v>
      </c>
      <c r="G725">
        <f>[1]LISTADO_OTS!R725</f>
        <v>1</v>
      </c>
      <c r="H725" t="str">
        <f>[1]LISTADO_OTS!H725</f>
        <v>Retirada de contador en la C/Pagolar n10 (Llodio)</v>
      </c>
      <c r="I725" t="str">
        <f>[1]LISTADO_OTS!I725</f>
        <v>Retirada de contador en la C/Pagolar n10 (Llodio)</v>
      </c>
      <c r="J725" s="1">
        <f>[1]LISTADO_OTS!F725</f>
        <v>45959</v>
      </c>
      <c r="K725" s="1">
        <f>[1]LISTADO_OTS!G725</f>
        <v>45959</v>
      </c>
      <c r="L725">
        <f>[1]LISTADO_OTS!M725</f>
        <v>43.139766000000002</v>
      </c>
      <c r="M725">
        <f>[1]LISTADO_OTS!N725</f>
        <v>-2.9614090000000002</v>
      </c>
      <c r="U725" t="b">
        <f>[1]LISTADO_OTS!O725</f>
        <v>1</v>
      </c>
      <c r="V725" t="str">
        <f>[1]LISTADO_OTS!J725</f>
        <v>Llodio</v>
      </c>
      <c r="W725">
        <f>[1]LISTADO_OTS!R725</f>
        <v>1</v>
      </c>
      <c r="X725" t="str">
        <f>[1]LISTADO_OTS!P725</f>
        <v>KERMAN JUAN</v>
      </c>
      <c r="Y725">
        <v>1</v>
      </c>
      <c r="Z725">
        <f>[1]LISTADO_OTS!S725</f>
        <v>0</v>
      </c>
    </row>
    <row r="726" spans="1:26" x14ac:dyDescent="0.4">
      <c r="A726">
        <v>725</v>
      </c>
      <c r="B726" t="str">
        <f>[1]LISTADO_OTS!E726</f>
        <v>TP/0345</v>
      </c>
      <c r="C726">
        <f>VLOOKUP([1]LISTADO_OTS!B726,[1]Redes!$C$1:$E$5,3,FALSE)</f>
        <v>3</v>
      </c>
      <c r="D726">
        <f>[1]LISTADO_OTS!C726</f>
        <v>2</v>
      </c>
      <c r="E726">
        <f>[1]LISTADO_OTS!D726</f>
        <v>8</v>
      </c>
      <c r="F726">
        <f>[1]LISTADO_OTS!Q726</f>
        <v>1</v>
      </c>
      <c r="G726">
        <f>[1]LISTADO_OTS!R726</f>
        <v>1</v>
      </c>
      <c r="H726" t="str">
        <f>[1]LISTADO_OTS!H726</f>
        <v>Intalación de contador en C/Javier Zaballa n3 (Llodio)</v>
      </c>
      <c r="I726" t="str">
        <f>[1]LISTADO_OTS!I726</f>
        <v>Intalación de contador en C/Javier Zaballa n3 (Llodio)</v>
      </c>
      <c r="J726" s="1">
        <f>[1]LISTADO_OTS!F726</f>
        <v>45959</v>
      </c>
      <c r="K726" s="1">
        <f>[1]LISTADO_OTS!G726</f>
        <v>45959</v>
      </c>
      <c r="L726">
        <f>[1]LISTADO_OTS!M726</f>
        <v>43.139608000000003</v>
      </c>
      <c r="M726">
        <f>[1]LISTADO_OTS!N726</f>
        <v>-2.9657610000000001</v>
      </c>
      <c r="U726" t="b">
        <f>[1]LISTADO_OTS!O726</f>
        <v>1</v>
      </c>
      <c r="V726" t="str">
        <f>[1]LISTADO_OTS!J726</f>
        <v>Llodio</v>
      </c>
      <c r="W726">
        <f>[1]LISTADO_OTS!R726</f>
        <v>1</v>
      </c>
      <c r="X726" t="str">
        <f>[1]LISTADO_OTS!P726</f>
        <v>KERMAN JUAN</v>
      </c>
      <c r="Y726">
        <v>1</v>
      </c>
      <c r="Z726">
        <f>[1]LISTADO_OTS!S726</f>
        <v>0</v>
      </c>
    </row>
    <row r="727" spans="1:26" x14ac:dyDescent="0.4">
      <c r="A727">
        <v>726</v>
      </c>
      <c r="B727" t="str">
        <f>[1]LISTADO_OTS!E727</f>
        <v>TP/0346</v>
      </c>
      <c r="C727">
        <f>VLOOKUP([1]LISTADO_OTS!B727,[1]Redes!$C$1:$E$5,3,FALSE)</f>
        <v>5</v>
      </c>
      <c r="D727">
        <f>[1]LISTADO_OTS!C727</f>
        <v>2</v>
      </c>
      <c r="E727">
        <f>[1]LISTADO_OTS!D727</f>
        <v>1</v>
      </c>
      <c r="F727">
        <f>[1]LISTADO_OTS!Q727</f>
        <v>1</v>
      </c>
      <c r="G727">
        <f>[1]LISTADO_OTS!R727</f>
        <v>1</v>
      </c>
      <c r="H727" t="str">
        <f>[1]LISTADO_OTS!H727</f>
        <v>Mantenimiento preventivo saneamiento C/Izoria (Llodio)</v>
      </c>
      <c r="I727" t="str">
        <f>[1]LISTADO_OTS!I727</f>
        <v>Mantenimiento preventivo saneamiento C/Izoria (Llodio)</v>
      </c>
      <c r="J727" s="1">
        <f>[1]LISTADO_OTS!F727</f>
        <v>45959</v>
      </c>
      <c r="K727" s="1">
        <f>[1]LISTADO_OTS!G727</f>
        <v>45959</v>
      </c>
      <c r="L727">
        <f>[1]LISTADO_OTS!M727</f>
        <v>43.144911999999998</v>
      </c>
      <c r="M727">
        <f>[1]LISTADO_OTS!N727</f>
        <v>-2.9598317000000001</v>
      </c>
      <c r="U727" t="b">
        <f>[1]LISTADO_OTS!O727</f>
        <v>1</v>
      </c>
      <c r="V727" t="str">
        <f>[1]LISTADO_OTS!J727</f>
        <v>Llodio</v>
      </c>
      <c r="W727">
        <f>[1]LISTADO_OTS!R727</f>
        <v>1</v>
      </c>
      <c r="X727" t="str">
        <f>[1]LISTADO_OTS!P727</f>
        <v>EMILIO</v>
      </c>
      <c r="Y727">
        <v>1</v>
      </c>
      <c r="Z727">
        <f>[1]LISTADO_OTS!S727</f>
        <v>0</v>
      </c>
    </row>
    <row r="728" spans="1:26" x14ac:dyDescent="0.4">
      <c r="A728">
        <v>727</v>
      </c>
      <c r="B728" t="str">
        <f>[1]LISTADO_OTS!E728</f>
        <v>TP/0347</v>
      </c>
      <c r="C728">
        <f>VLOOKUP([1]LISTADO_OTS!B728,[1]Redes!$C$1:$E$5,3,FALSE)</f>
        <v>3</v>
      </c>
      <c r="D728">
        <f>[1]LISTADO_OTS!C728</f>
        <v>2</v>
      </c>
      <c r="E728">
        <f>[1]LISTADO_OTS!D728</f>
        <v>11</v>
      </c>
      <c r="F728">
        <f>[1]LISTADO_OTS!Q728</f>
        <v>1</v>
      </c>
      <c r="G728">
        <f>[1]LISTADO_OTS!R728</f>
        <v>1</v>
      </c>
      <c r="H728" t="str">
        <f>[1]LISTADO_OTS!H728</f>
        <v>Lectura de contadores septoriales (Amurrio y Aiaraldea)</v>
      </c>
      <c r="I728" t="str">
        <f>[1]LISTADO_OTS!I728</f>
        <v>Lectura de contadores septoriales (Amurrio y Aiaraldea)</v>
      </c>
      <c r="J728" s="1">
        <f>[1]LISTADO_OTS!F728</f>
        <v>45959</v>
      </c>
      <c r="K728" s="1">
        <f>[1]LISTADO_OTS!G728</f>
        <v>45961</v>
      </c>
      <c r="L728" t="str">
        <f>[1]LISTADO_OTS!M728</f>
        <v/>
      </c>
      <c r="M728" t="str">
        <f>[1]LISTADO_OTS!N728</f>
        <v/>
      </c>
      <c r="U728" t="b">
        <f>[1]LISTADO_OTS!O728</f>
        <v>1</v>
      </c>
      <c r="V728" t="str">
        <f>[1]LISTADO_OTS!J728</f>
        <v>Aiaraldea</v>
      </c>
      <c r="W728">
        <f>[1]LISTADO_OTS!R728</f>
        <v>1</v>
      </c>
      <c r="X728" t="str">
        <f>[1]LISTADO_OTS!P728</f>
        <v>KERMAN JUAN</v>
      </c>
      <c r="Y728">
        <v>1</v>
      </c>
      <c r="Z728">
        <f>[1]LISTADO_OTS!S728</f>
        <v>0</v>
      </c>
    </row>
    <row r="729" spans="1:26" x14ac:dyDescent="0.4">
      <c r="A729">
        <v>728</v>
      </c>
      <c r="B729" t="str">
        <f>[1]LISTADO_OTS!E729</f>
        <v>TP/0348</v>
      </c>
      <c r="C729">
        <f>VLOOKUP([1]LISTADO_OTS!B729,[1]Redes!$C$1:$E$5,3,FALSE)</f>
        <v>3</v>
      </c>
      <c r="D729">
        <f>[1]LISTADO_OTS!C729</f>
        <v>2</v>
      </c>
      <c r="E729">
        <f>[1]LISTADO_OTS!D729</f>
        <v>12</v>
      </c>
      <c r="F729">
        <f>[1]LISTADO_OTS!Q729</f>
        <v>1</v>
      </c>
      <c r="G729">
        <f>[1]LISTADO_OTS!R729</f>
        <v>1</v>
      </c>
      <c r="H729" t="str">
        <f>[1]LISTADO_OTS!H729</f>
        <v>Corte de Agua en Erbi por obra</v>
      </c>
      <c r="I729" t="str">
        <f>[1]LISTADO_OTS!I729</f>
        <v>Corte de Agua en Erbi por obra</v>
      </c>
      <c r="J729" s="1">
        <f>[1]LISTADO_OTS!F729</f>
        <v>45957</v>
      </c>
      <c r="K729" s="1">
        <f>[1]LISTADO_OTS!G729</f>
        <v>45957</v>
      </c>
      <c r="L729" t="str">
        <f>[1]LISTADO_OTS!M729</f>
        <v/>
      </c>
      <c r="M729" t="str">
        <f>[1]LISTADO_OTS!N729</f>
        <v/>
      </c>
      <c r="U729" t="b">
        <f>[1]LISTADO_OTS!O729</f>
        <v>1</v>
      </c>
      <c r="V729" t="str">
        <f>[1]LISTADO_OTS!J729</f>
        <v>Erbi</v>
      </c>
      <c r="W729">
        <f>[1]LISTADO_OTS!R729</f>
        <v>1</v>
      </c>
      <c r="X729" t="str">
        <f>[1]LISTADO_OTS!P729</f>
        <v>IÑIGO MIGUEL</v>
      </c>
      <c r="Y729">
        <v>1</v>
      </c>
      <c r="Z729">
        <f>[1]LISTADO_OTS!S729</f>
        <v>0</v>
      </c>
    </row>
    <row r="730" spans="1:26" x14ac:dyDescent="0.4">
      <c r="A730">
        <v>729</v>
      </c>
      <c r="B730" t="str">
        <f>[1]LISTADO_OTS!E730</f>
        <v>OT/0465</v>
      </c>
      <c r="C730">
        <f>VLOOKUP([1]LISTADO_OTS!B730,[1]Redes!$C$1:$E$5,3,FALSE)</f>
        <v>3</v>
      </c>
      <c r="D730">
        <f>[1]LISTADO_OTS!C730</f>
        <v>1</v>
      </c>
      <c r="E730">
        <f>[1]LISTADO_OTS!D730</f>
        <v>0</v>
      </c>
      <c r="F730">
        <f>[1]LISTADO_OTS!Q730</f>
        <v>5</v>
      </c>
      <c r="G730">
        <f>[1]LISTADO_OTS!R730</f>
        <v>5</v>
      </c>
      <c r="H730" t="str">
        <f>[1]LISTADO_OTS!H730</f>
        <v>Reparación de fuga en bajada depósito Arbígano</v>
      </c>
      <c r="I730" t="str">
        <f>[1]LISTADO_OTS!I730</f>
        <v>Reparación de fuga en bajada depósito Arbígano</v>
      </c>
      <c r="J730" s="1">
        <f>[1]LISTADO_OTS!F730</f>
        <v>45957</v>
      </c>
      <c r="K730" s="1">
        <f>[1]LISTADO_OTS!G730</f>
        <v>45957</v>
      </c>
      <c r="L730">
        <f>[1]LISTADO_OTS!M730</f>
        <v>42.804417999999998</v>
      </c>
      <c r="M730">
        <f>[1]LISTADO_OTS!N730</f>
        <v>-2.9334579999999999</v>
      </c>
      <c r="U730" t="b">
        <f>[1]LISTADO_OTS!O730</f>
        <v>1</v>
      </c>
      <c r="V730" t="str">
        <f>[1]LISTADO_OTS!J730</f>
        <v>Arbígano</v>
      </c>
      <c r="W730">
        <f>[1]LISTADO_OTS!R730</f>
        <v>5</v>
      </c>
      <c r="X730" t="str">
        <f>[1]LISTADO_OTS!P730</f>
        <v>MIGUEL IÑIGO</v>
      </c>
      <c r="Y730">
        <v>1</v>
      </c>
      <c r="Z730">
        <f>[1]LISTADO_OTS!S730</f>
        <v>1</v>
      </c>
    </row>
    <row r="731" spans="1:26" x14ac:dyDescent="0.4">
      <c r="A731">
        <v>730</v>
      </c>
      <c r="B731" t="str">
        <f>[1]LISTADO_OTS!E731</f>
        <v>OT/0466</v>
      </c>
      <c r="C731">
        <f>VLOOKUP([1]LISTADO_OTS!B731,[1]Redes!$C$1:$E$5,3,FALSE)</f>
        <v>5</v>
      </c>
      <c r="D731">
        <f>[1]LISTADO_OTS!C731</f>
        <v>1</v>
      </c>
      <c r="E731">
        <f>[1]LISTADO_OTS!D731</f>
        <v>0</v>
      </c>
      <c r="F731">
        <f>[1]LISTADO_OTS!Q731</f>
        <v>1</v>
      </c>
      <c r="G731">
        <f>[1]LISTADO_OTS!R731</f>
        <v>1</v>
      </c>
      <c r="H731" t="str">
        <f>[1]LISTADO_OTS!H731</f>
        <v>Desatasco saneamiento en C/Nervion n10 (Llodio)</v>
      </c>
      <c r="I731" t="str">
        <f>[1]LISTADO_OTS!I731</f>
        <v>Desatasco saneamiento en C/Nervion n10 (Llodio)</v>
      </c>
      <c r="J731" s="1">
        <f>[1]LISTADO_OTS!F731</f>
        <v>45959</v>
      </c>
      <c r="K731" s="1">
        <f>[1]LISTADO_OTS!G731</f>
        <v>45959</v>
      </c>
      <c r="L731">
        <f>[1]LISTADO_OTS!M731</f>
        <v>43.142268999999999</v>
      </c>
      <c r="M731">
        <f>[1]LISTADO_OTS!N731</f>
        <v>-2.9620259999999998</v>
      </c>
      <c r="U731" t="b">
        <f>[1]LISTADO_OTS!O731</f>
        <v>1</v>
      </c>
      <c r="V731" t="str">
        <f>[1]LISTADO_OTS!J731</f>
        <v>Llodio</v>
      </c>
      <c r="W731">
        <f>[1]LISTADO_OTS!R731</f>
        <v>1</v>
      </c>
      <c r="X731" t="str">
        <f>[1]LISTADO_OTS!P731</f>
        <v>EMILIO KERMAN TOMAS JUAN</v>
      </c>
      <c r="Y731">
        <v>1</v>
      </c>
      <c r="Z731">
        <f>[1]LISTADO_OTS!S731</f>
        <v>2</v>
      </c>
    </row>
    <row r="732" spans="1:26" x14ac:dyDescent="0.4">
      <c r="A732">
        <v>731</v>
      </c>
      <c r="B732" t="str">
        <f>[1]LISTADO_OTS!E732</f>
        <v>OT/0467</v>
      </c>
      <c r="C732">
        <f>VLOOKUP([1]LISTADO_OTS!B732,[1]Redes!$C$1:$E$5,3,FALSE)</f>
        <v>1</v>
      </c>
      <c r="D732">
        <f>[1]LISTADO_OTS!C732</f>
        <v>1</v>
      </c>
      <c r="E732">
        <f>[1]LISTADO_OTS!D732</f>
        <v>0</v>
      </c>
      <c r="F732">
        <f>[1]LISTADO_OTS!Q732</f>
        <v>1</v>
      </c>
      <c r="G732">
        <f>[1]LISTADO_OTS!R732</f>
        <v>1</v>
      </c>
      <c r="H732" t="str">
        <f>[1]LISTADO_OTS!H732</f>
        <v>Reparación de fuga en Lejarzo</v>
      </c>
      <c r="I732" t="str">
        <f>[1]LISTADO_OTS!I732</f>
        <v>Reparación de fuga en Lejarzo</v>
      </c>
      <c r="J732" s="1">
        <f>[1]LISTADO_OTS!F732</f>
        <v>45960</v>
      </c>
      <c r="K732" s="1">
        <f>[1]LISTADO_OTS!G732</f>
        <v>45961</v>
      </c>
      <c r="L732">
        <f>[1]LISTADO_OTS!M732</f>
        <v>43.057960999999999</v>
      </c>
      <c r="M732">
        <f>[1]LISTADO_OTS!N732</f>
        <v>-3.121699</v>
      </c>
      <c r="U732" t="b">
        <f>[1]LISTADO_OTS!O732</f>
        <v>1</v>
      </c>
      <c r="V732" t="str">
        <f>[1]LISTADO_OTS!J732</f>
        <v>Lejarzo</v>
      </c>
      <c r="W732">
        <f>[1]LISTADO_OTS!R732</f>
        <v>1</v>
      </c>
      <c r="X732" t="str">
        <f>[1]LISTADO_OTS!P732</f>
        <v/>
      </c>
      <c r="Y732">
        <v>1</v>
      </c>
      <c r="Z732">
        <f>[1]LISTADO_OTS!S732</f>
        <v>1</v>
      </c>
    </row>
    <row r="733" spans="1:26" x14ac:dyDescent="0.4">
      <c r="A733">
        <v>732</v>
      </c>
      <c r="B733" t="str">
        <f>[1]LISTADO_OTS!E733</f>
        <v>OT/0468</v>
      </c>
      <c r="C733">
        <f>VLOOKUP([1]LISTADO_OTS!B733,[1]Redes!$C$1:$E$5,3,FALSE)</f>
        <v>3</v>
      </c>
      <c r="D733">
        <f>[1]LISTADO_OTS!C733</f>
        <v>1</v>
      </c>
      <c r="E733">
        <f>[1]LISTADO_OTS!D733</f>
        <v>0</v>
      </c>
      <c r="F733">
        <f>[1]LISTADO_OTS!Q733</f>
        <v>1</v>
      </c>
      <c r="G733">
        <f>[1]LISTADO_OTS!R733</f>
        <v>1</v>
      </c>
      <c r="H733" t="str">
        <f>[1]LISTADO_OTS!H733</f>
        <v>Instalación de tubería nueva para Larrinbe 29</v>
      </c>
      <c r="I733" t="str">
        <f>[1]LISTADO_OTS!I733</f>
        <v>Instalación de tubería nueva para Larrinbe 29</v>
      </c>
      <c r="J733" s="1">
        <f>[1]LISTADO_OTS!F733</f>
        <v>45959</v>
      </c>
      <c r="K733" s="1">
        <f>[1]LISTADO_OTS!G733</f>
        <v>45960</v>
      </c>
      <c r="L733">
        <f>[1]LISTADO_OTS!M733</f>
        <v>43.044117</v>
      </c>
      <c r="M733">
        <f>[1]LISTADO_OTS!N733</f>
        <v>-2.9860600000000002</v>
      </c>
      <c r="U733" t="b">
        <f>[1]LISTADO_OTS!O733</f>
        <v>1</v>
      </c>
      <c r="V733" t="str">
        <f>[1]LISTADO_OTS!J733</f>
        <v>Amurrio</v>
      </c>
      <c r="W733">
        <f>[1]LISTADO_OTS!R733</f>
        <v>1</v>
      </c>
      <c r="X733" t="str">
        <f>[1]LISTADO_OTS!P733</f>
        <v>KERMAN</v>
      </c>
      <c r="Y733">
        <v>1</v>
      </c>
      <c r="Z733">
        <f>[1]LISTADO_OTS!S733</f>
        <v>3</v>
      </c>
    </row>
    <row r="734" spans="1:26" x14ac:dyDescent="0.4">
      <c r="A734">
        <v>733</v>
      </c>
      <c r="B734" t="str">
        <f>[1]LISTADO_OTS!E734</f>
        <v>TP/0349</v>
      </c>
      <c r="C734">
        <f>VLOOKUP([1]LISTADO_OTS!B734,[1]Redes!$C$1:$E$5,3,FALSE)</f>
        <v>5</v>
      </c>
      <c r="D734">
        <f>[1]LISTADO_OTS!C734</f>
        <v>2</v>
      </c>
      <c r="E734">
        <f>[1]LISTADO_OTS!D734</f>
        <v>1</v>
      </c>
      <c r="F734">
        <f>[1]LISTADO_OTS!Q734</f>
        <v>1</v>
      </c>
      <c r="G734">
        <f>[1]LISTADO_OTS!R734</f>
        <v>1</v>
      </c>
      <c r="H734" t="str">
        <f>[1]LISTADO_OTS!H734</f>
        <v>Mantenimiento preventivo saneamiento C/Fronton y Jose Madinabeitia (Amurrio)</v>
      </c>
      <c r="I734" t="str">
        <f>[1]LISTADO_OTS!I734</f>
        <v>Mantenimiento preventivo saneamiento C/Fronton y Jose Madinabeitia (Amurrio)</v>
      </c>
      <c r="J734" s="1">
        <f>[1]LISTADO_OTS!F734</f>
        <v>45960</v>
      </c>
      <c r="K734" s="1">
        <f>[1]LISTADO_OTS!G734</f>
        <v>45960</v>
      </c>
      <c r="L734">
        <f>[1]LISTADO_OTS!M734</f>
        <v>43.053567999999999</v>
      </c>
      <c r="M734">
        <f>[1]LISTADO_OTS!N734</f>
        <v>-3.0013700000000001</v>
      </c>
      <c r="U734" t="b">
        <f>[1]LISTADO_OTS!O734</f>
        <v>1</v>
      </c>
      <c r="V734" t="str">
        <f>[1]LISTADO_OTS!J734</f>
        <v>Amurrio</v>
      </c>
      <c r="W734">
        <f>[1]LISTADO_OTS!R734</f>
        <v>1</v>
      </c>
      <c r="X734" t="str">
        <f>[1]LISTADO_OTS!P734</f>
        <v>EMILIO RAFIN</v>
      </c>
      <c r="Y734">
        <v>1</v>
      </c>
      <c r="Z734">
        <f>[1]LISTADO_OTS!S734</f>
        <v>0</v>
      </c>
    </row>
    <row r="735" spans="1:26" x14ac:dyDescent="0.4">
      <c r="A735">
        <v>734</v>
      </c>
      <c r="B735" t="str">
        <f>[1]LISTADO_OTS!E735</f>
        <v>TP/0350</v>
      </c>
      <c r="C735">
        <f>VLOOKUP([1]LISTADO_OTS!B735,[1]Redes!$C$1:$E$5,3,FALSE)</f>
        <v>3</v>
      </c>
      <c r="D735">
        <f>[1]LISTADO_OTS!C735</f>
        <v>2</v>
      </c>
      <c r="E735">
        <f>[1]LISTADO_OTS!D735</f>
        <v>13</v>
      </c>
      <c r="F735">
        <f>[1]LISTADO_OTS!Q735</f>
        <v>1</v>
      </c>
      <c r="G735">
        <f>[1]LISTADO_OTS!R735</f>
        <v>1</v>
      </c>
      <c r="H735" t="str">
        <f>[1]LISTADO_OTS!H735</f>
        <v>Asistencia técnica a obra en ambulatorio OSAKIDETZA (Llodio)</v>
      </c>
      <c r="I735" t="str">
        <f>[1]LISTADO_OTS!I735</f>
        <v>Asistencia técnica a obra en ambulatorio OSAKIDETZA (Llodio)</v>
      </c>
      <c r="J735" s="1">
        <f>[1]LISTADO_OTS!F735</f>
        <v>45960</v>
      </c>
      <c r="K735" s="1">
        <f>[1]LISTADO_OTS!G735</f>
        <v>45960</v>
      </c>
      <c r="L735">
        <f>[1]LISTADO_OTS!M735</f>
        <v>43.146759000000003</v>
      </c>
      <c r="M735">
        <f>[1]LISTADO_OTS!N735</f>
        <v>-2.9582929999999998</v>
      </c>
      <c r="U735" t="b">
        <f>[1]LISTADO_OTS!O735</f>
        <v>1</v>
      </c>
      <c r="V735" t="str">
        <f>[1]LISTADO_OTS!J735</f>
        <v>Llodio</v>
      </c>
      <c r="W735">
        <f>[1]LISTADO_OTS!R735</f>
        <v>1</v>
      </c>
      <c r="X735" t="str">
        <f>[1]LISTADO_OTS!P735</f>
        <v>IÑIGO</v>
      </c>
      <c r="Y735">
        <v>1</v>
      </c>
      <c r="Z735">
        <f>[1]LISTADO_OTS!S735</f>
        <v>0</v>
      </c>
    </row>
    <row r="736" spans="1:26" x14ac:dyDescent="0.4">
      <c r="A736">
        <v>735</v>
      </c>
      <c r="B736" t="str">
        <f>[1]LISTADO_OTS!E736</f>
        <v>TP/0351</v>
      </c>
      <c r="C736">
        <f>VLOOKUP([1]LISTADO_OTS!B736,[1]Redes!$C$1:$E$5,3,FALSE)</f>
        <v>3</v>
      </c>
      <c r="D736">
        <f>[1]LISTADO_OTS!C736</f>
        <v>2</v>
      </c>
      <c r="E736">
        <f>[1]LISTADO_OTS!D736</f>
        <v>12</v>
      </c>
      <c r="F736">
        <f>[1]LISTADO_OTS!Q736</f>
        <v>1</v>
      </c>
      <c r="G736">
        <f>[1]LISTADO_OTS!R736</f>
        <v>1</v>
      </c>
      <c r="H736" t="str">
        <f>[1]LISTADO_OTS!H736</f>
        <v>Corte de agua en C/Isasi n20 (Llodio)</v>
      </c>
      <c r="I736" t="str">
        <f>[1]LISTADO_OTS!I736</f>
        <v>Corte de agua en C/Isasi n20 (Llodio)</v>
      </c>
      <c r="J736" s="1">
        <f>[1]LISTADO_OTS!F736</f>
        <v>45960</v>
      </c>
      <c r="K736" s="1">
        <f>[1]LISTADO_OTS!G736</f>
        <v>45960</v>
      </c>
      <c r="L736">
        <f>[1]LISTADO_OTS!M736</f>
        <v>43.151088999999999</v>
      </c>
      <c r="M736">
        <f>[1]LISTADO_OTS!N736</f>
        <v>-2.9713750000000001</v>
      </c>
      <c r="U736" t="b">
        <f>[1]LISTADO_OTS!O736</f>
        <v>1</v>
      </c>
      <c r="V736" t="str">
        <f>[1]LISTADO_OTS!J736</f>
        <v>Llodio</v>
      </c>
      <c r="W736">
        <f>[1]LISTADO_OTS!R736</f>
        <v>1</v>
      </c>
      <c r="X736" t="str">
        <f>[1]LISTADO_OTS!P736</f>
        <v>IÑIGO</v>
      </c>
      <c r="Y736">
        <v>1</v>
      </c>
      <c r="Z736">
        <f>[1]LISTADO_OTS!S736</f>
        <v>0</v>
      </c>
    </row>
    <row r="737" spans="1:26" x14ac:dyDescent="0.4">
      <c r="A737">
        <v>736</v>
      </c>
      <c r="B737" t="str">
        <f>[1]LISTADO_OTS!E737</f>
        <v>TP/0352</v>
      </c>
      <c r="C737">
        <f>VLOOKUP([1]LISTADO_OTS!B737,[1]Redes!$C$1:$E$5,3,FALSE)</f>
        <v>3</v>
      </c>
      <c r="D737">
        <f>[1]LISTADO_OTS!C737</f>
        <v>2</v>
      </c>
      <c r="E737">
        <f>[1]LISTADO_OTS!D737</f>
        <v>12</v>
      </c>
      <c r="F737">
        <f>[1]LISTADO_OTS!Q737</f>
        <v>3</v>
      </c>
      <c r="G737">
        <f>[1]LISTADO_OTS!R737</f>
        <v>3</v>
      </c>
      <c r="H737" t="str">
        <f>[1]LISTADO_OTS!H737</f>
        <v>Asistencia técnica para corte de agua ambulatorio Agurain</v>
      </c>
      <c r="I737" t="str">
        <f>[1]LISTADO_OTS!I737</f>
        <v>Asistencia técnica para corte de agua ambulatorio Agurain</v>
      </c>
      <c r="J737" s="1">
        <f>[1]LISTADO_OTS!F737</f>
        <v>45959</v>
      </c>
      <c r="K737" s="1">
        <f>[1]LISTADO_OTS!G737</f>
        <v>45959</v>
      </c>
      <c r="L737" t="str">
        <f>[1]LISTADO_OTS!M737</f>
        <v/>
      </c>
      <c r="M737" t="str">
        <f>[1]LISTADO_OTS!N737</f>
        <v/>
      </c>
      <c r="U737" t="b">
        <f>[1]LISTADO_OTS!O737</f>
        <v>1</v>
      </c>
      <c r="V737" t="str">
        <f>[1]LISTADO_OTS!J737</f>
        <v>Agurain</v>
      </c>
      <c r="W737">
        <f>[1]LISTADO_OTS!R737</f>
        <v>3</v>
      </c>
      <c r="X737" t="str">
        <f>[1]LISTADO_OTS!P737</f>
        <v>EDUARDO</v>
      </c>
      <c r="Y737">
        <v>1</v>
      </c>
      <c r="Z737">
        <f>[1]LISTADO_OTS!S737</f>
        <v>0</v>
      </c>
    </row>
    <row r="738" spans="1:26" x14ac:dyDescent="0.4">
      <c r="A738">
        <v>737</v>
      </c>
      <c r="B738" t="str">
        <f>[1]LISTADO_OTS!E738</f>
        <v>TP/0353</v>
      </c>
      <c r="C738">
        <f>VLOOKUP([1]LISTADO_OTS!B738,[1]Redes!$C$1:$E$5,3,FALSE)</f>
        <v>3</v>
      </c>
      <c r="D738">
        <f>[1]LISTADO_OTS!C738</f>
        <v>2</v>
      </c>
      <c r="E738">
        <f>[1]LISTADO_OTS!D738</f>
        <v>13</v>
      </c>
      <c r="F738">
        <f>[1]LISTADO_OTS!Q738</f>
        <v>1</v>
      </c>
      <c r="G738">
        <f>[1]LISTADO_OTS!R738</f>
        <v>1</v>
      </c>
      <c r="H738" t="str">
        <f>[1]LISTADO_OTS!H738</f>
        <v>Obra en parque Lamuza C/Lamuza en Llodio</v>
      </c>
      <c r="I738" t="str">
        <f>[1]LISTADO_OTS!I738</f>
        <v>Obra en parque Lamuza C/Lamuza en Llodio</v>
      </c>
      <c r="J738" s="1">
        <f>[1]LISTADO_OTS!F738</f>
        <v>45960</v>
      </c>
      <c r="K738" s="1">
        <f>[1]LISTADO_OTS!G738</f>
        <v>45966</v>
      </c>
      <c r="L738">
        <f>[1]LISTADO_OTS!M738</f>
        <v>43.144101999999997</v>
      </c>
      <c r="M738">
        <f>[1]LISTADO_OTS!N738</f>
        <v>-2.964035</v>
      </c>
      <c r="U738" t="b">
        <f>[1]LISTADO_OTS!O738</f>
        <v>1</v>
      </c>
      <c r="V738" t="str">
        <f>[1]LISTADO_OTS!J738</f>
        <v>Llodio</v>
      </c>
      <c r="W738">
        <f>[1]LISTADO_OTS!R738</f>
        <v>1</v>
      </c>
      <c r="X738" t="str">
        <f>[1]LISTADO_OTS!P738</f>
        <v>TOMAS</v>
      </c>
      <c r="Y738">
        <v>1</v>
      </c>
      <c r="Z738">
        <f>[1]LISTADO_OTS!S738</f>
        <v>0</v>
      </c>
    </row>
    <row r="739" spans="1:26" x14ac:dyDescent="0.4">
      <c r="A739">
        <v>738</v>
      </c>
      <c r="B739" t="str">
        <f>[1]LISTADO_OTS!E739</f>
        <v>TP/0354</v>
      </c>
      <c r="C739">
        <f>VLOOKUP([1]LISTADO_OTS!B739,[1]Redes!$C$1:$E$5,3,FALSE)</f>
        <v>3</v>
      </c>
      <c r="D739">
        <f>[1]LISTADO_OTS!C739</f>
        <v>2</v>
      </c>
      <c r="E739">
        <f>[1]LISTADO_OTS!D739</f>
        <v>13</v>
      </c>
      <c r="F739">
        <f>[1]LISTADO_OTS!Q739</f>
        <v>1</v>
      </c>
      <c r="G739">
        <f>[1]LISTADO_OTS!R739</f>
        <v>1</v>
      </c>
      <c r="H739" t="str">
        <f>[1]LISTADO_OTS!H739</f>
        <v>Asistencia técnico en C/Nervión n10 (Llodio)</v>
      </c>
      <c r="I739" t="str">
        <f>[1]LISTADO_OTS!I739</f>
        <v>Asistencia técnico en C/Nervión n10 (Llodio)</v>
      </c>
      <c r="J739" s="1">
        <f>[1]LISTADO_OTS!F739</f>
        <v>45960</v>
      </c>
      <c r="K739" s="1">
        <f>[1]LISTADO_OTS!G739</f>
        <v>45960</v>
      </c>
      <c r="L739">
        <f>[1]LISTADO_OTS!M739</f>
        <v>43.142268999999999</v>
      </c>
      <c r="M739">
        <f>[1]LISTADO_OTS!N739</f>
        <v>-2.9620259999999998</v>
      </c>
      <c r="U739" t="b">
        <f>[1]LISTADO_OTS!O739</f>
        <v>1</v>
      </c>
      <c r="V739" t="str">
        <f>[1]LISTADO_OTS!J739</f>
        <v>Llodio</v>
      </c>
      <c r="W739">
        <f>[1]LISTADO_OTS!R739</f>
        <v>1</v>
      </c>
      <c r="X739" t="str">
        <f>[1]LISTADO_OTS!P739</f>
        <v>TOMAS</v>
      </c>
      <c r="Y739">
        <v>1</v>
      </c>
      <c r="Z739">
        <f>[1]LISTADO_OTS!S739</f>
        <v>0</v>
      </c>
    </row>
    <row r="740" spans="1:26" x14ac:dyDescent="0.4">
      <c r="A740">
        <v>739</v>
      </c>
      <c r="B740" t="str">
        <f>[1]LISTADO_OTS!E740</f>
        <v>TP/0355</v>
      </c>
      <c r="C740">
        <f>VLOOKUP([1]LISTADO_OTS!B740,[1]Redes!$C$1:$E$5,3,FALSE)</f>
        <v>2</v>
      </c>
      <c r="D740">
        <f>[1]LISTADO_OTS!C740</f>
        <v>2</v>
      </c>
      <c r="E740">
        <f>[1]LISTADO_OTS!D740</f>
        <v>23</v>
      </c>
      <c r="F740">
        <f>[1]LISTADO_OTS!Q740</f>
        <v>1</v>
      </c>
      <c r="G740">
        <f>[1]LISTADO_OTS!R740</f>
        <v>1</v>
      </c>
      <c r="H740" t="str">
        <f>[1]LISTADO_OTS!H740</f>
        <v>Limpieza y revisión tamices en Ozeka,Añes,Madaria,Onsoñoy Lejarzo</v>
      </c>
      <c r="I740" t="str">
        <f>[1]LISTADO_OTS!I740</f>
        <v>Limpieza y revisión tamices en Ozeka,Añes,Madaria,Onsoñoy Lejarzo</v>
      </c>
      <c r="J740" s="1">
        <f>[1]LISTADO_OTS!F740</f>
        <v>45959</v>
      </c>
      <c r="K740" s="1">
        <f>[1]LISTADO_OTS!G740</f>
        <v>45959</v>
      </c>
      <c r="L740" t="str">
        <f>[1]LISTADO_OTS!M740</f>
        <v/>
      </c>
      <c r="M740" t="str">
        <f>[1]LISTADO_OTS!N740</f>
        <v/>
      </c>
      <c r="U740" t="b">
        <f>[1]LISTADO_OTS!O740</f>
        <v>1</v>
      </c>
      <c r="V740" t="str">
        <f>[1]LISTADO_OTS!J740</f>
        <v>Ozeka</v>
      </c>
      <c r="W740">
        <f>[1]LISTADO_OTS!R740</f>
        <v>1</v>
      </c>
      <c r="X740" t="str">
        <f>[1]LISTADO_OTS!P740</f>
        <v>MIGUEL</v>
      </c>
      <c r="Y740">
        <v>1</v>
      </c>
      <c r="Z740">
        <f>[1]LISTADO_OTS!S740</f>
        <v>0</v>
      </c>
    </row>
    <row r="741" spans="1:26" x14ac:dyDescent="0.4">
      <c r="A741">
        <v>740</v>
      </c>
      <c r="B741" t="str">
        <f>[1]LISTADO_OTS!E741</f>
        <v>TP/0356</v>
      </c>
      <c r="C741">
        <f>VLOOKUP([1]LISTADO_OTS!B741,[1]Redes!$C$1:$E$5,3,FALSE)</f>
        <v>3</v>
      </c>
      <c r="D741">
        <f>[1]LISTADO_OTS!C741</f>
        <v>2</v>
      </c>
      <c r="E741">
        <f>[1]LISTADO_OTS!D741</f>
        <v>8</v>
      </c>
      <c r="F741">
        <f>[1]LISTADO_OTS!Q741</f>
        <v>1</v>
      </c>
      <c r="G741">
        <f>[1]LISTADO_OTS!R741</f>
        <v>1</v>
      </c>
      <c r="H741" t="str">
        <f>[1]LISTADO_OTS!H741</f>
        <v>Instalación de contador en C/Etxegoienbidea n1 Amurrio</v>
      </c>
      <c r="I741" t="str">
        <f>[1]LISTADO_OTS!I741</f>
        <v>Instalación de contador en C/Etxegoienbidea n1 Amurrio</v>
      </c>
      <c r="J741" s="1">
        <f>[1]LISTADO_OTS!F741</f>
        <v>45960</v>
      </c>
      <c r="K741" s="1">
        <f>[1]LISTADO_OTS!G741</f>
        <v>45960</v>
      </c>
      <c r="L741">
        <f>[1]LISTADO_OTS!M741</f>
        <v>43.051105999999997</v>
      </c>
      <c r="M741">
        <f>[1]LISTADO_OTS!N741</f>
        <v>-3.0029300000000001</v>
      </c>
      <c r="U741" t="b">
        <f>[1]LISTADO_OTS!O741</f>
        <v>1</v>
      </c>
      <c r="V741" t="str">
        <f>[1]LISTADO_OTS!J741</f>
        <v>Amurrio</v>
      </c>
      <c r="W741">
        <f>[1]LISTADO_OTS!R741</f>
        <v>1</v>
      </c>
      <c r="X741" t="str">
        <f>[1]LISTADO_OTS!P741</f>
        <v>KERMAN</v>
      </c>
      <c r="Y741">
        <v>1</v>
      </c>
      <c r="Z741">
        <f>[1]LISTADO_OTS!S741</f>
        <v>0</v>
      </c>
    </row>
    <row r="742" spans="1:26" x14ac:dyDescent="0.4">
      <c r="A742">
        <v>741</v>
      </c>
      <c r="B742" t="str">
        <f>[1]LISTADO_OTS!E742</f>
        <v>TP/0357</v>
      </c>
      <c r="C742">
        <f>VLOOKUP([1]LISTADO_OTS!B742,[1]Redes!$C$1:$E$5,3,FALSE)</f>
        <v>3</v>
      </c>
      <c r="D742">
        <f>[1]LISTADO_OTS!C742</f>
        <v>2</v>
      </c>
      <c r="E742">
        <f>[1]LISTADO_OTS!D742</f>
        <v>8</v>
      </c>
      <c r="F742">
        <f>[1]LISTADO_OTS!Q742</f>
        <v>1</v>
      </c>
      <c r="G742">
        <f>[1]LISTADO_OTS!R742</f>
        <v>1</v>
      </c>
      <c r="H742" t="str">
        <f>[1]LISTADO_OTS!H742</f>
        <v>Instalación de contador en C/San Jose n12 (Amurrio)</v>
      </c>
      <c r="I742" t="str">
        <f>[1]LISTADO_OTS!I742</f>
        <v>Instalación de contador en C/San Jose n12 (Amurrio)</v>
      </c>
      <c r="J742" s="1">
        <f>[1]LISTADO_OTS!F742</f>
        <v>45960</v>
      </c>
      <c r="K742" s="1">
        <f>[1]LISTADO_OTS!G742</f>
        <v>45960</v>
      </c>
      <c r="L742">
        <f>[1]LISTADO_OTS!M742</f>
        <v>43.059981000000001</v>
      </c>
      <c r="M742">
        <f>[1]LISTADO_OTS!N742</f>
        <v>-2.998891</v>
      </c>
      <c r="U742" t="b">
        <f>[1]LISTADO_OTS!O742</f>
        <v>1</v>
      </c>
      <c r="V742" t="str">
        <f>[1]LISTADO_OTS!J742</f>
        <v>Amurrio</v>
      </c>
      <c r="W742">
        <f>[1]LISTADO_OTS!R742</f>
        <v>1</v>
      </c>
      <c r="X742" t="str">
        <f>[1]LISTADO_OTS!P742</f>
        <v>KERMAN</v>
      </c>
      <c r="Y742">
        <v>1</v>
      </c>
      <c r="Z742">
        <f>[1]LISTADO_OTS!S742</f>
        <v>0</v>
      </c>
    </row>
    <row r="743" spans="1:26" x14ac:dyDescent="0.4">
      <c r="A743">
        <v>742</v>
      </c>
      <c r="B743" t="str">
        <f>[1]LISTADO_OTS!E743</f>
        <v>TP/0358</v>
      </c>
      <c r="C743">
        <f>VLOOKUP([1]LISTADO_OTS!B743,[1]Redes!$C$1:$E$5,3,FALSE)</f>
        <v>3</v>
      </c>
      <c r="D743">
        <f>[1]LISTADO_OTS!C743</f>
        <v>2</v>
      </c>
      <c r="E743">
        <f>[1]LISTADO_OTS!D743</f>
        <v>8</v>
      </c>
      <c r="F743">
        <f>[1]LISTADO_OTS!Q743</f>
        <v>1</v>
      </c>
      <c r="G743">
        <f>[1]LISTADO_OTS!R743</f>
        <v>1</v>
      </c>
      <c r="H743" t="str">
        <f>[1]LISTADO_OTS!H743</f>
        <v>Instalación de contador en C/Jose Picaza n11 (Amurrio)</v>
      </c>
      <c r="I743" t="str">
        <f>[1]LISTADO_OTS!I743</f>
        <v>Instalación de contador en C/Jose Picaza n11 (Amurrio)</v>
      </c>
      <c r="J743" s="1">
        <f>[1]LISTADO_OTS!F743</f>
        <v>45960</v>
      </c>
      <c r="K743" s="1">
        <f>[1]LISTADO_OTS!G743</f>
        <v>45960</v>
      </c>
      <c r="L743">
        <f>[1]LISTADO_OTS!M743</f>
        <v>43.053400000000003</v>
      </c>
      <c r="M743">
        <f>[1]LISTADO_OTS!N743</f>
        <v>-3.0047139999999999</v>
      </c>
      <c r="U743" t="b">
        <f>[1]LISTADO_OTS!O743</f>
        <v>1</v>
      </c>
      <c r="V743" t="str">
        <f>[1]LISTADO_OTS!J743</f>
        <v>Amurrio</v>
      </c>
      <c r="W743">
        <f>[1]LISTADO_OTS!R743</f>
        <v>1</v>
      </c>
      <c r="X743" t="str">
        <f>[1]LISTADO_OTS!P743</f>
        <v>KERMAN</v>
      </c>
      <c r="Y743">
        <v>1</v>
      </c>
      <c r="Z743">
        <f>[1]LISTADO_OTS!S743</f>
        <v>0</v>
      </c>
    </row>
    <row r="744" spans="1:26" x14ac:dyDescent="0.4">
      <c r="A744">
        <v>743</v>
      </c>
      <c r="B744" t="str">
        <f>[1]LISTADO_OTS!E744</f>
        <v>OT/0469</v>
      </c>
      <c r="C744">
        <f>VLOOKUP([1]LISTADO_OTS!B744,[1]Redes!$C$1:$E$5,3,FALSE)</f>
        <v>3</v>
      </c>
      <c r="D744">
        <f>[1]LISTADO_OTS!C744</f>
        <v>1</v>
      </c>
      <c r="E744">
        <f>[1]LISTADO_OTS!D744</f>
        <v>0</v>
      </c>
      <c r="F744">
        <f>[1]LISTADO_OTS!Q744</f>
        <v>3</v>
      </c>
      <c r="G744">
        <f>[1]LISTADO_OTS!R744</f>
        <v>3</v>
      </c>
      <c r="H744" t="str">
        <f>[1]LISTADO_OTS!H744</f>
        <v>Reparación de fuga en C/Gazteiz n1 en Alegría</v>
      </c>
      <c r="I744" t="str">
        <f>[1]LISTADO_OTS!I744</f>
        <v>Reparación de fuga en C/Gazteiz n1 en Alegría</v>
      </c>
      <c r="J744" s="1">
        <f>[1]LISTADO_OTS!F744</f>
        <v>45956</v>
      </c>
      <c r="K744" s="1">
        <f>[1]LISTADO_OTS!G744</f>
        <v>45960</v>
      </c>
      <c r="L744">
        <f>[1]LISTADO_OTS!M744</f>
        <v>42.841405000000002</v>
      </c>
      <c r="M744">
        <f>[1]LISTADO_OTS!N744</f>
        <v>-2.513207</v>
      </c>
      <c r="U744" t="b">
        <f>[1]LISTADO_OTS!O744</f>
        <v>1</v>
      </c>
      <c r="V744" t="str">
        <f>[1]LISTADO_OTS!J744</f>
        <v>Alegría</v>
      </c>
      <c r="W744">
        <f>[1]LISTADO_OTS!R744</f>
        <v>3</v>
      </c>
      <c r="X744" t="str">
        <f>[1]LISTADO_OTS!P744</f>
        <v>MIGUEL EDU</v>
      </c>
      <c r="Y744">
        <v>1</v>
      </c>
      <c r="Z744">
        <f>[1]LISTADO_OTS!S744</f>
        <v>1</v>
      </c>
    </row>
    <row r="745" spans="1:26" x14ac:dyDescent="0.4">
      <c r="A745">
        <v>744</v>
      </c>
      <c r="B745" t="str">
        <f>[1]LISTADO_OTS!E745</f>
        <v>OT/0470</v>
      </c>
      <c r="C745">
        <f>VLOOKUP([1]LISTADO_OTS!B745,[1]Redes!$C$1:$E$5,3,FALSE)</f>
        <v>3</v>
      </c>
      <c r="D745">
        <f>[1]LISTADO_OTS!C745</f>
        <v>1</v>
      </c>
      <c r="E745">
        <f>[1]LISTADO_OTS!D745</f>
        <v>0</v>
      </c>
      <c r="F745">
        <f>[1]LISTADO_OTS!Q745</f>
        <v>5</v>
      </c>
      <c r="G745">
        <f>[1]LISTADO_OTS!R745</f>
        <v>5</v>
      </c>
      <c r="H745" t="str">
        <f>[1]LISTADO_OTS!H745</f>
        <v>Reparación de fuga en C/Puente n2b en Armiñon</v>
      </c>
      <c r="I745" t="str">
        <f>[1]LISTADO_OTS!I745</f>
        <v>Reparación de fuga en C/Puente n2b en Armiñon</v>
      </c>
      <c r="J745" s="1">
        <f>[1]LISTADO_OTS!F745</f>
        <v>45957</v>
      </c>
      <c r="K745" s="1">
        <f>[1]LISTADO_OTS!G745</f>
        <v>0</v>
      </c>
      <c r="L745">
        <f>[1]LISTADO_OTS!M745</f>
        <v>42.723129999999998</v>
      </c>
      <c r="M745">
        <f>[1]LISTADO_OTS!N745</f>
        <v>-2.8740700000000001</v>
      </c>
      <c r="U745" t="b">
        <f>[1]LISTADO_OTS!O745</f>
        <v>0</v>
      </c>
      <c r="V745" t="str">
        <f>[1]LISTADO_OTS!J745</f>
        <v>Armiñon</v>
      </c>
      <c r="W745">
        <f>[1]LISTADO_OTS!R745</f>
        <v>5</v>
      </c>
      <c r="X745" t="str">
        <f>[1]LISTADO_OTS!P745</f>
        <v>EDU ZOUITA BEÑAT</v>
      </c>
      <c r="Y745">
        <v>1</v>
      </c>
      <c r="Z745">
        <f>[1]LISTADO_OTS!S745</f>
        <v>1</v>
      </c>
    </row>
    <row r="746" spans="1:26" x14ac:dyDescent="0.4">
      <c r="A746">
        <v>745</v>
      </c>
      <c r="B746" t="str">
        <f>[1]LISTADO_OTS!E746</f>
        <v>OT/0471</v>
      </c>
      <c r="C746">
        <f>VLOOKUP([1]LISTADO_OTS!B746,[1]Redes!$C$1:$E$5,3,FALSE)</f>
        <v>3</v>
      </c>
      <c r="D746">
        <f>[1]LISTADO_OTS!C746</f>
        <v>1</v>
      </c>
      <c r="E746">
        <f>[1]LISTADO_OTS!D746</f>
        <v>0</v>
      </c>
      <c r="F746">
        <f>[1]LISTADO_OTS!Q746</f>
        <v>1</v>
      </c>
      <c r="G746">
        <f>[1]LISTADO_OTS!R746</f>
        <v>1</v>
      </c>
      <c r="H746" t="str">
        <f>[1]LISTADO_OTS!H746</f>
        <v>Sustitución de VRP en C/El Puente en Armiñon</v>
      </c>
      <c r="I746" t="str">
        <f>[1]LISTADO_OTS!I746</f>
        <v>Sustitución de VRP en C/El Puente en Armiñon</v>
      </c>
      <c r="J746" s="1">
        <f>[1]LISTADO_OTS!F746</f>
        <v>45958</v>
      </c>
      <c r="K746" s="1">
        <f>[1]LISTADO_OTS!G746</f>
        <v>45958</v>
      </c>
      <c r="L746">
        <f>[1]LISTADO_OTS!M746</f>
        <v>42.722602000000002</v>
      </c>
      <c r="M746">
        <f>[1]LISTADO_OTS!N746</f>
        <v>-2.876258</v>
      </c>
      <c r="U746" t="b">
        <f>[1]LISTADO_OTS!O746</f>
        <v>1</v>
      </c>
      <c r="V746" t="str">
        <f>[1]LISTADO_OTS!J746</f>
        <v>Amurrio</v>
      </c>
      <c r="W746">
        <f>[1]LISTADO_OTS!R746</f>
        <v>1</v>
      </c>
      <c r="X746" t="str">
        <f>[1]LISTADO_OTS!P746</f>
        <v>IÑIGO EDU</v>
      </c>
      <c r="Y746">
        <v>1</v>
      </c>
      <c r="Z746">
        <f>[1]LISTADO_OTS!S746</f>
        <v>3</v>
      </c>
    </row>
    <row r="747" spans="1:26" x14ac:dyDescent="0.4">
      <c r="A747">
        <v>746</v>
      </c>
      <c r="B747" t="str">
        <f>[1]LISTADO_OTS!E747</f>
        <v>TP/0359</v>
      </c>
      <c r="C747">
        <f>VLOOKUP([1]LISTADO_OTS!B747,[1]Redes!$C$1:$E$5,3,FALSE)</f>
        <v>5</v>
      </c>
      <c r="D747">
        <f>[1]LISTADO_OTS!C747</f>
        <v>2</v>
      </c>
      <c r="E747">
        <f>[1]LISTADO_OTS!D747</f>
        <v>1</v>
      </c>
      <c r="F747">
        <f>[1]LISTADO_OTS!Q747</f>
        <v>1</v>
      </c>
      <c r="G747">
        <f>[1]LISTADO_OTS!R747</f>
        <v>1</v>
      </c>
      <c r="H747" t="str">
        <f>[1]LISTADO_OTS!H747</f>
        <v>Mantenimiento preventivo saneamiento en Lekamaña (Amurrio)</v>
      </c>
      <c r="I747" t="str">
        <f>[1]LISTADO_OTS!I747</f>
        <v>Mantenimiento preventivo saneamiento en Lekamaña</v>
      </c>
      <c r="J747" s="1">
        <f>[1]LISTADO_OTS!F747</f>
        <v>45961</v>
      </c>
      <c r="K747" s="1">
        <f>[1]LISTADO_OTS!G747</f>
        <v>45961</v>
      </c>
      <c r="L747" t="str">
        <f>[1]LISTADO_OTS!M747</f>
        <v/>
      </c>
      <c r="M747" t="str">
        <f>[1]LISTADO_OTS!N747</f>
        <v/>
      </c>
      <c r="U747" t="b">
        <f>[1]LISTADO_OTS!O747</f>
        <v>1</v>
      </c>
      <c r="V747" t="str">
        <f>[1]LISTADO_OTS!J747</f>
        <v>Amurrio</v>
      </c>
      <c r="W747">
        <f>[1]LISTADO_OTS!R747</f>
        <v>1</v>
      </c>
      <c r="X747" t="str">
        <f>[1]LISTADO_OTS!P747</f>
        <v/>
      </c>
      <c r="Y747">
        <v>1</v>
      </c>
      <c r="Z747">
        <f>[1]LISTADO_OTS!S747</f>
        <v>0</v>
      </c>
    </row>
    <row r="748" spans="1:26" x14ac:dyDescent="0.4">
      <c r="A748">
        <v>747</v>
      </c>
      <c r="B748" t="str">
        <f>[1]LISTADO_OTS!E748</f>
        <v>OT/0472</v>
      </c>
      <c r="C748">
        <f>VLOOKUP([1]LISTADO_OTS!B748,[1]Redes!$C$1:$E$5,3,FALSE)</f>
        <v>3</v>
      </c>
      <c r="D748">
        <f>[1]LISTADO_OTS!C748</f>
        <v>1</v>
      </c>
      <c r="E748">
        <f>[1]LISTADO_OTS!D748</f>
        <v>0</v>
      </c>
      <c r="F748">
        <f>[1]LISTADO_OTS!Q748</f>
        <v>1</v>
      </c>
      <c r="G748">
        <f>[1]LISTADO_OTS!R748</f>
        <v>1</v>
      </c>
      <c r="H748" t="str">
        <f>[1]LISTADO_OTS!H748</f>
        <v>Reparación de Fuga y reparación del tubo de saneamiento en Barrio Lekamaña en Amurrio</v>
      </c>
      <c r="I748" t="str">
        <f>[1]LISTADO_OTS!I748</f>
        <v>Reparación de Fuga y reparación del tubo de saneamiento en Barrio Lekamaña en Amurrio</v>
      </c>
      <c r="J748" s="1">
        <f>[1]LISTADO_OTS!F748</f>
        <v>45960</v>
      </c>
      <c r="K748" s="1">
        <f>[1]LISTADO_OTS!G748</f>
        <v>45961</v>
      </c>
      <c r="L748">
        <f>[1]LISTADO_OTS!M748</f>
        <v>43.024180999999999</v>
      </c>
      <c r="M748">
        <f>[1]LISTADO_OTS!N748</f>
        <v>-2.9919129999999998</v>
      </c>
      <c r="U748" t="b">
        <f>[1]LISTADO_OTS!O748</f>
        <v>1</v>
      </c>
      <c r="V748" t="str">
        <f>[1]LISTADO_OTS!J748</f>
        <v>Amurrio</v>
      </c>
      <c r="W748">
        <f>[1]LISTADO_OTS!R748</f>
        <v>1</v>
      </c>
      <c r="X748" t="str">
        <f>[1]LISTADO_OTS!P748</f>
        <v>KERMAN RAFHIR KARIM</v>
      </c>
      <c r="Y748">
        <v>1</v>
      </c>
      <c r="Z748">
        <f>[1]LISTADO_OTS!S748</f>
        <v>1</v>
      </c>
    </row>
    <row r="749" spans="1:26" x14ac:dyDescent="0.4">
      <c r="A749">
        <v>748</v>
      </c>
      <c r="B749" t="str">
        <f>[1]LISTADO_OTS!E749</f>
        <v>OT/0473</v>
      </c>
      <c r="C749">
        <f>VLOOKUP([1]LISTADO_OTS!B749,[1]Redes!$C$1:$E$5,3,FALSE)</f>
        <v>2</v>
      </c>
      <c r="D749">
        <f>[1]LISTADO_OTS!C749</f>
        <v>1</v>
      </c>
      <c r="E749">
        <f>[1]LISTADO_OTS!D749</f>
        <v>0</v>
      </c>
      <c r="F749">
        <f>[1]LISTADO_OTS!Q749</f>
        <v>5</v>
      </c>
      <c r="G749">
        <f>[1]LISTADO_OTS!R749</f>
        <v>5</v>
      </c>
      <c r="H749" t="str">
        <f>[1]LISTADO_OTS!H749</f>
        <v>Desatasco en Corro a la entrada de la fosa</v>
      </c>
      <c r="I749" t="str">
        <f>[1]LISTADO_OTS!I749</f>
        <v>Desatasco en Corro a la entrada de la fosa</v>
      </c>
      <c r="J749" s="1">
        <f>[1]LISTADO_OTS!F749</f>
        <v>45961</v>
      </c>
      <c r="K749" s="1">
        <f>[1]LISTADO_OTS!G749</f>
        <v>45961</v>
      </c>
      <c r="L749">
        <f>[1]LISTADO_OTS!M749</f>
        <v>42.878242</v>
      </c>
      <c r="M749">
        <f>[1]LISTADO_OTS!N749</f>
        <v>-3.1722950000000001</v>
      </c>
      <c r="U749" t="b">
        <f>[1]LISTADO_OTS!O749</f>
        <v>1</v>
      </c>
      <c r="V749" t="str">
        <f>[1]LISTADO_OTS!J749</f>
        <v>Corro</v>
      </c>
      <c r="W749">
        <f>[1]LISTADO_OTS!R749</f>
        <v>5</v>
      </c>
      <c r="X749" t="str">
        <f>[1]LISTADO_OTS!P749</f>
        <v>MIGUEL RAFIR</v>
      </c>
      <c r="Y749">
        <v>1</v>
      </c>
      <c r="Z749">
        <f>[1]LISTADO_OTS!S749</f>
        <v>2</v>
      </c>
    </row>
    <row r="750" spans="1:26" x14ac:dyDescent="0.4">
      <c r="A750">
        <v>749</v>
      </c>
      <c r="B750" t="str">
        <f>[1]LISTADO_OTS!E750</f>
        <v>OT/0474</v>
      </c>
      <c r="C750">
        <f>VLOOKUP([1]LISTADO_OTS!B750,[1]Redes!$C$1:$E$5,3,FALSE)</f>
        <v>3</v>
      </c>
      <c r="D750">
        <f>[1]LISTADO_OTS!C750</f>
        <v>1</v>
      </c>
      <c r="E750">
        <f>[1]LISTADO_OTS!D750</f>
        <v>0</v>
      </c>
      <c r="F750">
        <f>[1]LISTADO_OTS!Q750</f>
        <v>1</v>
      </c>
      <c r="G750">
        <f>[1]LISTADO_OTS!R750</f>
        <v>1</v>
      </c>
      <c r="H750" t="str">
        <f>[1]LISTADO_OTS!H750</f>
        <v>Reparación de fuga junto al depósito de Artziniega</v>
      </c>
      <c r="I750" t="str">
        <f>[1]LISTADO_OTS!I750</f>
        <v>Reparación de fuga junto al depósito de Artziniega</v>
      </c>
      <c r="J750" s="1">
        <f>[1]LISTADO_OTS!F750</f>
        <v>45961</v>
      </c>
      <c r="K750" s="1">
        <f>[1]LISTADO_OTS!G750</f>
        <v>45961</v>
      </c>
      <c r="L750">
        <f>[1]LISTADO_OTS!M750</f>
        <v>43.122805</v>
      </c>
      <c r="M750">
        <f>[1]LISTADO_OTS!N750</f>
        <v>-3.1362860000000001</v>
      </c>
      <c r="U750" t="b">
        <f>[1]LISTADO_OTS!O750</f>
        <v>1</v>
      </c>
      <c r="V750" t="str">
        <f>[1]LISTADO_OTS!J750</f>
        <v>Artziniega</v>
      </c>
      <c r="W750">
        <f>[1]LISTADO_OTS!R750</f>
        <v>1</v>
      </c>
      <c r="X750" t="str">
        <f>[1]LISTADO_OTS!P750</f>
        <v>KERMAN</v>
      </c>
      <c r="Y750">
        <v>1</v>
      </c>
      <c r="Z750">
        <f>[1]LISTADO_OTS!S750</f>
        <v>1</v>
      </c>
    </row>
    <row r="751" spans="1:26" x14ac:dyDescent="0.4">
      <c r="A751">
        <v>750</v>
      </c>
      <c r="B751" t="str">
        <f>[1]LISTADO_OTS!E751</f>
        <v>TP/0360</v>
      </c>
      <c r="C751">
        <f>VLOOKUP([1]LISTADO_OTS!B751,[1]Redes!$C$1:$E$5,3,FALSE)</f>
        <v>3</v>
      </c>
      <c r="D751">
        <f>[1]LISTADO_OTS!C751</f>
        <v>2</v>
      </c>
      <c r="E751">
        <f>[1]LISTADO_OTS!D751</f>
        <v>18</v>
      </c>
      <c r="F751">
        <f>[1]LISTADO_OTS!Q751</f>
        <v>1</v>
      </c>
      <c r="G751">
        <f>[1]LISTADO_OTS!R751</f>
        <v>1</v>
      </c>
      <c r="H751" t="str">
        <f>[1]LISTADO_OTS!H751</f>
        <v>Ejecución y conexión acometida nueva en Murga n58</v>
      </c>
      <c r="I751" t="str">
        <f>[1]LISTADO_OTS!I751</f>
        <v>Ejecución y conexión acometida nueva en Murga n58</v>
      </c>
      <c r="J751" s="1">
        <f>[1]LISTADO_OTS!F751</f>
        <v>45961</v>
      </c>
      <c r="K751" s="1">
        <f>[1]LISTADO_OTS!G751</f>
        <v>45961</v>
      </c>
      <c r="L751">
        <f>[1]LISTADO_OTS!M751</f>
        <v>43.071060000000003</v>
      </c>
      <c r="M751">
        <f>[1]LISTADO_OTS!N751</f>
        <v>-3.0217999999999998</v>
      </c>
      <c r="U751" t="b">
        <f>[1]LISTADO_OTS!O751</f>
        <v>1</v>
      </c>
      <c r="V751" t="str">
        <f>[1]LISTADO_OTS!J751</f>
        <v>Murga</v>
      </c>
      <c r="W751">
        <f>[1]LISTADO_OTS!R751</f>
        <v>1</v>
      </c>
      <c r="X751" t="str">
        <f>[1]LISTADO_OTS!P751</f>
        <v>IÑIGO</v>
      </c>
      <c r="Y751">
        <v>1</v>
      </c>
      <c r="Z751">
        <f>[1]LISTADO_OTS!S751</f>
        <v>0</v>
      </c>
    </row>
    <row r="752" spans="1:26" x14ac:dyDescent="0.4">
      <c r="A752">
        <v>751</v>
      </c>
      <c r="B752" t="str">
        <f>[1]LISTADO_OTS!E752</f>
        <v>TP/0361</v>
      </c>
      <c r="C752">
        <f>VLOOKUP([1]LISTADO_OTS!B752,[1]Redes!$C$1:$E$5,3,FALSE)</f>
        <v>3</v>
      </c>
      <c r="D752">
        <f>[1]LISTADO_OTS!C752</f>
        <v>2</v>
      </c>
      <c r="E752">
        <f>[1]LISTADO_OTS!D752</f>
        <v>17</v>
      </c>
      <c r="F752">
        <f>[1]LISTADO_OTS!Q752</f>
        <v>6</v>
      </c>
      <c r="G752">
        <f>[1]LISTADO_OTS!R752</f>
        <v>6</v>
      </c>
      <c r="H752" t="str">
        <f>[1]LISTADO_OTS!H752</f>
        <v>Limpieza de red en Maeztu por aviso de cal</v>
      </c>
      <c r="I752" t="str">
        <f>[1]LISTADO_OTS!I752</f>
        <v>Limpieza de red en Maeztu por aviso de cal</v>
      </c>
      <c r="J752" s="1">
        <f>[1]LISTADO_OTS!F752</f>
        <v>45953</v>
      </c>
      <c r="K752" s="1">
        <f>[1]LISTADO_OTS!G752</f>
        <v>45953</v>
      </c>
      <c r="L752" t="str">
        <f>[1]LISTADO_OTS!M752</f>
        <v/>
      </c>
      <c r="M752" t="str">
        <f>[1]LISTADO_OTS!N752</f>
        <v/>
      </c>
      <c r="U752" t="b">
        <f>[1]LISTADO_OTS!O752</f>
        <v>1</v>
      </c>
      <c r="V752" t="str">
        <f>[1]LISTADO_OTS!J752</f>
        <v>Maeztu</v>
      </c>
      <c r="W752">
        <f>[1]LISTADO_OTS!R752</f>
        <v>6</v>
      </c>
      <c r="X752" t="str">
        <f>[1]LISTADO_OTS!P752</f>
        <v/>
      </c>
      <c r="Y752">
        <v>1</v>
      </c>
      <c r="Z752">
        <f>[1]LISTADO_OTS!S752</f>
        <v>0</v>
      </c>
    </row>
    <row r="753" spans="1:26" x14ac:dyDescent="0.4">
      <c r="A753">
        <v>752</v>
      </c>
      <c r="B753" t="str">
        <f>[1]LISTADO_OTS!E753</f>
        <v>TP/0362</v>
      </c>
      <c r="C753">
        <f>VLOOKUP([1]LISTADO_OTS!B753,[1]Redes!$C$1:$E$5,3,FALSE)</f>
        <v>3</v>
      </c>
      <c r="D753">
        <f>[1]LISTADO_OTS!C753</f>
        <v>2</v>
      </c>
      <c r="E753">
        <f>[1]LISTADO_OTS!D753</f>
        <v>9</v>
      </c>
      <c r="F753">
        <f>[1]LISTADO_OTS!Q753</f>
        <v>1</v>
      </c>
      <c r="G753">
        <f>[1]LISTADO_OTS!R753</f>
        <v>1</v>
      </c>
      <c r="H753" t="str">
        <f>[1]LISTADO_OTS!H753</f>
        <v>Desistalación de contador en C/Fronton n4 (Amurrio)</v>
      </c>
      <c r="I753" t="str">
        <f>[1]LISTADO_OTS!I753</f>
        <v>Desistalación de contador en C/Fronton n4 (Amurrio)</v>
      </c>
      <c r="J753" s="1">
        <f>[1]LISTADO_OTS!F753</f>
        <v>45961</v>
      </c>
      <c r="K753" s="1">
        <f>[1]LISTADO_OTS!G753</f>
        <v>45961</v>
      </c>
      <c r="L753">
        <f>[1]LISTADO_OTS!M753</f>
        <v>43.053407</v>
      </c>
      <c r="M753">
        <f>[1]LISTADO_OTS!N753</f>
        <v>-3.0012590000000001</v>
      </c>
      <c r="U753" t="b">
        <f>[1]LISTADO_OTS!O753</f>
        <v>1</v>
      </c>
      <c r="V753" t="str">
        <f>[1]LISTADO_OTS!J753</f>
        <v>Amurrio</v>
      </c>
      <c r="W753">
        <f>[1]LISTADO_OTS!R753</f>
        <v>1</v>
      </c>
      <c r="X753" t="str">
        <f>[1]LISTADO_OTS!P753</f>
        <v>KERMAN</v>
      </c>
      <c r="Y753">
        <v>1</v>
      </c>
      <c r="Z753">
        <f>[1]LISTADO_OTS!S753</f>
        <v>0</v>
      </c>
    </row>
    <row r="754" spans="1:26" x14ac:dyDescent="0.4">
      <c r="A754">
        <v>753</v>
      </c>
      <c r="B754" t="str">
        <f>[1]LISTADO_OTS!E754</f>
        <v>OT/0475</v>
      </c>
      <c r="C754">
        <f>VLOOKUP([1]LISTADO_OTS!B754,[1]Redes!$C$1:$E$5,3,FALSE)</f>
        <v>3</v>
      </c>
      <c r="D754">
        <f>[1]LISTADO_OTS!C754</f>
        <v>1</v>
      </c>
      <c r="E754">
        <f>[1]LISTADO_OTS!D754</f>
        <v>0</v>
      </c>
      <c r="F754">
        <f>[1]LISTADO_OTS!Q754</f>
        <v>1</v>
      </c>
      <c r="G754">
        <f>[1]LISTADO_OTS!R754</f>
        <v>1</v>
      </c>
      <c r="H754" t="str">
        <f>[1]LISTADO_OTS!H754</f>
        <v>Reparación de fuga en C/Mendiko n49 (Amurrio)</v>
      </c>
      <c r="I754" t="str">
        <f>[1]LISTADO_OTS!I754</f>
        <v>Reparación de fuga en C/Mendiko n49 (Amurrio)</v>
      </c>
      <c r="J754" s="1">
        <f>[1]LISTADO_OTS!F754</f>
        <v>45960</v>
      </c>
      <c r="K754" s="1">
        <f>[1]LISTADO_OTS!G754</f>
        <v>45960</v>
      </c>
      <c r="L754">
        <f>[1]LISTADO_OTS!M754</f>
        <v>43.060079999999999</v>
      </c>
      <c r="M754">
        <f>[1]LISTADO_OTS!N754</f>
        <v>-3.0039500000000001</v>
      </c>
      <c r="U754" t="b">
        <f>[1]LISTADO_OTS!O754</f>
        <v>1</v>
      </c>
      <c r="V754" t="str">
        <f>[1]LISTADO_OTS!J754</f>
        <v>Amurrio</v>
      </c>
      <c r="W754">
        <f>[1]LISTADO_OTS!R754</f>
        <v>1</v>
      </c>
      <c r="X754" t="str">
        <f>[1]LISTADO_OTS!P754</f>
        <v>KERMAN JUAN RAFNIR</v>
      </c>
      <c r="Y754">
        <v>1</v>
      </c>
      <c r="Z754">
        <f>[1]LISTADO_OTS!S754</f>
        <v>1</v>
      </c>
    </row>
    <row r="755" spans="1:26" x14ac:dyDescent="0.4">
      <c r="A755">
        <v>754</v>
      </c>
      <c r="B755" t="str">
        <f>[1]LISTADO_OTS!E755</f>
        <v>OT/0476</v>
      </c>
      <c r="C755">
        <f>VLOOKUP([1]LISTADO_OTS!B755,[1]Redes!$C$1:$E$5,3,FALSE)</f>
        <v>3</v>
      </c>
      <c r="D755">
        <f>[1]LISTADO_OTS!C755</f>
        <v>1</v>
      </c>
      <c r="E755">
        <f>[1]LISTADO_OTS!D755</f>
        <v>0</v>
      </c>
      <c r="F755">
        <f>[1]LISTADO_OTS!Q755</f>
        <v>5</v>
      </c>
      <c r="G755">
        <f>[1]LISTADO_OTS!R755</f>
        <v>5</v>
      </c>
      <c r="H755" t="str">
        <f>[1]LISTADO_OTS!H755</f>
        <v>Sustitución VRP en Armiñon</v>
      </c>
      <c r="I755" t="str">
        <f>[1]LISTADO_OTS!I755</f>
        <v>Sustitución VRP en Armiñon</v>
      </c>
      <c r="J755" s="1">
        <f>[1]LISTADO_OTS!F755</f>
        <v>45958</v>
      </c>
      <c r="K755" s="1">
        <f>[1]LISTADO_OTS!G755</f>
        <v>45989</v>
      </c>
      <c r="L755">
        <f>[1]LISTADO_OTS!M755</f>
        <v>42.722602000000002</v>
      </c>
      <c r="M755">
        <f>[1]LISTADO_OTS!N755</f>
        <v>-2.876258</v>
      </c>
      <c r="U755" t="b">
        <f>[1]LISTADO_OTS!O755</f>
        <v>1</v>
      </c>
      <c r="V755" t="str">
        <f>[1]LISTADO_OTS!J755</f>
        <v>Armiñon</v>
      </c>
      <c r="W755">
        <f>[1]LISTADO_OTS!R755</f>
        <v>5</v>
      </c>
      <c r="X755" t="str">
        <f>[1]LISTADO_OTS!P755</f>
        <v>EDUARDO IÑIGO</v>
      </c>
      <c r="Y755">
        <v>1</v>
      </c>
      <c r="Z755">
        <f>[1]LISTADO_OTS!S755</f>
        <v>3</v>
      </c>
    </row>
    <row r="756" spans="1:26" x14ac:dyDescent="0.4">
      <c r="A756">
        <v>755</v>
      </c>
      <c r="B756" t="str">
        <f>[1]LISTADO_OTS!E756</f>
        <v>OT/0477</v>
      </c>
      <c r="C756">
        <f>VLOOKUP([1]LISTADO_OTS!B756,[1]Redes!$C$1:$E$5,3,FALSE)</f>
        <v>5</v>
      </c>
      <c r="D756">
        <f>[1]LISTADO_OTS!C756</f>
        <v>1</v>
      </c>
      <c r="E756">
        <f>[1]LISTADO_OTS!D756</f>
        <v>0</v>
      </c>
      <c r="F756">
        <f>[1]LISTADO_OTS!Q756</f>
        <v>1</v>
      </c>
      <c r="G756">
        <f>[1]LISTADO_OTS!R756</f>
        <v>1</v>
      </c>
      <c r="H756" t="str">
        <f>[1]LISTADO_OTS!H756</f>
        <v>Desatasco restaurante Maroño</v>
      </c>
      <c r="I756" t="str">
        <f>[1]LISTADO_OTS!I756</f>
        <v>Desatasco restaurante Maroño</v>
      </c>
      <c r="J756" s="1">
        <f>[1]LISTADO_OTS!F756</f>
        <v>45962</v>
      </c>
      <c r="K756" s="1">
        <f>[1]LISTADO_OTS!G756</f>
        <v>45962</v>
      </c>
      <c r="L756">
        <f>[1]LISTADO_OTS!M756</f>
        <v>43.052152999999997</v>
      </c>
      <c r="M756">
        <f>[1]LISTADO_OTS!N756</f>
        <v>-3.0593490000000001</v>
      </c>
      <c r="U756" t="b">
        <f>[1]LISTADO_OTS!O756</f>
        <v>1</v>
      </c>
      <c r="V756" t="str">
        <f>[1]LISTADO_OTS!J756</f>
        <v>Maroño</v>
      </c>
      <c r="W756">
        <f>[1]LISTADO_OTS!R756</f>
        <v>1</v>
      </c>
      <c r="X756" t="str">
        <f>[1]LISTADO_OTS!P756</f>
        <v>KERMAN MANUEL</v>
      </c>
      <c r="Y756">
        <v>1</v>
      </c>
      <c r="Z756">
        <f>[1]LISTADO_OTS!S756</f>
        <v>2</v>
      </c>
    </row>
    <row r="757" spans="1:26" x14ac:dyDescent="0.4">
      <c r="A757">
        <v>756</v>
      </c>
      <c r="B757" t="str">
        <f>[1]LISTADO_OTS!E757</f>
        <v>OT/0478</v>
      </c>
      <c r="C757">
        <f>VLOOKUP([1]LISTADO_OTS!B757,[1]Redes!$C$1:$E$5,3,FALSE)</f>
        <v>5</v>
      </c>
      <c r="D757">
        <f>[1]LISTADO_OTS!C757</f>
        <v>1</v>
      </c>
      <c r="E757">
        <f>[1]LISTADO_OTS!D757</f>
        <v>0</v>
      </c>
      <c r="F757">
        <f>[1]LISTADO_OTS!Q757</f>
        <v>1</v>
      </c>
      <c r="G757">
        <f>[1]LISTADO_OTS!R757</f>
        <v>1</v>
      </c>
      <c r="H757" t="str">
        <f>[1]LISTADO_OTS!H757</f>
        <v>Vertido al río en C/Zalibar (Amurrio)</v>
      </c>
      <c r="I757" t="str">
        <f>[1]LISTADO_OTS!I757</f>
        <v>Vertido al río en C/Zalibar (Amurrio)</v>
      </c>
      <c r="J757" s="1">
        <f>[1]LISTADO_OTS!F757</f>
        <v>45962</v>
      </c>
      <c r="K757" s="1">
        <f>[1]LISTADO_OTS!G757</f>
        <v>45962</v>
      </c>
      <c r="L757">
        <f>[1]LISTADO_OTS!M757</f>
        <v>43.064109999999999</v>
      </c>
      <c r="M757">
        <f>[1]LISTADO_OTS!N757</f>
        <v>-2.99166</v>
      </c>
      <c r="U757" t="b">
        <f>[1]LISTADO_OTS!O757</f>
        <v>1</v>
      </c>
      <c r="V757" t="str">
        <f>[1]LISTADO_OTS!J757</f>
        <v>Amurrio</v>
      </c>
      <c r="W757">
        <f>[1]LISTADO_OTS!R757</f>
        <v>1</v>
      </c>
      <c r="X757" t="str">
        <f>[1]LISTADO_OTS!P757</f>
        <v>V</v>
      </c>
      <c r="Y757">
        <v>1</v>
      </c>
      <c r="Z757">
        <f>[1]LISTADO_OTS!S757</f>
        <v>1</v>
      </c>
    </row>
    <row r="758" spans="1:26" x14ac:dyDescent="0.4">
      <c r="A758">
        <v>757</v>
      </c>
      <c r="B758" t="str">
        <f>[1]LISTADO_OTS!E758</f>
        <v>OT/0479</v>
      </c>
      <c r="C758">
        <f>VLOOKUP([1]LISTADO_OTS!B758,[1]Redes!$C$1:$E$5,3,FALSE)</f>
        <v>3</v>
      </c>
      <c r="D758">
        <f>[1]LISTADO_OTS!C758</f>
        <v>1</v>
      </c>
      <c r="E758">
        <f>[1]LISTADO_OTS!D758</f>
        <v>0</v>
      </c>
      <c r="F758">
        <f>[1]LISTADO_OTS!Q758</f>
        <v>6</v>
      </c>
      <c r="G758">
        <f>[1]LISTADO_OTS!R758</f>
        <v>6</v>
      </c>
      <c r="H758" t="str">
        <f>[1]LISTADO_OTS!H758</f>
        <v>Fuga en Maeztu</v>
      </c>
      <c r="I758" t="str">
        <f>[1]LISTADO_OTS!I758</f>
        <v>Fuga en Maeztu</v>
      </c>
      <c r="J758" s="1">
        <f>[1]LISTADO_OTS!F758</f>
        <v>45962</v>
      </c>
      <c r="K758" s="1">
        <f>[1]LISTADO_OTS!G758</f>
        <v>0</v>
      </c>
      <c r="L758" t="str">
        <f>[1]LISTADO_OTS!M758</f>
        <v/>
      </c>
      <c r="M758" t="str">
        <f>[1]LISTADO_OTS!N758</f>
        <v/>
      </c>
      <c r="U758" t="b">
        <f>[1]LISTADO_OTS!O758</f>
        <v>1</v>
      </c>
      <c r="V758" t="str">
        <f>[1]LISTADO_OTS!J758</f>
        <v>Maeztu</v>
      </c>
      <c r="W758">
        <f>[1]LISTADO_OTS!R758</f>
        <v>6</v>
      </c>
      <c r="X758" t="str">
        <f>[1]LISTADO_OTS!P758</f>
        <v>V</v>
      </c>
      <c r="Y758">
        <v>1</v>
      </c>
      <c r="Z758">
        <f>[1]LISTADO_OTS!S758</f>
        <v>1</v>
      </c>
    </row>
    <row r="759" spans="1:26" x14ac:dyDescent="0.4">
      <c r="A759">
        <v>758</v>
      </c>
      <c r="B759" t="str">
        <f>[1]LISTADO_OTS!E759</f>
        <v>OT/0480</v>
      </c>
      <c r="C759">
        <f>VLOOKUP([1]LISTADO_OTS!B759,[1]Redes!$C$1:$E$5,3,FALSE)</f>
        <v>3</v>
      </c>
      <c r="D759">
        <f>[1]LISTADO_OTS!C759</f>
        <v>1</v>
      </c>
      <c r="E759">
        <f>[1]LISTADO_OTS!D759</f>
        <v>0</v>
      </c>
      <c r="F759">
        <f>[1]LISTADO_OTS!Q759</f>
        <v>5</v>
      </c>
      <c r="G759">
        <f>[1]LISTADO_OTS!R759</f>
        <v>5</v>
      </c>
      <c r="H759" t="str">
        <f>[1]LISTADO_OTS!H759</f>
        <v>Reposición de catas en llaves de acometida en C/Juan Lazcano n10 en Zambrana</v>
      </c>
      <c r="I759" t="str">
        <f>[1]LISTADO_OTS!I759</f>
        <v>Reposición de catas en llaves de acometida en C/Juan Lazcano n10 en Zambrana</v>
      </c>
      <c r="J759" s="1">
        <f>[1]LISTADO_OTS!F759</f>
        <v>45961</v>
      </c>
      <c r="K759" s="1">
        <f>[1]LISTADO_OTS!G759</f>
        <v>45961</v>
      </c>
      <c r="L759">
        <f>[1]LISTADO_OTS!M759</f>
        <v>42.662073999999997</v>
      </c>
      <c r="M759">
        <f>[1]LISTADO_OTS!N759</f>
        <v>-2.8780429999999999</v>
      </c>
      <c r="U759" t="b">
        <f>[1]LISTADO_OTS!O759</f>
        <v>1</v>
      </c>
      <c r="V759" t="str">
        <f>[1]LISTADO_OTS!J759</f>
        <v>Zambrana</v>
      </c>
      <c r="W759">
        <f>[1]LISTADO_OTS!R759</f>
        <v>5</v>
      </c>
      <c r="X759" t="str">
        <f>[1]LISTADO_OTS!P759</f>
        <v/>
      </c>
      <c r="Y759">
        <v>1</v>
      </c>
      <c r="Z759">
        <f>[1]LISTADO_OTS!S759</f>
        <v>3</v>
      </c>
    </row>
    <row r="760" spans="1:26" x14ac:dyDescent="0.4">
      <c r="A760">
        <v>759</v>
      </c>
      <c r="B760" t="str">
        <f>[1]LISTADO_OTS!E760</f>
        <v>TP/0363</v>
      </c>
      <c r="C760">
        <f>VLOOKUP([1]LISTADO_OTS!B760,[1]Redes!$C$1:$E$5,3,FALSE)</f>
        <v>5</v>
      </c>
      <c r="D760">
        <f>[1]LISTADO_OTS!C760</f>
        <v>2</v>
      </c>
      <c r="E760">
        <f>[1]LISTADO_OTS!D760</f>
        <v>1</v>
      </c>
      <c r="F760">
        <f>[1]LISTADO_OTS!Q760</f>
        <v>5</v>
      </c>
      <c r="G760">
        <f>[1]LISTADO_OTS!R760</f>
        <v>5</v>
      </c>
      <c r="H760" t="str">
        <f>[1]LISTADO_OTS!H760</f>
        <v>Mantenimiento preventivo saneamiento en Corro</v>
      </c>
      <c r="I760" t="str">
        <f>[1]LISTADO_OTS!I760</f>
        <v>Mantenimiento preventivo saneamiento en Corro</v>
      </c>
      <c r="J760" s="1">
        <f>[1]LISTADO_OTS!F760</f>
        <v>45964</v>
      </c>
      <c r="K760" s="1">
        <f>[1]LISTADO_OTS!G760</f>
        <v>45964</v>
      </c>
      <c r="L760">
        <f>[1]LISTADO_OTS!M760</f>
        <v>42.878863000000003</v>
      </c>
      <c r="M760">
        <f>[1]LISTADO_OTS!N760</f>
        <v>-3.1718929999999999</v>
      </c>
      <c r="U760" t="b">
        <f>[1]LISTADO_OTS!O760</f>
        <v>1</v>
      </c>
      <c r="V760" t="str">
        <f>[1]LISTADO_OTS!J760</f>
        <v>Corro</v>
      </c>
      <c r="W760">
        <f>[1]LISTADO_OTS!R760</f>
        <v>5</v>
      </c>
      <c r="X760" t="str">
        <f>[1]LISTADO_OTS!P760</f>
        <v/>
      </c>
      <c r="Y760">
        <v>1</v>
      </c>
      <c r="Z760">
        <f>[1]LISTADO_OTS!S760</f>
        <v>0</v>
      </c>
    </row>
    <row r="761" spans="1:26" x14ac:dyDescent="0.4">
      <c r="A761">
        <v>760</v>
      </c>
      <c r="B761" t="str">
        <f>[1]LISTADO_OTS!E761</f>
        <v>OT/0481</v>
      </c>
      <c r="C761">
        <f>VLOOKUP([1]LISTADO_OTS!B761,[1]Redes!$C$1:$E$5,3,FALSE)</f>
        <v>5</v>
      </c>
      <c r="D761">
        <f>[1]LISTADO_OTS!C761</f>
        <v>1</v>
      </c>
      <c r="E761">
        <f>[1]LISTADO_OTS!D761</f>
        <v>0</v>
      </c>
      <c r="F761">
        <f>[1]LISTADO_OTS!Q761</f>
        <v>5</v>
      </c>
      <c r="G761">
        <f>[1]LISTADO_OTS!R761</f>
        <v>5</v>
      </c>
      <c r="H761" t="str">
        <f>[1]LISTADO_OTS!H761</f>
        <v>Atasco en Espejo</v>
      </c>
      <c r="I761" t="str">
        <f>[1]LISTADO_OTS!I761</f>
        <v>Atasco en Espejo</v>
      </c>
      <c r="J761" s="1">
        <f>[1]LISTADO_OTS!F761</f>
        <v>45963</v>
      </c>
      <c r="K761" s="1">
        <f>[1]LISTADO_OTS!G761</f>
        <v>45963</v>
      </c>
      <c r="L761" t="str">
        <f>[1]LISTADO_OTS!M761</f>
        <v/>
      </c>
      <c r="M761" t="str">
        <f>[1]LISTADO_OTS!N761</f>
        <v/>
      </c>
      <c r="U761" t="b">
        <f>[1]LISTADO_OTS!O761</f>
        <v>1</v>
      </c>
      <c r="V761" t="str">
        <f>[1]LISTADO_OTS!J761</f>
        <v>Espejo</v>
      </c>
      <c r="W761">
        <f>[1]LISTADO_OTS!R761</f>
        <v>5</v>
      </c>
      <c r="X761" t="str">
        <f>[1]LISTADO_OTS!P761</f>
        <v>V</v>
      </c>
      <c r="Y761">
        <v>1</v>
      </c>
      <c r="Z761">
        <f>[1]LISTADO_OTS!S761</f>
        <v>2</v>
      </c>
    </row>
    <row r="762" spans="1:26" x14ac:dyDescent="0.4">
      <c r="A762">
        <v>761</v>
      </c>
      <c r="B762" t="str">
        <f>[1]LISTADO_OTS!E762</f>
        <v>OT/0482</v>
      </c>
      <c r="C762">
        <f>VLOOKUP([1]LISTADO_OTS!B762,[1]Redes!$C$1:$E$5,3,FALSE)</f>
        <v>3</v>
      </c>
      <c r="D762">
        <f>[1]LISTADO_OTS!C762</f>
        <v>1</v>
      </c>
      <c r="E762">
        <f>[1]LISTADO_OTS!D762</f>
        <v>0</v>
      </c>
      <c r="F762">
        <f>[1]LISTADO_OTS!Q762</f>
        <v>1</v>
      </c>
      <c r="G762">
        <f>[1]LISTADO_OTS!R762</f>
        <v>1</v>
      </c>
      <c r="H762" t="str">
        <f>[1]LISTADO_OTS!H762</f>
        <v>Fuga en Erbi</v>
      </c>
      <c r="I762" t="str">
        <f>[1]LISTADO_OTS!I762</f>
        <v>Fuga en Erbi</v>
      </c>
      <c r="J762" s="1">
        <f>[1]LISTADO_OTS!F762</f>
        <v>45963</v>
      </c>
      <c r="K762" s="1">
        <f>[1]LISTADO_OTS!G762</f>
        <v>45963</v>
      </c>
      <c r="L762" t="str">
        <f>[1]LISTADO_OTS!M762</f>
        <v/>
      </c>
      <c r="M762" t="str">
        <f>[1]LISTADO_OTS!N762</f>
        <v/>
      </c>
      <c r="U762" t="b">
        <f>[1]LISTADO_OTS!O762</f>
        <v>1</v>
      </c>
      <c r="V762" t="str">
        <f>[1]LISTADO_OTS!J762</f>
        <v>Erbi</v>
      </c>
      <c r="W762">
        <f>[1]LISTADO_OTS!R762</f>
        <v>1</v>
      </c>
      <c r="X762" t="str">
        <f>[1]LISTADO_OTS!P762</f>
        <v>V</v>
      </c>
      <c r="Y762">
        <v>1</v>
      </c>
      <c r="Z762">
        <f>[1]LISTADO_OTS!S762</f>
        <v>1</v>
      </c>
    </row>
    <row r="763" spans="1:26" x14ac:dyDescent="0.4">
      <c r="A763">
        <v>762</v>
      </c>
      <c r="B763" t="str">
        <f>[1]LISTADO_OTS!E763</f>
        <v>OT/0483</v>
      </c>
      <c r="C763">
        <f>VLOOKUP([1]LISTADO_OTS!B763,[1]Redes!$C$1:$E$5,3,FALSE)</f>
        <v>3</v>
      </c>
      <c r="D763">
        <f>[1]LISTADO_OTS!C763</f>
        <v>1</v>
      </c>
      <c r="E763">
        <f>[1]LISTADO_OTS!D763</f>
        <v>0</v>
      </c>
      <c r="F763">
        <f>[1]LISTADO_OTS!Q763</f>
        <v>1</v>
      </c>
      <c r="G763">
        <f>[1]LISTADO_OTS!R763</f>
        <v>1</v>
      </c>
      <c r="H763" t="str">
        <f>[1]LISTADO_OTS!H763</f>
        <v>Reparación de fuga en Sojoguti (Artziniega)</v>
      </c>
      <c r="I763" t="str">
        <f>[1]LISTADO_OTS!I763</f>
        <v>Reparación de fuga en Sojoguti (Artziniega)</v>
      </c>
      <c r="J763" s="1">
        <f>[1]LISTADO_OTS!F763</f>
        <v>45959</v>
      </c>
      <c r="K763" s="1">
        <f>[1]LISTADO_OTS!G763</f>
        <v>45959</v>
      </c>
      <c r="L763">
        <f>[1]LISTADO_OTS!M763</f>
        <v>43.113869999999999</v>
      </c>
      <c r="M763">
        <f>[1]LISTADO_OTS!N763</f>
        <v>-3.1271620000000002</v>
      </c>
      <c r="U763" t="b">
        <f>[1]LISTADO_OTS!O763</f>
        <v>1</v>
      </c>
      <c r="V763" t="str">
        <f>[1]LISTADO_OTS!J763</f>
        <v>Artziniega</v>
      </c>
      <c r="W763">
        <f>[1]LISTADO_OTS!R763</f>
        <v>1</v>
      </c>
      <c r="X763" t="str">
        <f>[1]LISTADO_OTS!P763</f>
        <v>KERMAN JUAN</v>
      </c>
      <c r="Y763">
        <v>1</v>
      </c>
      <c r="Z763">
        <f>[1]LISTADO_OTS!S763</f>
        <v>1</v>
      </c>
    </row>
    <row r="764" spans="1:26" x14ac:dyDescent="0.4">
      <c r="A764">
        <v>763</v>
      </c>
      <c r="B764" t="str">
        <f>[1]LISTADO_OTS!E764</f>
        <v>TP/0364</v>
      </c>
      <c r="C764">
        <f>VLOOKUP([1]LISTADO_OTS!B764,[1]Redes!$C$1:$E$5,3,FALSE)</f>
        <v>3</v>
      </c>
      <c r="D764">
        <f>[1]LISTADO_OTS!C764</f>
        <v>2</v>
      </c>
      <c r="E764">
        <f>[1]LISTADO_OTS!D764</f>
        <v>14</v>
      </c>
      <c r="F764">
        <f>[1]LISTADO_OTS!Q764</f>
        <v>1</v>
      </c>
      <c r="G764">
        <f>[1]LISTADO_OTS!R764</f>
        <v>1</v>
      </c>
      <c r="H764" t="str">
        <f>[1]LISTADO_OTS!H764</f>
        <v>Maniobras para dejar fuera de servicio anillo obra Lamuza (Llodio)</v>
      </c>
      <c r="I764" t="str">
        <f>[1]LISTADO_OTS!I764</f>
        <v>Maniobras para dejar fuera de servicio anillo obra Lamuza (Llodio)</v>
      </c>
      <c r="J764" s="1">
        <f>[1]LISTADO_OTS!F764</f>
        <v>45964</v>
      </c>
      <c r="K764" s="1">
        <f>[1]LISTADO_OTS!G764</f>
        <v>45964</v>
      </c>
      <c r="L764">
        <f>[1]LISTADO_OTS!M764</f>
        <v>43.138126</v>
      </c>
      <c r="M764">
        <f>[1]LISTADO_OTS!N764</f>
        <v>-2.9668049999999999</v>
      </c>
      <c r="U764" t="b">
        <f>[1]LISTADO_OTS!O764</f>
        <v>1</v>
      </c>
      <c r="V764" t="str">
        <f>[1]LISTADO_OTS!J764</f>
        <v>Llodio</v>
      </c>
      <c r="W764">
        <f>[1]LISTADO_OTS!R764</f>
        <v>1</v>
      </c>
      <c r="X764" t="str">
        <f>[1]LISTADO_OTS!P764</f>
        <v>TOMAS IÑIGO</v>
      </c>
      <c r="Y764">
        <v>1</v>
      </c>
      <c r="Z764">
        <f>[1]LISTADO_OTS!S764</f>
        <v>0</v>
      </c>
    </row>
    <row r="765" spans="1:26" x14ac:dyDescent="0.4">
      <c r="A765">
        <v>764</v>
      </c>
      <c r="B765" t="str">
        <f>[1]LISTADO_OTS!E765</f>
        <v>OT/0484</v>
      </c>
      <c r="C765">
        <f>VLOOKUP([1]LISTADO_OTS!B765,[1]Redes!$C$1:$E$5,3,FALSE)</f>
        <v>3</v>
      </c>
      <c r="D765">
        <f>[1]LISTADO_OTS!C765</f>
        <v>1</v>
      </c>
      <c r="E765">
        <f>[1]LISTADO_OTS!D765</f>
        <v>0</v>
      </c>
      <c r="F765">
        <f>[1]LISTADO_OTS!Q765</f>
        <v>1</v>
      </c>
      <c r="G765">
        <f>[1]LISTADO_OTS!R765</f>
        <v>1</v>
      </c>
      <c r="H765" t="str">
        <f>[1]LISTADO_OTS!H765</f>
        <v>Reparación de fuga en Barrio C/Las Llanas n19 (Respaldiza)</v>
      </c>
      <c r="I765" t="str">
        <f>[1]LISTADO_OTS!I765</f>
        <v>Reparación de fuga en Barrio C/Las Llanas n19 (Respaldiza)</v>
      </c>
      <c r="J765" s="1">
        <f>[1]LISTADO_OTS!F765</f>
        <v>45964</v>
      </c>
      <c r="K765" s="1">
        <f>[1]LISTADO_OTS!G765</f>
        <v>45964</v>
      </c>
      <c r="L765">
        <f>[1]LISTADO_OTS!M765</f>
        <v>43.075833000000003</v>
      </c>
      <c r="M765">
        <f>[1]LISTADO_OTS!N765</f>
        <v>-3.0434739999999998</v>
      </c>
      <c r="U765" t="b">
        <f>[1]LISTADO_OTS!O765</f>
        <v>1</v>
      </c>
      <c r="V765" t="str">
        <f>[1]LISTADO_OTS!J765</f>
        <v>Respaldiza</v>
      </c>
      <c r="W765">
        <f>[1]LISTADO_OTS!R765</f>
        <v>1</v>
      </c>
      <c r="X765" t="str">
        <f>[1]LISTADO_OTS!P765</f>
        <v>IÑIGO BEÑAT</v>
      </c>
      <c r="Y765">
        <v>1</v>
      </c>
      <c r="Z765">
        <f>[1]LISTADO_OTS!S765</f>
        <v>1</v>
      </c>
    </row>
    <row r="766" spans="1:26" x14ac:dyDescent="0.4">
      <c r="A766">
        <v>765</v>
      </c>
      <c r="B766" t="str">
        <f>[1]LISTADO_OTS!E766</f>
        <v>TP/0365</v>
      </c>
      <c r="C766">
        <f>VLOOKUP([1]LISTADO_OTS!B766,[1]Redes!$C$1:$E$5,3,FALSE)</f>
        <v>5</v>
      </c>
      <c r="D766">
        <f>[1]LISTADO_OTS!C766</f>
        <v>2</v>
      </c>
      <c r="E766">
        <f>[1]LISTADO_OTS!D766</f>
        <v>1</v>
      </c>
      <c r="F766">
        <f>[1]LISTADO_OTS!Q766</f>
        <v>1</v>
      </c>
      <c r="G766">
        <f>[1]LISTADO_OTS!R766</f>
        <v>1</v>
      </c>
      <c r="H766" t="str">
        <f>[1]LISTADO_OTS!H766</f>
        <v>Mantenimiento preventivo saneamiento en Llodio</v>
      </c>
      <c r="I766" t="str">
        <f>[1]LISTADO_OTS!I766</f>
        <v>Mantenimiento preventivo saneamiento en Llodio</v>
      </c>
      <c r="J766" s="1">
        <f>[1]LISTADO_OTS!F766</f>
        <v>45964</v>
      </c>
      <c r="K766" s="1">
        <f>[1]LISTADO_OTS!G766</f>
        <v>45964</v>
      </c>
      <c r="L766" t="str">
        <f>[1]LISTADO_OTS!M766</f>
        <v/>
      </c>
      <c r="M766" t="str">
        <f>[1]LISTADO_OTS!N766</f>
        <v/>
      </c>
      <c r="U766" t="b">
        <f>[1]LISTADO_OTS!O766</f>
        <v>1</v>
      </c>
      <c r="V766" t="str">
        <f>[1]LISTADO_OTS!J766</f>
        <v>Llodio</v>
      </c>
      <c r="W766">
        <f>[1]LISTADO_OTS!R766</f>
        <v>1</v>
      </c>
      <c r="X766" t="str">
        <f>[1]LISTADO_OTS!P766</f>
        <v>IÑIGO</v>
      </c>
      <c r="Y766">
        <v>1</v>
      </c>
      <c r="Z766">
        <f>[1]LISTADO_OTS!S766</f>
        <v>0</v>
      </c>
    </row>
    <row r="767" spans="1:26" x14ac:dyDescent="0.4">
      <c r="A767">
        <v>766</v>
      </c>
      <c r="B767" t="str">
        <f>[1]LISTADO_OTS!E767</f>
        <v>TP/0366</v>
      </c>
      <c r="C767">
        <f>VLOOKUP([1]LISTADO_OTS!B767,[1]Redes!$C$1:$E$5,3,FALSE)</f>
        <v>3</v>
      </c>
      <c r="D767">
        <f>[1]LISTADO_OTS!C767</f>
        <v>2</v>
      </c>
      <c r="E767">
        <f>[1]LISTADO_OTS!D767</f>
        <v>10</v>
      </c>
      <c r="F767">
        <f>[1]LISTADO_OTS!Q767</f>
        <v>1</v>
      </c>
      <c r="G767">
        <f>[1]LISTADO_OTS!R767</f>
        <v>1</v>
      </c>
      <c r="H767" t="str">
        <f>[1]LISTADO_OTS!H767</f>
        <v>Sustitución de contador en Barrio C/Las Llanas n19 (Respaldiza)</v>
      </c>
      <c r="I767" t="str">
        <f>[1]LISTADO_OTS!I767</f>
        <v>Sustitución de contador en Barrio C/Las Llanas n19 (Respaldiza)</v>
      </c>
      <c r="J767" s="1">
        <f>[1]LISTADO_OTS!F767</f>
        <v>45964</v>
      </c>
      <c r="K767" s="1">
        <f>[1]LISTADO_OTS!G767</f>
        <v>45964</v>
      </c>
      <c r="L767">
        <f>[1]LISTADO_OTS!M767</f>
        <v>43.075833000000003</v>
      </c>
      <c r="M767">
        <f>[1]LISTADO_OTS!N767</f>
        <v>-3.0434739999999998</v>
      </c>
      <c r="U767" t="b">
        <f>[1]LISTADO_OTS!O767</f>
        <v>1</v>
      </c>
      <c r="V767" t="str">
        <f>[1]LISTADO_OTS!J767</f>
        <v>Respaldiza</v>
      </c>
      <c r="W767">
        <f>[1]LISTADO_OTS!R767</f>
        <v>1</v>
      </c>
      <c r="X767" t="str">
        <f>[1]LISTADO_OTS!P767</f>
        <v>IÑIGO</v>
      </c>
      <c r="Y767">
        <v>1</v>
      </c>
      <c r="Z767">
        <f>[1]LISTADO_OTS!S767</f>
        <v>0</v>
      </c>
    </row>
    <row r="768" spans="1:26" x14ac:dyDescent="0.4">
      <c r="A768">
        <v>767</v>
      </c>
      <c r="B768" t="str">
        <f>[1]LISTADO_OTS!E768</f>
        <v>OT/0485</v>
      </c>
      <c r="C768">
        <f>VLOOKUP([1]LISTADO_OTS!B768,[1]Redes!$C$1:$E$5,3,FALSE)</f>
        <v>3</v>
      </c>
      <c r="D768">
        <f>[1]LISTADO_OTS!C768</f>
        <v>1</v>
      </c>
      <c r="E768">
        <f>[1]LISTADO_OTS!D768</f>
        <v>0</v>
      </c>
      <c r="F768">
        <f>[1]LISTADO_OTS!Q768</f>
        <v>1</v>
      </c>
      <c r="G768">
        <f>[1]LISTADO_OTS!R768</f>
        <v>1</v>
      </c>
      <c r="H768" t="str">
        <f>[1]LISTADO_OTS!H768</f>
        <v>Reparación de fuga en Erbi</v>
      </c>
      <c r="I768" t="str">
        <f>[1]LISTADO_OTS!I768</f>
        <v>Reparación de fuga en Erbi</v>
      </c>
      <c r="J768" s="1">
        <f>[1]LISTADO_OTS!F768</f>
        <v>45964</v>
      </c>
      <c r="K768" s="1">
        <f>[1]LISTADO_OTS!G768</f>
        <v>45964</v>
      </c>
      <c r="L768" t="str">
        <f>[1]LISTADO_OTS!M768</f>
        <v/>
      </c>
      <c r="M768" t="str">
        <f>[1]LISTADO_OTS!N768</f>
        <v/>
      </c>
      <c r="U768" t="b">
        <f>[1]LISTADO_OTS!O768</f>
        <v>1</v>
      </c>
      <c r="V768" t="str">
        <f>[1]LISTADO_OTS!J768</f>
        <v>Erbi</v>
      </c>
      <c r="W768">
        <f>[1]LISTADO_OTS!R768</f>
        <v>1</v>
      </c>
      <c r="X768" t="str">
        <f>[1]LISTADO_OTS!P768</f>
        <v>IÑIGO</v>
      </c>
      <c r="Y768">
        <v>1</v>
      </c>
      <c r="Z768">
        <f>[1]LISTADO_OTS!S768</f>
        <v>1</v>
      </c>
    </row>
    <row r="769" spans="1:26" x14ac:dyDescent="0.4">
      <c r="A769">
        <v>768</v>
      </c>
      <c r="B769" t="str">
        <f>[1]LISTADO_OTS!E769</f>
        <v>OT/0486</v>
      </c>
      <c r="C769">
        <f>VLOOKUP([1]LISTADO_OTS!B769,[1]Redes!$C$1:$E$5,3,FALSE)</f>
        <v>3</v>
      </c>
      <c r="D769">
        <f>[1]LISTADO_OTS!C769</f>
        <v>1</v>
      </c>
      <c r="E769">
        <f>[1]LISTADO_OTS!D769</f>
        <v>0</v>
      </c>
      <c r="F769">
        <f>[1]LISTADO_OTS!Q769</f>
        <v>1</v>
      </c>
      <c r="G769">
        <f>[1]LISTADO_OTS!R769</f>
        <v>1</v>
      </c>
      <c r="H769" t="str">
        <f>[1]LISTADO_OTS!H769</f>
        <v>Reparación de fuga en C/Maskuribai n1 (Amurrio)</v>
      </c>
      <c r="I769" t="str">
        <f>[1]LISTADO_OTS!I769</f>
        <v>Reparación de fuga en C/Maskuribai n1 (Amurrio)</v>
      </c>
      <c r="J769" s="1">
        <f>[1]LISTADO_OTS!F769</f>
        <v>45961</v>
      </c>
      <c r="K769" s="1">
        <f>[1]LISTADO_OTS!G769</f>
        <v>45964</v>
      </c>
      <c r="L769">
        <f>[1]LISTADO_OTS!M769</f>
        <v>43.050671000000001</v>
      </c>
      <c r="M769">
        <f>[1]LISTADO_OTS!N769</f>
        <v>-2.9999310000000001</v>
      </c>
      <c r="U769" t="b">
        <f>[1]LISTADO_OTS!O769</f>
        <v>1</v>
      </c>
      <c r="V769" t="str">
        <f>[1]LISTADO_OTS!J769</f>
        <v>Amurrio</v>
      </c>
      <c r="W769">
        <f>[1]LISTADO_OTS!R769</f>
        <v>1</v>
      </c>
      <c r="X769" t="str">
        <f>[1]LISTADO_OTS!P769</f>
        <v/>
      </c>
      <c r="Y769">
        <v>1</v>
      </c>
      <c r="Z769">
        <f>[1]LISTADO_OTS!S769</f>
        <v>1</v>
      </c>
    </row>
    <row r="770" spans="1:26" x14ac:dyDescent="0.4">
      <c r="A770">
        <v>769</v>
      </c>
      <c r="B770" t="str">
        <f>[1]LISTADO_OTS!E770</f>
        <v>TP/0367</v>
      </c>
      <c r="C770">
        <f>VLOOKUP([1]LISTADO_OTS!B770,[1]Redes!$C$1:$E$5,3,FALSE)</f>
        <v>3</v>
      </c>
      <c r="D770">
        <f>[1]LISTADO_OTS!C770</f>
        <v>2</v>
      </c>
      <c r="E770">
        <f>[1]LISTADO_OTS!D770</f>
        <v>12</v>
      </c>
      <c r="F770">
        <f>[1]LISTADO_OTS!Q770</f>
        <v>5</v>
      </c>
      <c r="G770">
        <f>[1]LISTADO_OTS!R770</f>
        <v>5</v>
      </c>
      <c r="H770" t="str">
        <f>[1]LISTADO_OTS!H770</f>
        <v>Corte de agua en Estabillo C/La Picota</v>
      </c>
      <c r="I770" t="str">
        <f>[1]LISTADO_OTS!I770</f>
        <v>Corte de agua en Estabillo C/La Picota</v>
      </c>
      <c r="J770" s="1">
        <f>[1]LISTADO_OTS!F770</f>
        <v>45941</v>
      </c>
      <c r="K770" s="1">
        <f>[1]LISTADO_OTS!G770</f>
        <v>45941</v>
      </c>
      <c r="L770">
        <f>[1]LISTADO_OTS!M770</f>
        <v>42.728534000000003</v>
      </c>
      <c r="M770">
        <f>[1]LISTADO_OTS!N770</f>
        <v>-2.8615910000000002</v>
      </c>
      <c r="U770" t="b">
        <f>[1]LISTADO_OTS!O770</f>
        <v>1</v>
      </c>
      <c r="V770" t="str">
        <f>[1]LISTADO_OTS!J770</f>
        <v>Estabillo</v>
      </c>
      <c r="W770">
        <f>[1]LISTADO_OTS!R770</f>
        <v>5</v>
      </c>
      <c r="X770" t="str">
        <f>[1]LISTADO_OTS!P770</f>
        <v>V</v>
      </c>
      <c r="Y770">
        <v>1</v>
      </c>
      <c r="Z770">
        <f>[1]LISTADO_OTS!S770</f>
        <v>0</v>
      </c>
    </row>
    <row r="771" spans="1:26" x14ac:dyDescent="0.4">
      <c r="A771">
        <v>770</v>
      </c>
      <c r="B771" t="str">
        <f>[1]LISTADO_OTS!E771</f>
        <v>OT/0487</v>
      </c>
      <c r="C771">
        <f>VLOOKUP([1]LISTADO_OTS!B771,[1]Redes!$C$1:$E$5,3,FALSE)</f>
        <v>5</v>
      </c>
      <c r="D771">
        <f>[1]LISTADO_OTS!C771</f>
        <v>1</v>
      </c>
      <c r="E771">
        <f>[1]LISTADO_OTS!D771</f>
        <v>0</v>
      </c>
      <c r="F771">
        <f>[1]LISTADO_OTS!Q771</f>
        <v>1</v>
      </c>
      <c r="G771">
        <f>[1]LISTADO_OTS!R771</f>
        <v>1</v>
      </c>
      <c r="H771" t="str">
        <f>[1]LISTADO_OTS!H771</f>
        <v>Atasco en luiando zona Bar (Las Vegas)</v>
      </c>
      <c r="I771" t="str">
        <f>[1]LISTADO_OTS!I771</f>
        <v>Atasco en luiando zona Bar (Las Vegas)</v>
      </c>
      <c r="J771" s="1">
        <f>[1]LISTADO_OTS!F771</f>
        <v>45959</v>
      </c>
      <c r="K771" s="1">
        <f>[1]LISTADO_OTS!G771</f>
        <v>45959</v>
      </c>
      <c r="L771">
        <f>[1]LISTADO_OTS!M771</f>
        <v>43.105145999999998</v>
      </c>
      <c r="M771">
        <f>[1]LISTADO_OTS!N771</f>
        <v>-2.9968149999999998</v>
      </c>
      <c r="U771" t="b">
        <f>[1]LISTADO_OTS!O771</f>
        <v>1</v>
      </c>
      <c r="V771" t="str">
        <f>[1]LISTADO_OTS!J771</f>
        <v>Luiando</v>
      </c>
      <c r="W771">
        <f>[1]LISTADO_OTS!R771</f>
        <v>1</v>
      </c>
      <c r="X771" t="str">
        <f>[1]LISTADO_OTS!P771</f>
        <v>V</v>
      </c>
      <c r="Y771">
        <v>1</v>
      </c>
      <c r="Z771">
        <f>[1]LISTADO_OTS!S771</f>
        <v>2</v>
      </c>
    </row>
    <row r="772" spans="1:26" x14ac:dyDescent="0.4">
      <c r="A772">
        <v>771</v>
      </c>
      <c r="B772" t="str">
        <f>[1]LISTADO_OTS!E772</f>
        <v>OT/0488</v>
      </c>
      <c r="C772">
        <f>VLOOKUP([1]LISTADO_OTS!B772,[1]Redes!$C$1:$E$5,3,FALSE)</f>
        <v>5</v>
      </c>
      <c r="D772">
        <f>[1]LISTADO_OTS!C772</f>
        <v>1</v>
      </c>
      <c r="E772">
        <f>[1]LISTADO_OTS!D772</f>
        <v>0</v>
      </c>
      <c r="F772">
        <f>[1]LISTADO_OTS!Q772</f>
        <v>1</v>
      </c>
      <c r="G772">
        <f>[1]LISTADO_OTS!R772</f>
        <v>1</v>
      </c>
      <c r="H772" t="str">
        <f>[1]LISTADO_OTS!H772</f>
        <v>Atasco en salida urb.Palacio en Artziniega</v>
      </c>
      <c r="I772" t="str">
        <f>[1]LISTADO_OTS!I772</f>
        <v>Atasco en salida urb.Palacio en Artziniega</v>
      </c>
      <c r="J772" s="1">
        <f>[1]LISTADO_OTS!F772</f>
        <v>45959</v>
      </c>
      <c r="K772" s="1">
        <f>[1]LISTADO_OTS!G772</f>
        <v>45959</v>
      </c>
      <c r="L772">
        <f>[1]LISTADO_OTS!M772</f>
        <v>43.120704000000003</v>
      </c>
      <c r="M772">
        <f>[1]LISTADO_OTS!N772</f>
        <v>-3.132908</v>
      </c>
      <c r="U772" t="b">
        <f>[1]LISTADO_OTS!O772</f>
        <v>1</v>
      </c>
      <c r="V772" t="str">
        <f>[1]LISTADO_OTS!J772</f>
        <v>Artziniega</v>
      </c>
      <c r="W772">
        <f>[1]LISTADO_OTS!R772</f>
        <v>1</v>
      </c>
      <c r="X772" t="str">
        <f>[1]LISTADO_OTS!P772</f>
        <v>V</v>
      </c>
      <c r="Y772">
        <v>1</v>
      </c>
      <c r="Z772">
        <f>[1]LISTADO_OTS!S772</f>
        <v>2</v>
      </c>
    </row>
    <row r="773" spans="1:26" x14ac:dyDescent="0.4">
      <c r="A773">
        <v>772</v>
      </c>
      <c r="B773" t="str">
        <f>[1]LISTADO_OTS!E773</f>
        <v>OT/0489</v>
      </c>
      <c r="C773">
        <f>VLOOKUP([1]LISTADO_OTS!B773,[1]Redes!$C$1:$E$5,3,FALSE)</f>
        <v>3</v>
      </c>
      <c r="D773">
        <f>[1]LISTADO_OTS!C773</f>
        <v>1</v>
      </c>
      <c r="E773">
        <f>[1]LISTADO_OTS!D773</f>
        <v>0</v>
      </c>
      <c r="F773">
        <f>[1]LISTADO_OTS!Q773</f>
        <v>1</v>
      </c>
      <c r="G773">
        <f>[1]LISTADO_OTS!R773</f>
        <v>1</v>
      </c>
      <c r="H773" t="str">
        <f>[1]LISTADO_OTS!H773</f>
        <v>Reparación de fuga en Murga poligono</v>
      </c>
      <c r="I773" t="str">
        <f>[1]LISTADO_OTS!I773</f>
        <v>Reparación de fuga en Murga poligono</v>
      </c>
      <c r="J773" s="1">
        <f>[1]LISTADO_OTS!F773</f>
        <v>45960</v>
      </c>
      <c r="K773" s="1">
        <f>[1]LISTADO_OTS!G773</f>
        <v>45961</v>
      </c>
      <c r="L773">
        <f>[1]LISTADO_OTS!M773</f>
        <v>43.067712999999998</v>
      </c>
      <c r="M773">
        <f>[1]LISTADO_OTS!N773</f>
        <v>-3.0225569999999999</v>
      </c>
      <c r="U773" t="b">
        <f>[1]LISTADO_OTS!O773</f>
        <v>1</v>
      </c>
      <c r="V773" t="str">
        <f>[1]LISTADO_OTS!J773</f>
        <v>Murga</v>
      </c>
      <c r="W773">
        <f>[1]LISTADO_OTS!R773</f>
        <v>1</v>
      </c>
      <c r="X773" t="str">
        <f>[1]LISTADO_OTS!P773</f>
        <v>V</v>
      </c>
      <c r="Y773">
        <v>1</v>
      </c>
      <c r="Z773">
        <f>[1]LISTADO_OTS!S773</f>
        <v>1</v>
      </c>
    </row>
    <row r="774" spans="1:26" x14ac:dyDescent="0.4">
      <c r="A774">
        <v>773</v>
      </c>
      <c r="B774" t="str">
        <f>[1]LISTADO_OTS!E774</f>
        <v>OT/0490</v>
      </c>
      <c r="C774">
        <f>VLOOKUP([1]LISTADO_OTS!B774,[1]Redes!$C$1:$E$5,3,FALSE)</f>
        <v>3</v>
      </c>
      <c r="D774">
        <f>[1]LISTADO_OTS!C774</f>
        <v>1</v>
      </c>
      <c r="E774">
        <f>[1]LISTADO_OTS!D774</f>
        <v>0</v>
      </c>
      <c r="F774">
        <f>[1]LISTADO_OTS!Q774</f>
        <v>5</v>
      </c>
      <c r="G774">
        <f>[1]LISTADO_OTS!R774</f>
        <v>5</v>
      </c>
      <c r="H774" t="str">
        <f>[1]LISTADO_OTS!H774</f>
        <v>Reparación de fuga en Sobron</v>
      </c>
      <c r="I774" t="str">
        <f>[1]LISTADO_OTS!I774</f>
        <v>Reparación de fuga en Sobron</v>
      </c>
      <c r="J774" s="1">
        <f>[1]LISTADO_OTS!F774</f>
        <v>45960</v>
      </c>
      <c r="K774" s="1">
        <f>[1]LISTADO_OTS!G774</f>
        <v>45960</v>
      </c>
      <c r="L774">
        <f>[1]LISTADO_OTS!M774</f>
        <v>42.762095000000002</v>
      </c>
      <c r="M774">
        <f>[1]LISTADO_OTS!N774</f>
        <v>-3.0888559999999998</v>
      </c>
      <c r="U774" t="b">
        <f>[1]LISTADO_OTS!O774</f>
        <v>1</v>
      </c>
      <c r="V774" t="str">
        <f>[1]LISTADO_OTS!J774</f>
        <v>Sobron</v>
      </c>
      <c r="W774">
        <f>[1]LISTADO_OTS!R774</f>
        <v>5</v>
      </c>
      <c r="X774" t="str">
        <f>[1]LISTADO_OTS!P774</f>
        <v>V</v>
      </c>
      <c r="Y774">
        <v>1</v>
      </c>
      <c r="Z774">
        <f>[1]LISTADO_OTS!S774</f>
        <v>1</v>
      </c>
    </row>
    <row r="775" spans="1:26" x14ac:dyDescent="0.4">
      <c r="A775">
        <v>774</v>
      </c>
      <c r="B775" t="str">
        <f>[1]LISTADO_OTS!E775</f>
        <v>OT/0491</v>
      </c>
      <c r="C775">
        <f>VLOOKUP([1]LISTADO_OTS!B775,[1]Redes!$C$1:$E$5,3,FALSE)</f>
        <v>5</v>
      </c>
      <c r="D775">
        <f>[1]LISTADO_OTS!C775</f>
        <v>1</v>
      </c>
      <c r="E775">
        <f>[1]LISTADO_OTS!D775</f>
        <v>0</v>
      </c>
      <c r="F775">
        <f>[1]LISTADO_OTS!Q775</f>
        <v>1</v>
      </c>
      <c r="G775">
        <f>[1]LISTADO_OTS!R775</f>
        <v>1</v>
      </c>
      <c r="H775" t="str">
        <f>[1]LISTADO_OTS!H775</f>
        <v>Atasco Delika</v>
      </c>
      <c r="I775" t="str">
        <f>[1]LISTADO_OTS!I775</f>
        <v>Atasco Delika</v>
      </c>
      <c r="J775" s="1">
        <f>[1]LISTADO_OTS!F775</f>
        <v>45960</v>
      </c>
      <c r="K775" s="1">
        <f>[1]LISTADO_OTS!G775</f>
        <v>45960</v>
      </c>
      <c r="L775">
        <f>[1]LISTADO_OTS!M775</f>
        <v>42.968293000000003</v>
      </c>
      <c r="M775">
        <f>[1]LISTADO_OTS!N775</f>
        <v>-2.9898910000000001</v>
      </c>
      <c r="U775" t="b">
        <f>[1]LISTADO_OTS!O775</f>
        <v>1</v>
      </c>
      <c r="V775" t="str">
        <f>[1]LISTADO_OTS!J775</f>
        <v>Delika</v>
      </c>
      <c r="W775">
        <f>[1]LISTADO_OTS!R775</f>
        <v>1</v>
      </c>
      <c r="X775" t="str">
        <f>[1]LISTADO_OTS!P775</f>
        <v>V</v>
      </c>
      <c r="Y775">
        <v>1</v>
      </c>
      <c r="Z775">
        <f>[1]LISTADO_OTS!S775</f>
        <v>2</v>
      </c>
    </row>
    <row r="776" spans="1:26" x14ac:dyDescent="0.4">
      <c r="A776">
        <v>775</v>
      </c>
      <c r="B776" t="str">
        <f>[1]LISTADO_OTS!E776</f>
        <v>TP/0368</v>
      </c>
      <c r="C776">
        <f>VLOOKUP([1]LISTADO_OTS!B776,[1]Redes!$C$1:$E$5,3,FALSE)</f>
        <v>1</v>
      </c>
      <c r="D776">
        <f>[1]LISTADO_OTS!C776</f>
        <v>2</v>
      </c>
      <c r="E776">
        <f>[1]LISTADO_OTS!D776</f>
        <v>2</v>
      </c>
      <c r="F776">
        <f>[1]LISTADO_OTS!Q776</f>
        <v>1</v>
      </c>
      <c r="G776">
        <f>[1]LISTADO_OTS!R776</f>
        <v>1</v>
      </c>
      <c r="H776" t="str">
        <f>[1]LISTADO_OTS!H776</f>
        <v>Limpieza de captaciones Aiaraldea</v>
      </c>
      <c r="I776" t="str">
        <f>[1]LISTADO_OTS!I776</f>
        <v>Limpieza de captaciones Aiaraldea</v>
      </c>
      <c r="J776" s="1">
        <f>[1]LISTADO_OTS!F776</f>
        <v>45961</v>
      </c>
      <c r="K776" s="1">
        <f>[1]LISTADO_OTS!G776</f>
        <v>45961</v>
      </c>
      <c r="L776" t="str">
        <f>[1]LISTADO_OTS!M776</f>
        <v/>
      </c>
      <c r="M776" t="str">
        <f>[1]LISTADO_OTS!N776</f>
        <v/>
      </c>
      <c r="U776" t="b">
        <f>[1]LISTADO_OTS!O776</f>
        <v>1</v>
      </c>
      <c r="V776" t="str">
        <f>[1]LISTADO_OTS!J776</f>
        <v>Aiaraldea</v>
      </c>
      <c r="W776">
        <f>[1]LISTADO_OTS!R776</f>
        <v>1</v>
      </c>
      <c r="X776" t="str">
        <f>[1]LISTADO_OTS!P776</f>
        <v>V</v>
      </c>
      <c r="Y776">
        <v>1</v>
      </c>
      <c r="Z776">
        <f>[1]LISTADO_OTS!S776</f>
        <v>0</v>
      </c>
    </row>
    <row r="777" spans="1:26" x14ac:dyDescent="0.4">
      <c r="A777">
        <v>776</v>
      </c>
      <c r="B777" t="str">
        <f>[1]LISTADO_OTS!E777</f>
        <v>TP/0369</v>
      </c>
      <c r="C777">
        <f>VLOOKUP([1]LISTADO_OTS!B777,[1]Redes!$C$1:$E$5,3,FALSE)</f>
        <v>3</v>
      </c>
      <c r="D777">
        <f>[1]LISTADO_OTS!C777</f>
        <v>2</v>
      </c>
      <c r="E777">
        <f>[1]LISTADO_OTS!D777</f>
        <v>17</v>
      </c>
      <c r="F777">
        <f>[1]LISTADO_OTS!Q777</f>
        <v>1</v>
      </c>
      <c r="G777">
        <f>[1]LISTADO_OTS!R777</f>
        <v>1</v>
      </c>
      <c r="H777" t="str">
        <f>[1]LISTADO_OTS!H777</f>
        <v>Limpieza de red en Avda.Zumalakarregui (Llodio)</v>
      </c>
      <c r="I777" t="str">
        <f>[1]LISTADO_OTS!I777</f>
        <v>Limpieza de red en Avda.Zumalakarregui (Llodio)</v>
      </c>
      <c r="J777" s="1">
        <f>[1]LISTADO_OTS!F777</f>
        <v>45964</v>
      </c>
      <c r="K777" s="1">
        <f>[1]LISTADO_OTS!G777</f>
        <v>45964</v>
      </c>
      <c r="L777">
        <f>[1]LISTADO_OTS!M777</f>
        <v>43.138525000000001</v>
      </c>
      <c r="M777">
        <f>[1]LISTADO_OTS!N777</f>
        <v>-2.9673400000000001</v>
      </c>
      <c r="U777" t="b">
        <f>[1]LISTADO_OTS!O777</f>
        <v>1</v>
      </c>
      <c r="V777" t="str">
        <f>[1]LISTADO_OTS!J777</f>
        <v>Llodio</v>
      </c>
      <c r="W777">
        <f>[1]LISTADO_OTS!R777</f>
        <v>1</v>
      </c>
      <c r="X777" t="str">
        <f>[1]LISTADO_OTS!P777</f>
        <v/>
      </c>
      <c r="Y777">
        <v>1</v>
      </c>
      <c r="Z777">
        <f>[1]LISTADO_OTS!S777</f>
        <v>0</v>
      </c>
    </row>
    <row r="778" spans="1:26" x14ac:dyDescent="0.4">
      <c r="A778">
        <v>777</v>
      </c>
      <c r="B778" t="str">
        <f>[1]LISTADO_OTS!E778</f>
        <v>TP/0370</v>
      </c>
      <c r="C778">
        <f>VLOOKUP([1]LISTADO_OTS!B778,[1]Redes!$C$1:$E$5,3,FALSE)</f>
        <v>3</v>
      </c>
      <c r="D778">
        <f>[1]LISTADO_OTS!C778</f>
        <v>2</v>
      </c>
      <c r="E778">
        <f>[1]LISTADO_OTS!D778</f>
        <v>17</v>
      </c>
      <c r="F778">
        <f>[1]LISTADO_OTS!Q778</f>
        <v>1</v>
      </c>
      <c r="G778">
        <f>[1]LISTADO_OTS!R778</f>
        <v>1</v>
      </c>
      <c r="H778" t="str">
        <f>[1]LISTADO_OTS!H778</f>
        <v>Limpieza de red por avisos turbidez por maniobras (Gardea y Katuxa Ibarra) en Llodio</v>
      </c>
      <c r="I778" t="str">
        <f>[1]LISTADO_OTS!I778</f>
        <v>Limpieza de red por avisos turbidez por maniobras (Gardea y Katuxa Ibarra) en Llodio</v>
      </c>
      <c r="J778" s="1">
        <f>[1]LISTADO_OTS!F778</f>
        <v>45965</v>
      </c>
      <c r="K778" s="1">
        <f>[1]LISTADO_OTS!G778</f>
        <v>45965</v>
      </c>
      <c r="L778">
        <f>[1]LISTADO_OTS!M778</f>
        <v>43.133223999999998</v>
      </c>
      <c r="M778">
        <f>[1]LISTADO_OTS!N778</f>
        <v>-2.9713609999999999</v>
      </c>
      <c r="U778" t="b">
        <f>[1]LISTADO_OTS!O778</f>
        <v>1</v>
      </c>
      <c r="V778" t="str">
        <f>[1]LISTADO_OTS!J778</f>
        <v>Llodio</v>
      </c>
      <c r="W778">
        <f>[1]LISTADO_OTS!R778</f>
        <v>1</v>
      </c>
      <c r="X778" t="str">
        <f>[1]LISTADO_OTS!P778</f>
        <v/>
      </c>
      <c r="Y778">
        <v>1</v>
      </c>
      <c r="Z778">
        <f>[1]LISTADO_OTS!S778</f>
        <v>0</v>
      </c>
    </row>
    <row r="779" spans="1:26" x14ac:dyDescent="0.4">
      <c r="A779">
        <v>778</v>
      </c>
      <c r="B779" t="str">
        <f>[1]LISTADO_OTS!E779</f>
        <v>TP/0371</v>
      </c>
      <c r="C779">
        <f>VLOOKUP([1]LISTADO_OTS!B779,[1]Redes!$C$1:$E$5,3,FALSE)</f>
        <v>3</v>
      </c>
      <c r="D779">
        <f>[1]LISTADO_OTS!C779</f>
        <v>2</v>
      </c>
      <c r="E779">
        <f>[1]LISTADO_OTS!D779</f>
        <v>9</v>
      </c>
      <c r="F779">
        <f>[1]LISTADO_OTS!Q779</f>
        <v>1</v>
      </c>
      <c r="G779">
        <f>[1]LISTADO_OTS!R779</f>
        <v>1</v>
      </c>
      <c r="H779" t="str">
        <f>[1]LISTADO_OTS!H779</f>
        <v>Retirada de contador en C/Izoria n2 (Llodio)</v>
      </c>
      <c r="I779" t="str">
        <f>[1]LISTADO_OTS!I779</f>
        <v>Retirada de contador en C/Izoria n2 (Llodio)</v>
      </c>
      <c r="J779" s="1">
        <f>[1]LISTADO_OTS!F779</f>
        <v>45965</v>
      </c>
      <c r="K779" s="1">
        <f>[1]LISTADO_OTS!G779</f>
        <v>45965</v>
      </c>
      <c r="L779">
        <f>[1]LISTADO_OTS!M779</f>
        <v>43.145119999999999</v>
      </c>
      <c r="M779">
        <f>[1]LISTADO_OTS!N779</f>
        <v>-2.9596200000000001</v>
      </c>
      <c r="U779" t="b">
        <f>[1]LISTADO_OTS!O779</f>
        <v>1</v>
      </c>
      <c r="V779" t="str">
        <f>[1]LISTADO_OTS!J779</f>
        <v>Llodio</v>
      </c>
      <c r="W779">
        <f>[1]LISTADO_OTS!R779</f>
        <v>1</v>
      </c>
      <c r="X779" t="str">
        <f>[1]LISTADO_OTS!P779</f>
        <v/>
      </c>
      <c r="Y779">
        <v>1</v>
      </c>
      <c r="Z779">
        <f>[1]LISTADO_OTS!S779</f>
        <v>0</v>
      </c>
    </row>
    <row r="780" spans="1:26" x14ac:dyDescent="0.4">
      <c r="A780">
        <v>779</v>
      </c>
      <c r="B780" t="str">
        <f>[1]LISTADO_OTS!E780</f>
        <v>TP/0372</v>
      </c>
      <c r="C780">
        <f>VLOOKUP([1]LISTADO_OTS!B780,[1]Redes!$C$1:$E$5,3,FALSE)</f>
        <v>5</v>
      </c>
      <c r="D780">
        <f>[1]LISTADO_OTS!C780</f>
        <v>2</v>
      </c>
      <c r="E780">
        <f>[1]LISTADO_OTS!D780</f>
        <v>3</v>
      </c>
      <c r="F780">
        <f>[1]LISTADO_OTS!Q780</f>
        <v>3</v>
      </c>
      <c r="G780">
        <f>[1]LISTADO_OTS!R780</f>
        <v>3</v>
      </c>
      <c r="H780" t="str">
        <f>[1]LISTADO_OTS!H780</f>
        <v>Revisión del estado de Fosa en Cuencas Mediterraneas</v>
      </c>
      <c r="I780" t="str">
        <f>[1]LISTADO_OTS!I780</f>
        <v>Revisión del estado de Fosa en Cuencas Mediterraneas</v>
      </c>
      <c r="J780" s="1">
        <f>[1]LISTADO_OTS!F780</f>
        <v>45961</v>
      </c>
      <c r="K780" s="1">
        <f>[1]LISTADO_OTS!G780</f>
        <v>45961</v>
      </c>
      <c r="L780" t="str">
        <f>[1]LISTADO_OTS!M780</f>
        <v/>
      </c>
      <c r="M780" t="str">
        <f>[1]LISTADO_OTS!N780</f>
        <v/>
      </c>
      <c r="U780" t="b">
        <f>[1]LISTADO_OTS!O780</f>
        <v>1</v>
      </c>
      <c r="V780" t="str">
        <f>[1]LISTADO_OTS!J780</f>
        <v>Cuencas Mediterraneas</v>
      </c>
      <c r="W780">
        <f>[1]LISTADO_OTS!R780</f>
        <v>3</v>
      </c>
      <c r="X780" t="str">
        <f>[1]LISTADO_OTS!P780</f>
        <v>ENEKO</v>
      </c>
      <c r="Y780">
        <v>1</v>
      </c>
      <c r="Z780">
        <f>[1]LISTADO_OTS!S780</f>
        <v>0</v>
      </c>
    </row>
    <row r="781" spans="1:26" x14ac:dyDescent="0.4">
      <c r="A781">
        <v>780</v>
      </c>
      <c r="B781" t="str">
        <f>[1]LISTADO_OTS!E781</f>
        <v>TP/0373</v>
      </c>
      <c r="C781">
        <f>VLOOKUP([1]LISTADO_OTS!B781,[1]Redes!$C$1:$E$5,3,FALSE)</f>
        <v>3</v>
      </c>
      <c r="D781">
        <f>[1]LISTADO_OTS!C781</f>
        <v>2</v>
      </c>
      <c r="E781">
        <f>[1]LISTADO_OTS!D781</f>
        <v>24</v>
      </c>
      <c r="F781">
        <f>[1]LISTADO_OTS!Q781</f>
        <v>5</v>
      </c>
      <c r="G781">
        <f>[1]LISTADO_OTS!R781</f>
        <v>5</v>
      </c>
      <c r="H781" t="str">
        <f>[1]LISTADO_OTS!H781</f>
        <v>Verificación de presión de la red de abastecimiento en Armiñon</v>
      </c>
      <c r="I781" t="str">
        <f>[1]LISTADO_OTS!I781</f>
        <v>Verificación de presión de la red de abastecimiento en Armiñon</v>
      </c>
      <c r="J781" s="1">
        <f>[1]LISTADO_OTS!F781</f>
        <v>45960</v>
      </c>
      <c r="K781" s="1">
        <f>[1]LISTADO_OTS!G781</f>
        <v>45960</v>
      </c>
      <c r="L781" t="str">
        <f>[1]LISTADO_OTS!M781</f>
        <v/>
      </c>
      <c r="M781" t="str">
        <f>[1]LISTADO_OTS!N781</f>
        <v/>
      </c>
      <c r="U781" t="b">
        <f>[1]LISTADO_OTS!O781</f>
        <v>1</v>
      </c>
      <c r="V781" t="str">
        <f>[1]LISTADO_OTS!J781</f>
        <v>Armiñon</v>
      </c>
      <c r="W781">
        <f>[1]LISTADO_OTS!R781</f>
        <v>5</v>
      </c>
      <c r="X781" t="str">
        <f>[1]LISTADO_OTS!P781</f>
        <v>ENEKO</v>
      </c>
      <c r="Y781">
        <v>1</v>
      </c>
      <c r="Z781">
        <f>[1]LISTADO_OTS!S781</f>
        <v>0</v>
      </c>
    </row>
    <row r="782" spans="1:26" x14ac:dyDescent="0.4">
      <c r="A782">
        <v>781</v>
      </c>
      <c r="B782" t="str">
        <f>[1]LISTADO_OTS!E782</f>
        <v>TP/0374</v>
      </c>
      <c r="C782">
        <f>VLOOKUP([1]LISTADO_OTS!B782,[1]Redes!$C$1:$E$5,3,FALSE)</f>
        <v>3</v>
      </c>
      <c r="D782">
        <f>[1]LISTADO_OTS!C782</f>
        <v>2</v>
      </c>
      <c r="E782">
        <f>[1]LISTADO_OTS!D782</f>
        <v>7</v>
      </c>
      <c r="F782">
        <f>[1]LISTADO_OTS!Q782</f>
        <v>5</v>
      </c>
      <c r="G782">
        <f>[1]LISTADO_OTS!R782</f>
        <v>5</v>
      </c>
      <c r="H782" t="str">
        <f>[1]LISTADO_OTS!H782</f>
        <v>Localización de fuga en la depuradora de DFA  en Berantevilla</v>
      </c>
      <c r="I782" t="str">
        <f>[1]LISTADO_OTS!I782</f>
        <v>Localización de fuga en la depuradora de DFA  en Berantevilla</v>
      </c>
      <c r="J782" s="1">
        <f>[1]LISTADO_OTS!F782</f>
        <v>45964</v>
      </c>
      <c r="K782" s="1">
        <f>[1]LISTADO_OTS!G782</f>
        <v>45964</v>
      </c>
      <c r="L782" t="str">
        <f>[1]LISTADO_OTS!M782</f>
        <v/>
      </c>
      <c r="M782" t="str">
        <f>[1]LISTADO_OTS!N782</f>
        <v/>
      </c>
      <c r="U782" t="b">
        <f>[1]LISTADO_OTS!O782</f>
        <v>1</v>
      </c>
      <c r="V782" t="str">
        <f>[1]LISTADO_OTS!J782</f>
        <v>Berantevilla</v>
      </c>
      <c r="W782">
        <f>[1]LISTADO_OTS!R782</f>
        <v>5</v>
      </c>
      <c r="X782" t="str">
        <f>[1]LISTADO_OTS!P782</f>
        <v>ENEKO</v>
      </c>
      <c r="Y782">
        <v>1</v>
      </c>
      <c r="Z782">
        <f>[1]LISTADO_OTS!S782</f>
        <v>1</v>
      </c>
    </row>
    <row r="783" spans="1:26" x14ac:dyDescent="0.4">
      <c r="A783">
        <v>782</v>
      </c>
      <c r="B783" t="str">
        <f>[1]LISTADO_OTS!E783</f>
        <v>TP/0375</v>
      </c>
      <c r="C783">
        <f>VLOOKUP([1]LISTADO_OTS!B783,[1]Redes!$C$1:$E$5,3,FALSE)</f>
        <v>3</v>
      </c>
      <c r="D783">
        <f>[1]LISTADO_OTS!C783</f>
        <v>2</v>
      </c>
      <c r="E783">
        <f>[1]LISTADO_OTS!D783</f>
        <v>11</v>
      </c>
      <c r="F783">
        <f>[1]LISTADO_OTS!Q783</f>
        <v>3</v>
      </c>
      <c r="G783">
        <f>[1]LISTADO_OTS!R783</f>
        <v>3</v>
      </c>
      <c r="H783" t="str">
        <f>[1]LISTADO_OTS!H783</f>
        <v>Lectura contadores sectoriales en Cuencas Mediterraneas</v>
      </c>
      <c r="I783" t="str">
        <f>[1]LISTADO_OTS!I783</f>
        <v>Lectura contadores sectoriales en Cuencas Mediterraneas</v>
      </c>
      <c r="J783" s="1">
        <f>[1]LISTADO_OTS!F783</f>
        <v>45960</v>
      </c>
      <c r="K783" s="1">
        <f>[1]LISTADO_OTS!G783</f>
        <v>45960</v>
      </c>
      <c r="L783" t="str">
        <f>[1]LISTADO_OTS!M783</f>
        <v/>
      </c>
      <c r="M783" t="str">
        <f>[1]LISTADO_OTS!N783</f>
        <v/>
      </c>
      <c r="U783" t="b">
        <f>[1]LISTADO_OTS!O783</f>
        <v>1</v>
      </c>
      <c r="V783" t="str">
        <f>[1]LISTADO_OTS!J783</f>
        <v>Cuencas Mediterraneas</v>
      </c>
      <c r="W783">
        <f>[1]LISTADO_OTS!R783</f>
        <v>3</v>
      </c>
      <c r="X783" t="str">
        <f>[1]LISTADO_OTS!P783</f>
        <v>ENEKO</v>
      </c>
      <c r="Y783">
        <v>1</v>
      </c>
      <c r="Z783">
        <f>[1]LISTADO_OTS!S783</f>
        <v>0</v>
      </c>
    </row>
    <row r="784" spans="1:26" x14ac:dyDescent="0.4">
      <c r="A784">
        <v>783</v>
      </c>
      <c r="B784" t="str">
        <f>[1]LISTADO_OTS!E784</f>
        <v>OT/0492</v>
      </c>
      <c r="C784">
        <f>VLOOKUP([1]LISTADO_OTS!B784,[1]Redes!$C$1:$E$5,3,FALSE)</f>
        <v>5</v>
      </c>
      <c r="D784">
        <f>[1]LISTADO_OTS!C784</f>
        <v>1</v>
      </c>
      <c r="E784">
        <f>[1]LISTADO_OTS!D784</f>
        <v>0</v>
      </c>
      <c r="F784">
        <f>[1]LISTADO_OTS!Q784</f>
        <v>5</v>
      </c>
      <c r="G784">
        <f>[1]LISTADO_OTS!R784</f>
        <v>5</v>
      </c>
      <c r="H784" t="str">
        <f>[1]LISTADO_OTS!H784</f>
        <v>Sustitución de tubería de saneamiento en C/Santa Lucia en Espejo</v>
      </c>
      <c r="I784" t="str">
        <f>[1]LISTADO_OTS!I784</f>
        <v>Sustitución de tubería de saneamiento en C/Santa Lucia en Espejo</v>
      </c>
      <c r="J784" s="1">
        <f>[1]LISTADO_OTS!F784</f>
        <v>45936</v>
      </c>
      <c r="K784" s="1">
        <f>[1]LISTADO_OTS!G784</f>
        <v>45940</v>
      </c>
      <c r="L784">
        <f>[1]LISTADO_OTS!M784</f>
        <v>42.809365999999997</v>
      </c>
      <c r="M784">
        <f>[1]LISTADO_OTS!N784</f>
        <v>-3.044435</v>
      </c>
      <c r="U784" t="b">
        <f>[1]LISTADO_OTS!O784</f>
        <v>1</v>
      </c>
      <c r="V784" t="str">
        <f>[1]LISTADO_OTS!J784</f>
        <v>Espejo</v>
      </c>
      <c r="W784">
        <f>[1]LISTADO_OTS!R784</f>
        <v>5</v>
      </c>
      <c r="X784" t="str">
        <f>[1]LISTADO_OTS!P784</f>
        <v/>
      </c>
      <c r="Y784">
        <v>1</v>
      </c>
      <c r="Z784">
        <f>[1]LISTADO_OTS!S784</f>
        <v>3</v>
      </c>
    </row>
    <row r="785" spans="1:26" x14ac:dyDescent="0.4">
      <c r="A785">
        <v>784</v>
      </c>
      <c r="B785" t="str">
        <f>[1]LISTADO_OTS!E785</f>
        <v>OT/0493</v>
      </c>
      <c r="C785">
        <f>VLOOKUP([1]LISTADO_OTS!B785,[1]Redes!$C$1:$E$5,3,FALSE)</f>
        <v>3</v>
      </c>
      <c r="D785">
        <f>[1]LISTADO_OTS!C785</f>
        <v>1</v>
      </c>
      <c r="E785">
        <f>[1]LISTADO_OTS!D785</f>
        <v>0</v>
      </c>
      <c r="F785">
        <f>[1]LISTADO_OTS!Q785</f>
        <v>1</v>
      </c>
      <c r="G785">
        <f>[1]LISTADO_OTS!R785</f>
        <v>1</v>
      </c>
      <c r="H785" t="str">
        <f>[1]LISTADO_OTS!H785</f>
        <v>Sustitución de hidrante en caminos viejos en Llodio</v>
      </c>
      <c r="I785" t="str">
        <f>[1]LISTADO_OTS!I785</f>
        <v>Sustitución de hidrante en caminos viejos en Llodio</v>
      </c>
      <c r="J785" s="1">
        <f>[1]LISTADO_OTS!F785</f>
        <v>45952</v>
      </c>
      <c r="K785" s="1">
        <f>[1]LISTADO_OTS!G785</f>
        <v>45953</v>
      </c>
      <c r="L785">
        <f>[1]LISTADO_OTS!M785</f>
        <v>43.148367</v>
      </c>
      <c r="M785">
        <f>[1]LISTADO_OTS!N785</f>
        <v>-2.9526080000000001</v>
      </c>
      <c r="U785" t="b">
        <f>[1]LISTADO_OTS!O785</f>
        <v>1</v>
      </c>
      <c r="V785" t="str">
        <f>[1]LISTADO_OTS!J785</f>
        <v>Llodio</v>
      </c>
      <c r="W785">
        <f>[1]LISTADO_OTS!R785</f>
        <v>1</v>
      </c>
      <c r="X785" t="str">
        <f>[1]LISTADO_OTS!P785</f>
        <v/>
      </c>
      <c r="Y785">
        <v>1</v>
      </c>
      <c r="Z785">
        <f>[1]LISTADO_OTS!S785</f>
        <v>3</v>
      </c>
    </row>
    <row r="786" spans="1:26" x14ac:dyDescent="0.4">
      <c r="A786">
        <v>785</v>
      </c>
      <c r="B786" t="str">
        <f>[1]LISTADO_OTS!E786</f>
        <v>OT/0494</v>
      </c>
      <c r="C786">
        <f>VLOOKUP([1]LISTADO_OTS!B786,[1]Redes!$C$1:$E$5,3,FALSE)</f>
        <v>5</v>
      </c>
      <c r="D786">
        <f>[1]LISTADO_OTS!C786</f>
        <v>1</v>
      </c>
      <c r="E786">
        <f>[1]LISTADO_OTS!D786</f>
        <v>0</v>
      </c>
      <c r="F786">
        <f>[1]LISTADO_OTS!Q786</f>
        <v>1</v>
      </c>
      <c r="G786">
        <f>[1]LISTADO_OTS!R786</f>
        <v>1</v>
      </c>
      <c r="H786" t="str">
        <f>[1]LISTADO_OTS!H786</f>
        <v>Reparación de fuga en Lezarrega en Amurrio</v>
      </c>
      <c r="I786" t="str">
        <f>[1]LISTADO_OTS!I786</f>
        <v>Reparación de fuga en Lezarrega en Amurrio</v>
      </c>
      <c r="J786" s="1">
        <f>[1]LISTADO_OTS!F786</f>
        <v>45943</v>
      </c>
      <c r="K786" s="1">
        <f>[1]LISTADO_OTS!G786</f>
        <v>45943</v>
      </c>
      <c r="L786">
        <f>[1]LISTADO_OTS!M786</f>
        <v>43.050229999999999</v>
      </c>
      <c r="M786">
        <f>[1]LISTADO_OTS!N786</f>
        <v>-3.007654</v>
      </c>
      <c r="U786" t="b">
        <f>[1]LISTADO_OTS!O786</f>
        <v>1</v>
      </c>
      <c r="V786" t="str">
        <f>[1]LISTADO_OTS!J786</f>
        <v>Amurrio</v>
      </c>
      <c r="W786">
        <f>[1]LISTADO_OTS!R786</f>
        <v>1</v>
      </c>
      <c r="X786" t="str">
        <f>[1]LISTADO_OTS!P786</f>
        <v/>
      </c>
      <c r="Y786">
        <v>1</v>
      </c>
      <c r="Z786">
        <f>[1]LISTADO_OTS!S786</f>
        <v>1</v>
      </c>
    </row>
    <row r="787" spans="1:26" x14ac:dyDescent="0.4">
      <c r="A787">
        <v>786</v>
      </c>
      <c r="B787" t="str">
        <f>[1]LISTADO_OTS!E787</f>
        <v>TP/0376</v>
      </c>
      <c r="C787">
        <f>VLOOKUP([1]LISTADO_OTS!B787,[1]Redes!$C$1:$E$5,3,FALSE)</f>
        <v>2</v>
      </c>
      <c r="D787">
        <f>[1]LISTADO_OTS!C787</f>
        <v>2</v>
      </c>
      <c r="E787">
        <f>[1]LISTADO_OTS!D787</f>
        <v>23</v>
      </c>
      <c r="F787">
        <f>[1]LISTADO_OTS!Q787</f>
        <v>1</v>
      </c>
      <c r="G787">
        <f>[1]LISTADO_OTS!R787</f>
        <v>1</v>
      </c>
      <c r="H787" t="str">
        <f>[1]LISTADO_OTS!H787</f>
        <v>Limpieza de Tamices en Añes,Kostera,Ozeka,Madaria,Antoñana,Delika,Artziniega y Lejarzo</v>
      </c>
      <c r="I787" t="str">
        <f>[1]LISTADO_OTS!I787</f>
        <v>Limpieza de Tamices en Añes,Kostera,Ozeka,Madaria,Antoñana,Delika,Artziniega y Lejarzo</v>
      </c>
      <c r="J787" s="1">
        <f>[1]LISTADO_OTS!F787</f>
        <v>45960</v>
      </c>
      <c r="K787" s="1">
        <f>[1]LISTADO_OTS!G787</f>
        <v>45961</v>
      </c>
      <c r="L787" t="str">
        <f>[1]LISTADO_OTS!M787</f>
        <v/>
      </c>
      <c r="M787" t="str">
        <f>[1]LISTADO_OTS!N787</f>
        <v/>
      </c>
      <c r="U787" t="b">
        <f>[1]LISTADO_OTS!O787</f>
        <v>1</v>
      </c>
      <c r="V787" t="str">
        <f>[1]LISTADO_OTS!J787</f>
        <v>Aiaraldea</v>
      </c>
      <c r="W787">
        <f>[1]LISTADO_OTS!R787</f>
        <v>1</v>
      </c>
      <c r="X787" t="str">
        <f>[1]LISTADO_OTS!P787</f>
        <v/>
      </c>
      <c r="Y787">
        <v>1</v>
      </c>
      <c r="Z787">
        <f>[1]LISTADO_OTS!S787</f>
        <v>0</v>
      </c>
    </row>
    <row r="788" spans="1:26" x14ac:dyDescent="0.4">
      <c r="A788">
        <v>787</v>
      </c>
      <c r="B788" t="str">
        <f>[1]LISTADO_OTS!E788</f>
        <v>OT/0495</v>
      </c>
      <c r="C788">
        <f>VLOOKUP([1]LISTADO_OTS!B788,[1]Redes!$C$1:$E$5,3,FALSE)</f>
        <v>3</v>
      </c>
      <c r="D788">
        <f>[1]LISTADO_OTS!C788</f>
        <v>1</v>
      </c>
      <c r="E788">
        <f>[1]LISTADO_OTS!D788</f>
        <v>0</v>
      </c>
      <c r="F788">
        <f>[1]LISTADO_OTS!Q788</f>
        <v>3</v>
      </c>
      <c r="G788">
        <f>[1]LISTADO_OTS!R788</f>
        <v>3</v>
      </c>
      <c r="H788" t="str">
        <f>[1]LISTADO_OTS!H788</f>
        <v>Sustitución de boca de riego en C/Urzabal Kalea (Agurain)</v>
      </c>
      <c r="I788" t="str">
        <f>[1]LISTADO_OTS!I788</f>
        <v>Sustitución de boca de riego en Urzabal Kalea (Agurain)</v>
      </c>
      <c r="J788" s="1">
        <f>[1]LISTADO_OTS!F788</f>
        <v>45951</v>
      </c>
      <c r="K788" s="1">
        <f>[1]LISTADO_OTS!G788</f>
        <v>45951</v>
      </c>
      <c r="L788">
        <f>[1]LISTADO_OTS!M788</f>
        <v>42.84892</v>
      </c>
      <c r="M788">
        <f>[1]LISTADO_OTS!N788</f>
        <v>-2.3922189999999999</v>
      </c>
      <c r="U788" t="b">
        <f>[1]LISTADO_OTS!O788</f>
        <v>1</v>
      </c>
      <c r="V788" t="str">
        <f>[1]LISTADO_OTS!J788</f>
        <v>Agurain</v>
      </c>
      <c r="W788">
        <f>[1]LISTADO_OTS!R788</f>
        <v>3</v>
      </c>
      <c r="X788" t="str">
        <f>[1]LISTADO_OTS!P788</f>
        <v/>
      </c>
      <c r="Y788">
        <v>1</v>
      </c>
      <c r="Z788">
        <f>[1]LISTADO_OTS!S788</f>
        <v>3</v>
      </c>
    </row>
    <row r="789" spans="1:26" x14ac:dyDescent="0.4">
      <c r="A789">
        <v>788</v>
      </c>
      <c r="B789" t="str">
        <f>[1]LISTADO_OTS!E789</f>
        <v>OT/0496</v>
      </c>
      <c r="C789">
        <f>VLOOKUP([1]LISTADO_OTS!B789,[1]Redes!$C$1:$E$5,3,FALSE)</f>
        <v>5</v>
      </c>
      <c r="D789">
        <f>[1]LISTADO_OTS!C789</f>
        <v>1</v>
      </c>
      <c r="E789">
        <f>[1]LISTADO_OTS!D789</f>
        <v>0</v>
      </c>
      <c r="F789">
        <f>[1]LISTADO_OTS!Q789</f>
        <v>1</v>
      </c>
      <c r="G789">
        <f>[1]LISTADO_OTS!R789</f>
        <v>1</v>
      </c>
      <c r="H789" t="str">
        <f>[1]LISTADO_OTS!H789</f>
        <v>Reparación de tapas de saneamiento C/Landaluce en Llodio</v>
      </c>
      <c r="I789" t="str">
        <f>[1]LISTADO_OTS!I789</f>
        <v>Reparación de tapas de saneamiento C/Landaluce en Llodio</v>
      </c>
      <c r="J789" s="1">
        <f>[1]LISTADO_OTS!F789</f>
        <v>45938</v>
      </c>
      <c r="K789" s="1">
        <f>[1]LISTADO_OTS!G789</f>
        <v>45938</v>
      </c>
      <c r="L789">
        <f>[1]LISTADO_OTS!M789</f>
        <v>43.142077</v>
      </c>
      <c r="M789">
        <f>[1]LISTADO_OTS!N789</f>
        <v>-2.9733719999999999</v>
      </c>
      <c r="U789" t="b">
        <f>[1]LISTADO_OTS!O789</f>
        <v>1</v>
      </c>
      <c r="V789" t="str">
        <f>[1]LISTADO_OTS!J789</f>
        <v>Llodio</v>
      </c>
      <c r="W789">
        <f>[1]LISTADO_OTS!R789</f>
        <v>1</v>
      </c>
      <c r="X789" t="str">
        <f>[1]LISTADO_OTS!P789</f>
        <v/>
      </c>
      <c r="Y789">
        <v>1</v>
      </c>
      <c r="Z789">
        <f>[1]LISTADO_OTS!S789</f>
        <v>3</v>
      </c>
    </row>
    <row r="790" spans="1:26" x14ac:dyDescent="0.4">
      <c r="A790">
        <v>789</v>
      </c>
      <c r="B790" t="str">
        <f>[1]LISTADO_OTS!E790</f>
        <v>OT/0497</v>
      </c>
      <c r="C790">
        <f>VLOOKUP([1]LISTADO_OTS!B790,[1]Redes!$C$1:$E$5,3,FALSE)</f>
        <v>3</v>
      </c>
      <c r="D790">
        <f>[1]LISTADO_OTS!C790</f>
        <v>1</v>
      </c>
      <c r="E790">
        <f>[1]LISTADO_OTS!D790</f>
        <v>0</v>
      </c>
      <c r="F790">
        <f>[1]LISTADO_OTS!Q790</f>
        <v>5</v>
      </c>
      <c r="G790">
        <f>[1]LISTADO_OTS!R790</f>
        <v>5</v>
      </c>
      <c r="H790" t="str">
        <f>[1]LISTADO_OTS!H790</f>
        <v>Colocación de llave de acometida en C/Juan Lazcano n12 en Zambrana</v>
      </c>
      <c r="I790" t="str">
        <f>[1]LISTADO_OTS!I790</f>
        <v>Colocación de llave de acometida en C/Juan Lazcano n12 en Zambrana</v>
      </c>
      <c r="J790" s="1">
        <f>[1]LISTADO_OTS!F790</f>
        <v>45964</v>
      </c>
      <c r="K790" s="1">
        <f>[1]LISTADO_OTS!G790</f>
        <v>45964</v>
      </c>
      <c r="L790">
        <f>[1]LISTADO_OTS!M790</f>
        <v>42.662073999999997</v>
      </c>
      <c r="M790">
        <f>[1]LISTADO_OTS!N790</f>
        <v>-2.8780429999999999</v>
      </c>
      <c r="U790" t="b">
        <f>[1]LISTADO_OTS!O790</f>
        <v>1</v>
      </c>
      <c r="V790" t="str">
        <f>[1]LISTADO_OTS!J790</f>
        <v>Zambrana</v>
      </c>
      <c r="W790">
        <f>[1]LISTADO_OTS!R790</f>
        <v>5</v>
      </c>
      <c r="X790" t="str">
        <f>[1]LISTADO_OTS!P790</f>
        <v>KERMAN</v>
      </c>
      <c r="Y790">
        <v>1</v>
      </c>
      <c r="Z790">
        <f>[1]LISTADO_OTS!S790</f>
        <v>3</v>
      </c>
    </row>
    <row r="791" spans="1:26" x14ac:dyDescent="0.4">
      <c r="A791">
        <v>790</v>
      </c>
      <c r="B791" t="str">
        <f>[1]LISTADO_OTS!E791</f>
        <v>OT/0498</v>
      </c>
      <c r="C791">
        <f>VLOOKUP([1]LISTADO_OTS!B791,[1]Redes!$C$1:$E$5,3,FALSE)</f>
        <v>5</v>
      </c>
      <c r="D791">
        <f>[1]LISTADO_OTS!C791</f>
        <v>1</v>
      </c>
      <c r="E791">
        <f>[1]LISTADO_OTS!D791</f>
        <v>0</v>
      </c>
      <c r="F791">
        <f>[1]LISTADO_OTS!Q791</f>
        <v>1</v>
      </c>
      <c r="G791">
        <f>[1]LISTADO_OTS!R791</f>
        <v>1</v>
      </c>
      <c r="H791" t="str">
        <f>[1]LISTADO_OTS!H791</f>
        <v>Desatasco saneamiento en Artziniega</v>
      </c>
      <c r="I791" t="str">
        <f>[1]LISTADO_OTS!I791</f>
        <v>Desatasco saneamiento en Artziniega</v>
      </c>
      <c r="J791" s="1">
        <f>[1]LISTADO_OTS!F791</f>
        <v>45964</v>
      </c>
      <c r="K791" s="1">
        <f>[1]LISTADO_OTS!G791</f>
        <v>45964</v>
      </c>
      <c r="L791">
        <f>[1]LISTADO_OTS!M791</f>
        <v>43.122095999999999</v>
      </c>
      <c r="M791">
        <f>[1]LISTADO_OTS!N791</f>
        <v>-3.125956</v>
      </c>
      <c r="U791" t="b">
        <f>[1]LISTADO_OTS!O791</f>
        <v>1</v>
      </c>
      <c r="V791" t="str">
        <f>[1]LISTADO_OTS!J791</f>
        <v>Artziniega</v>
      </c>
      <c r="W791">
        <f>[1]LISTADO_OTS!R791</f>
        <v>1</v>
      </c>
      <c r="X791" t="str">
        <f>[1]LISTADO_OTS!P791</f>
        <v>KERMAN,MIGUEL,ANGEL</v>
      </c>
      <c r="Y791">
        <v>1</v>
      </c>
      <c r="Z791">
        <f>[1]LISTADO_OTS!S791</f>
        <v>2</v>
      </c>
    </row>
    <row r="792" spans="1:26" x14ac:dyDescent="0.4">
      <c r="A792">
        <v>791</v>
      </c>
      <c r="B792" t="str">
        <f>[1]LISTADO_OTS!E792</f>
        <v>TP/0377</v>
      </c>
      <c r="C792">
        <f>VLOOKUP([1]LISTADO_OTS!B792,[1]Redes!$C$1:$E$5,3,FALSE)</f>
        <v>3</v>
      </c>
      <c r="D792">
        <f>[1]LISTADO_OTS!C792</f>
        <v>2</v>
      </c>
      <c r="E792">
        <f>[1]LISTADO_OTS!D792</f>
        <v>9</v>
      </c>
      <c r="F792">
        <f>[1]LISTADO_OTS!Q792</f>
        <v>1</v>
      </c>
      <c r="G792">
        <f>[1]LISTADO_OTS!R792</f>
        <v>1</v>
      </c>
      <c r="H792" t="str">
        <f>[1]LISTADO_OTS!H792</f>
        <v>Desistalación de contadores por baja en C/Jesus Galindez n3 en Amurrio</v>
      </c>
      <c r="I792" t="str">
        <f>[1]LISTADO_OTS!I792</f>
        <v>Desistalación de contadores por baja en C/Jesus Galindez n3 en Amurrio</v>
      </c>
      <c r="J792" s="1">
        <f>[1]LISTADO_OTS!F792</f>
        <v>45964</v>
      </c>
      <c r="K792" s="1">
        <f>[1]LISTADO_OTS!G792</f>
        <v>45964</v>
      </c>
      <c r="L792">
        <f>[1]LISTADO_OTS!M792</f>
        <v>43.051839999999999</v>
      </c>
      <c r="M792">
        <f>[1]LISTADO_OTS!N792</f>
        <v>-3.0041799999999999</v>
      </c>
      <c r="U792" t="b">
        <f>[1]LISTADO_OTS!O792</f>
        <v>1</v>
      </c>
      <c r="V792" t="str">
        <f>[1]LISTADO_OTS!J792</f>
        <v>Amurrio</v>
      </c>
      <c r="W792">
        <f>[1]LISTADO_OTS!R792</f>
        <v>1</v>
      </c>
      <c r="X792" t="str">
        <f>[1]LISTADO_OTS!P792</f>
        <v>KERMAN</v>
      </c>
      <c r="Y792">
        <v>1</v>
      </c>
      <c r="Z792">
        <f>[1]LISTADO_OTS!S792</f>
        <v>0</v>
      </c>
    </row>
    <row r="793" spans="1:26" x14ac:dyDescent="0.4">
      <c r="A793">
        <v>792</v>
      </c>
      <c r="B793" t="str">
        <f>[1]LISTADO_OTS!E793</f>
        <v>OT/0499</v>
      </c>
      <c r="C793">
        <f>VLOOKUP([1]LISTADO_OTS!B793,[1]Redes!$C$1:$E$5,3,FALSE)</f>
        <v>5</v>
      </c>
      <c r="D793">
        <f>[1]LISTADO_OTS!C793</f>
        <v>1</v>
      </c>
      <c r="E793">
        <f>[1]LISTADO_OTS!D793</f>
        <v>0</v>
      </c>
      <c r="F793">
        <f>[1]LISTADO_OTS!Q793</f>
        <v>1</v>
      </c>
      <c r="G793">
        <f>[1]LISTADO_OTS!R793</f>
        <v>1</v>
      </c>
      <c r="H793" t="str">
        <f>[1]LISTADO_OTS!H793</f>
        <v>Reparación de arqueta de saneamiento en Artziniega</v>
      </c>
      <c r="I793" t="str">
        <f>[1]LISTADO_OTS!I793</f>
        <v>Reparación de arqueta de saneamiento en Artziniega</v>
      </c>
      <c r="J793" s="1">
        <f>[1]LISTADO_OTS!F793</f>
        <v>45965</v>
      </c>
      <c r="K793" s="1">
        <f>[1]LISTADO_OTS!G793</f>
        <v>45965</v>
      </c>
      <c r="L793">
        <f>[1]LISTADO_OTS!M793</f>
        <v>43.121775</v>
      </c>
      <c r="M793">
        <f>[1]LISTADO_OTS!N793</f>
        <v>-3.1263930000000002</v>
      </c>
      <c r="U793" t="b">
        <f>[1]LISTADO_OTS!O793</f>
        <v>1</v>
      </c>
      <c r="V793" t="str">
        <f>[1]LISTADO_OTS!J793</f>
        <v>Artziniega</v>
      </c>
      <c r="W793">
        <f>[1]LISTADO_OTS!R793</f>
        <v>1</v>
      </c>
      <c r="X793" t="str">
        <f>[1]LISTADO_OTS!P793</f>
        <v>ZOUITA BEÑAT REGOMART</v>
      </c>
      <c r="Y793">
        <v>1</v>
      </c>
      <c r="Z793">
        <f>[1]LISTADO_OTS!S793</f>
        <v>3</v>
      </c>
    </row>
    <row r="794" spans="1:26" x14ac:dyDescent="0.4">
      <c r="A794">
        <v>793</v>
      </c>
      <c r="B794" t="str">
        <f>[1]LISTADO_OTS!E794</f>
        <v>OT/0500</v>
      </c>
      <c r="C794">
        <f>VLOOKUP([1]LISTADO_OTS!B794,[1]Redes!$C$1:$E$5,3,FALSE)</f>
        <v>3</v>
      </c>
      <c r="D794">
        <f>[1]LISTADO_OTS!C794</f>
        <v>1</v>
      </c>
      <c r="E794">
        <f>[1]LISTADO_OTS!D794</f>
        <v>0</v>
      </c>
      <c r="F794">
        <f>[1]LISTADO_OTS!Q794</f>
        <v>1</v>
      </c>
      <c r="G794">
        <f>[1]LISTADO_OTS!R794</f>
        <v>1</v>
      </c>
      <c r="H794" t="str">
        <f>[1]LISTADO_OTS!H794</f>
        <v>Reparación de fuga en C/Elexondo en Amurrio</v>
      </c>
      <c r="I794" t="str">
        <f>[1]LISTADO_OTS!I794</f>
        <v>Reparación de fuga en C/Elexondo en Amurrio</v>
      </c>
      <c r="J794" s="1">
        <f>[1]LISTADO_OTS!F794</f>
        <v>45965</v>
      </c>
      <c r="K794" s="1">
        <f>[1]LISTADO_OTS!G794</f>
        <v>45965</v>
      </c>
      <c r="L794">
        <f>[1]LISTADO_OTS!M794</f>
        <v>43.051872000000003</v>
      </c>
      <c r="M794">
        <f>[1]LISTADO_OTS!N794</f>
        <v>-3.0015770000000002</v>
      </c>
      <c r="U794" t="b">
        <f>[1]LISTADO_OTS!O794</f>
        <v>1</v>
      </c>
      <c r="V794" t="str">
        <f>[1]LISTADO_OTS!J794</f>
        <v>Amurrio</v>
      </c>
      <c r="W794">
        <f>[1]LISTADO_OTS!R794</f>
        <v>1</v>
      </c>
      <c r="X794" t="str">
        <f>[1]LISTADO_OTS!P794</f>
        <v>IÑIGO</v>
      </c>
      <c r="Y794">
        <v>1</v>
      </c>
      <c r="Z794">
        <f>[1]LISTADO_OTS!S794</f>
        <v>1</v>
      </c>
    </row>
    <row r="795" spans="1:26" x14ac:dyDescent="0.4">
      <c r="A795">
        <v>794</v>
      </c>
      <c r="B795" t="str">
        <f>[1]LISTADO_OTS!E795</f>
        <v>OT/0501</v>
      </c>
      <c r="C795">
        <f>VLOOKUP([1]LISTADO_OTS!B795,[1]Redes!$C$1:$E$5,3,FALSE)</f>
        <v>3</v>
      </c>
      <c r="D795">
        <f>[1]LISTADO_OTS!C795</f>
        <v>1</v>
      </c>
      <c r="E795">
        <f>[1]LISTADO_OTS!D795</f>
        <v>0</v>
      </c>
      <c r="F795">
        <f>[1]LISTADO_OTS!Q795</f>
        <v>1</v>
      </c>
      <c r="G795">
        <f>[1]LISTADO_OTS!R795</f>
        <v>1</v>
      </c>
      <c r="H795" t="str">
        <f>[1]LISTADO_OTS!H795</f>
        <v>Reparación de fuga en Baranbio</v>
      </c>
      <c r="I795" t="str">
        <f>[1]LISTADO_OTS!I795</f>
        <v>Reparación de fuga en Baranbio</v>
      </c>
      <c r="J795" s="1">
        <f>[1]LISTADO_OTS!F795</f>
        <v>45965</v>
      </c>
      <c r="K795" s="1">
        <f>[1]LISTADO_OTS!G795</f>
        <v>45965</v>
      </c>
      <c r="L795">
        <f>[1]LISTADO_OTS!M795</f>
        <v>43.045879999999997</v>
      </c>
      <c r="M795">
        <f>[1]LISTADO_OTS!N795</f>
        <v>-2.9141590000000002</v>
      </c>
      <c r="U795" t="b">
        <f>[1]LISTADO_OTS!O795</f>
        <v>1</v>
      </c>
      <c r="V795" t="str">
        <f>[1]LISTADO_OTS!J795</f>
        <v>Baranbio</v>
      </c>
      <c r="W795">
        <f>[1]LISTADO_OTS!R795</f>
        <v>1</v>
      </c>
      <c r="X795" t="str">
        <f>[1]LISTADO_OTS!P795</f>
        <v>IÑIGO</v>
      </c>
      <c r="Y795">
        <v>1</v>
      </c>
      <c r="Z795">
        <f>[1]LISTADO_OTS!S795</f>
        <v>1</v>
      </c>
    </row>
    <row r="796" spans="1:26" x14ac:dyDescent="0.4">
      <c r="A796">
        <v>795</v>
      </c>
      <c r="B796" t="str">
        <f>[1]LISTADO_OTS!E796</f>
        <v>OT/0502</v>
      </c>
      <c r="C796">
        <f>VLOOKUP([1]LISTADO_OTS!B796,[1]Redes!$C$1:$E$5,3,FALSE)</f>
        <v>1</v>
      </c>
      <c r="D796">
        <f>[1]LISTADO_OTS!C796</f>
        <v>1</v>
      </c>
      <c r="E796">
        <f>[1]LISTADO_OTS!D796</f>
        <v>0</v>
      </c>
      <c r="F796">
        <f>[1]LISTADO_OTS!Q796</f>
        <v>1</v>
      </c>
      <c r="G796">
        <f>[1]LISTADO_OTS!R796</f>
        <v>1</v>
      </c>
      <c r="H796" t="str">
        <f>[1]LISTADO_OTS!H796</f>
        <v>Reparación de fuga en Erbi en agua bruta</v>
      </c>
      <c r="I796" t="str">
        <f>[1]LISTADO_OTS!I796</f>
        <v>Reparación de fuga en Erbi en agua bruta</v>
      </c>
      <c r="J796" s="1">
        <f>[1]LISTADO_OTS!F796</f>
        <v>45965</v>
      </c>
      <c r="K796" s="1">
        <f>[1]LISTADO_OTS!G796</f>
        <v>45965</v>
      </c>
      <c r="L796">
        <f>[1]LISTADO_OTS!M796</f>
        <v>43.076608</v>
      </c>
      <c r="M796">
        <f>[1]LISTADO_OTS!N796</f>
        <v>-3.1075149999999998</v>
      </c>
      <c r="U796" t="b">
        <f>[1]LISTADO_OTS!O796</f>
        <v>1</v>
      </c>
      <c r="V796" t="str">
        <f>[1]LISTADO_OTS!J796</f>
        <v>Erbi</v>
      </c>
      <c r="W796">
        <f>[1]LISTADO_OTS!R796</f>
        <v>1</v>
      </c>
      <c r="X796" t="str">
        <f>[1]LISTADO_OTS!P796</f>
        <v>IÑIGO</v>
      </c>
      <c r="Y796">
        <v>1</v>
      </c>
      <c r="Z796">
        <f>[1]LISTADO_OTS!S796</f>
        <v>1</v>
      </c>
    </row>
    <row r="797" spans="1:26" x14ac:dyDescent="0.4">
      <c r="A797">
        <v>796</v>
      </c>
      <c r="B797" t="str">
        <f>[1]LISTADO_OTS!E797</f>
        <v>TP/0378</v>
      </c>
      <c r="C797">
        <f>VLOOKUP([1]LISTADO_OTS!B797,[1]Redes!$C$1:$E$5,3,FALSE)</f>
        <v>1</v>
      </c>
      <c r="D797">
        <f>[1]LISTADO_OTS!C797</f>
        <v>2</v>
      </c>
      <c r="E797">
        <f>[1]LISTADO_OTS!D797</f>
        <v>12</v>
      </c>
      <c r="F797">
        <f>[1]LISTADO_OTS!Q797</f>
        <v>1</v>
      </c>
      <c r="G797">
        <f>[1]LISTADO_OTS!R797</f>
        <v>1</v>
      </c>
      <c r="H797" t="str">
        <f>[1]LISTADO_OTS!H797</f>
        <v>Corte de agua por rotura de tubería de aducción en Erbi</v>
      </c>
      <c r="I797" t="str">
        <f>[1]LISTADO_OTS!I797</f>
        <v>Corte de agua por rotura de tubería de aducción en Erbi</v>
      </c>
      <c r="J797" s="1">
        <f>[1]LISTADO_OTS!F797</f>
        <v>45965</v>
      </c>
      <c r="K797" s="1">
        <f>[1]LISTADO_OTS!G797</f>
        <v>45965</v>
      </c>
      <c r="L797">
        <f>[1]LISTADO_OTS!M797</f>
        <v>43.074620000000003</v>
      </c>
      <c r="M797">
        <f>[1]LISTADO_OTS!N797</f>
        <v>-3.1134200000000001</v>
      </c>
      <c r="U797" t="b">
        <f>[1]LISTADO_OTS!O797</f>
        <v>1</v>
      </c>
      <c r="V797" t="str">
        <f>[1]LISTADO_OTS!J797</f>
        <v>Erbi</v>
      </c>
      <c r="W797">
        <f>[1]LISTADO_OTS!R797</f>
        <v>1</v>
      </c>
      <c r="X797" t="str">
        <f>[1]LISTADO_OTS!P797</f>
        <v>IÑIGO</v>
      </c>
      <c r="Y797">
        <v>1</v>
      </c>
      <c r="Z797">
        <f>[1]LISTADO_OTS!S797</f>
        <v>0</v>
      </c>
    </row>
    <row r="798" spans="1:26" x14ac:dyDescent="0.4">
      <c r="A798">
        <v>797</v>
      </c>
      <c r="B798" t="str">
        <f>[1]LISTADO_OTS!E798</f>
        <v>TP/0379</v>
      </c>
      <c r="C798">
        <f>VLOOKUP([1]LISTADO_OTS!B798,[1]Redes!$C$1:$E$5,3,FALSE)</f>
        <v>5</v>
      </c>
      <c r="D798">
        <f>[1]LISTADO_OTS!C798</f>
        <v>2</v>
      </c>
      <c r="E798">
        <f>[1]LISTADO_OTS!D798</f>
        <v>1</v>
      </c>
      <c r="F798">
        <f>[1]LISTADO_OTS!Q798</f>
        <v>3</v>
      </c>
      <c r="G798">
        <f>[1]LISTADO_OTS!R798</f>
        <v>3</v>
      </c>
      <c r="H798" t="str">
        <f>[1]LISTADO_OTS!H798</f>
        <v>Recopilación de informacion para mejoras de las redes pluviales y fecales en Alegría</v>
      </c>
      <c r="I798" t="str">
        <f>[1]LISTADO_OTS!I798</f>
        <v>Recopilación de informacion para mejoras de las redes pluviales y fecales en Alegría</v>
      </c>
      <c r="J798" s="1">
        <f>[1]LISTADO_OTS!F798</f>
        <v>45958</v>
      </c>
      <c r="K798" s="1">
        <f>[1]LISTADO_OTS!G798</f>
        <v>45959</v>
      </c>
      <c r="L798" t="str">
        <f>[1]LISTADO_OTS!M798</f>
        <v/>
      </c>
      <c r="M798" t="str">
        <f>[1]LISTADO_OTS!N798</f>
        <v/>
      </c>
      <c r="U798" t="b">
        <f>[1]LISTADO_OTS!O798</f>
        <v>1</v>
      </c>
      <c r="V798" t="str">
        <f>[1]LISTADO_OTS!J798</f>
        <v>Alegría</v>
      </c>
      <c r="W798">
        <f>[1]LISTADO_OTS!R798</f>
        <v>3</v>
      </c>
      <c r="X798" t="str">
        <f>[1]LISTADO_OTS!P798</f>
        <v>ENEKO</v>
      </c>
      <c r="Y798">
        <v>1</v>
      </c>
      <c r="Z798">
        <f>[1]LISTADO_OTS!S798</f>
        <v>0</v>
      </c>
    </row>
    <row r="799" spans="1:26" x14ac:dyDescent="0.4">
      <c r="A799">
        <v>798</v>
      </c>
      <c r="B799" t="str">
        <f>[1]LISTADO_OTS!E799</f>
        <v>OT/0503</v>
      </c>
      <c r="C799">
        <f>VLOOKUP([1]LISTADO_OTS!B799,[1]Redes!$C$1:$E$5,3,FALSE)</f>
        <v>5</v>
      </c>
      <c r="D799">
        <f>[1]LISTADO_OTS!C799</f>
        <v>1</v>
      </c>
      <c r="E799">
        <f>[1]LISTADO_OTS!D799</f>
        <v>0</v>
      </c>
      <c r="F799">
        <f>[1]LISTADO_OTS!Q799</f>
        <v>6</v>
      </c>
      <c r="G799">
        <f>[1]LISTADO_OTS!R799</f>
        <v>6</v>
      </c>
      <c r="H799" t="str">
        <f>[1]LISTADO_OTS!H799</f>
        <v>Reparación de tapas de saneamiento en Maeztu</v>
      </c>
      <c r="I799" t="str">
        <f>[1]LISTADO_OTS!I799</f>
        <v>Reparación de tapas de saneamiento en Maeztu</v>
      </c>
      <c r="J799" s="1">
        <f>[1]LISTADO_OTS!F799</f>
        <v>45945</v>
      </c>
      <c r="K799" s="1">
        <f>[1]LISTADO_OTS!G799</f>
        <v>45947</v>
      </c>
      <c r="L799">
        <f>[1]LISTADO_OTS!M799</f>
        <v>42.739216999999996</v>
      </c>
      <c r="M799">
        <f>[1]LISTADO_OTS!N799</f>
        <v>-2.4469609999999999</v>
      </c>
      <c r="U799" t="b">
        <f>[1]LISTADO_OTS!O799</f>
        <v>1</v>
      </c>
      <c r="V799" t="str">
        <f>[1]LISTADO_OTS!J799</f>
        <v>Maeztu</v>
      </c>
      <c r="W799">
        <f>[1]LISTADO_OTS!R799</f>
        <v>6</v>
      </c>
      <c r="X799" t="str">
        <f>[1]LISTADO_OTS!P799</f>
        <v/>
      </c>
      <c r="Y799">
        <v>1</v>
      </c>
      <c r="Z799">
        <f>[1]LISTADO_OTS!S799</f>
        <v>3</v>
      </c>
    </row>
    <row r="800" spans="1:26" x14ac:dyDescent="0.4">
      <c r="A800">
        <v>799</v>
      </c>
      <c r="B800" t="str">
        <f>[1]LISTADO_OTS!E800</f>
        <v>OT/0504</v>
      </c>
      <c r="C800">
        <f>VLOOKUP([1]LISTADO_OTS!B800,[1]Redes!$C$1:$E$5,3,FALSE)</f>
        <v>5</v>
      </c>
      <c r="D800">
        <f>[1]LISTADO_OTS!C800</f>
        <v>1</v>
      </c>
      <c r="E800">
        <f>[1]LISTADO_OTS!D800</f>
        <v>0</v>
      </c>
      <c r="F800">
        <f>[1]LISTADO_OTS!Q800</f>
        <v>1</v>
      </c>
      <c r="G800">
        <f>[1]LISTADO_OTS!R800</f>
        <v>1</v>
      </c>
      <c r="H800" t="str">
        <f>[1]LISTADO_OTS!H800</f>
        <v>Revisión saneamiento C/Nervión por aviso de filtraciones en Llodio</v>
      </c>
      <c r="I800" t="str">
        <f>[1]LISTADO_OTS!I800</f>
        <v>Revisión saneamiento C/Nervión por aviso de filtraciones en Llodio</v>
      </c>
      <c r="J800" s="1">
        <f>[1]LISTADO_OTS!F800</f>
        <v>45966</v>
      </c>
      <c r="K800" s="1">
        <f>[1]LISTADO_OTS!G800</f>
        <v>45966</v>
      </c>
      <c r="L800">
        <f>[1]LISTADO_OTS!M800</f>
        <v>43.142116000000001</v>
      </c>
      <c r="M800">
        <f>[1]LISTADO_OTS!N800</f>
        <v>-2.962116</v>
      </c>
      <c r="U800" t="b">
        <f>[1]LISTADO_OTS!O800</f>
        <v>1</v>
      </c>
      <c r="V800" t="str">
        <f>[1]LISTADO_OTS!J800</f>
        <v>Llodio</v>
      </c>
      <c r="W800">
        <f>[1]LISTADO_OTS!R800</f>
        <v>1</v>
      </c>
      <c r="X800" t="str">
        <f>[1]LISTADO_OTS!P800</f>
        <v>TOMAS IÑIGO KERMAN ANGEL</v>
      </c>
      <c r="Y800">
        <v>1</v>
      </c>
      <c r="Z800">
        <f>[1]LISTADO_OTS!S800</f>
        <v>3</v>
      </c>
    </row>
    <row r="801" spans="1:26" x14ac:dyDescent="0.4">
      <c r="A801">
        <v>800</v>
      </c>
      <c r="B801" t="str">
        <f>[1]LISTADO_OTS!E801</f>
        <v>TP/0380</v>
      </c>
      <c r="C801">
        <f>VLOOKUP([1]LISTADO_OTS!B801,[1]Redes!$C$1:$E$5,3,FALSE)</f>
        <v>3</v>
      </c>
      <c r="D801">
        <f>[1]LISTADO_OTS!C801</f>
        <v>2</v>
      </c>
      <c r="E801">
        <f>[1]LISTADO_OTS!D801</f>
        <v>13</v>
      </c>
      <c r="F801">
        <f>[1]LISTADO_OTS!Q801</f>
        <v>1</v>
      </c>
      <c r="G801">
        <f>[1]LISTADO_OTS!R801</f>
        <v>1</v>
      </c>
      <c r="H801" t="str">
        <f>[1]LISTADO_OTS!H801</f>
        <v>Asistencia técnica a organismos públicos y URBIDE</v>
      </c>
      <c r="I801" t="str">
        <f>[1]LISTADO_OTS!I801</f>
        <v>Asistencia técnica a organismos públicos y URBIDE</v>
      </c>
      <c r="J801" s="1">
        <f>[1]LISTADO_OTS!F801</f>
        <v>45966</v>
      </c>
      <c r="K801" s="1">
        <f>[1]LISTADO_OTS!G801</f>
        <v>45966</v>
      </c>
      <c r="L801">
        <f>[1]LISTADO_OTS!M801</f>
        <v>43.131610999999999</v>
      </c>
      <c r="M801">
        <f>[1]LISTADO_OTS!N801</f>
        <v>-2.9679479999999998</v>
      </c>
      <c r="U801" t="b">
        <f>[1]LISTADO_OTS!O801</f>
        <v>1</v>
      </c>
      <c r="V801" t="str">
        <f>[1]LISTADO_OTS!J801</f>
        <v>Llodio</v>
      </c>
      <c r="W801">
        <f>[1]LISTADO_OTS!R801</f>
        <v>1</v>
      </c>
      <c r="X801" t="str">
        <f>[1]LISTADO_OTS!P801</f>
        <v>IÑIGO</v>
      </c>
      <c r="Y801">
        <v>1</v>
      </c>
      <c r="Z801">
        <f>[1]LISTADO_OTS!S801</f>
        <v>0</v>
      </c>
    </row>
    <row r="802" spans="1:26" x14ac:dyDescent="0.4">
      <c r="A802">
        <v>801</v>
      </c>
      <c r="B802" t="str">
        <f>[1]LISTADO_OTS!E802</f>
        <v>OT/0505</v>
      </c>
      <c r="C802">
        <f>VLOOKUP([1]LISTADO_OTS!B802,[1]Redes!$C$1:$E$5,3,FALSE)</f>
        <v>5</v>
      </c>
      <c r="D802">
        <f>[1]LISTADO_OTS!C802</f>
        <v>1</v>
      </c>
      <c r="E802">
        <f>[1]LISTADO_OTS!D802</f>
        <v>0</v>
      </c>
      <c r="F802">
        <f>[1]LISTADO_OTS!Q802</f>
        <v>1</v>
      </c>
      <c r="G802">
        <f>[1]LISTADO_OTS!R802</f>
        <v>1</v>
      </c>
      <c r="H802" t="str">
        <f>[1]LISTADO_OTS!H802</f>
        <v>Aviso de vertido en Ugarte en Llodio</v>
      </c>
      <c r="I802" t="str">
        <f>[1]LISTADO_OTS!I802</f>
        <v>Aviso de vertido en Ugarte en Llodio</v>
      </c>
      <c r="J802" s="1">
        <f>[1]LISTADO_OTS!F802</f>
        <v>45966</v>
      </c>
      <c r="K802" s="1">
        <f>[1]LISTADO_OTS!G802</f>
        <v>45966</v>
      </c>
      <c r="L802">
        <f>[1]LISTADO_OTS!M802</f>
        <v>43.148432999999997</v>
      </c>
      <c r="M802">
        <f>[1]LISTADO_OTS!N802</f>
        <v>-2.9695490000000002</v>
      </c>
      <c r="U802" t="b">
        <f>[1]LISTADO_OTS!O802</f>
        <v>1</v>
      </c>
      <c r="V802" t="str">
        <f>[1]LISTADO_OTS!J802</f>
        <v>Llodio</v>
      </c>
      <c r="W802">
        <f>[1]LISTADO_OTS!R802</f>
        <v>1</v>
      </c>
      <c r="X802" t="str">
        <f>[1]LISTADO_OTS!P802</f>
        <v>IÑIGO KERMAN</v>
      </c>
      <c r="Y802">
        <v>1</v>
      </c>
      <c r="Z802">
        <f>[1]LISTADO_OTS!S802</f>
        <v>1</v>
      </c>
    </row>
    <row r="803" spans="1:26" x14ac:dyDescent="0.4">
      <c r="A803">
        <v>802</v>
      </c>
      <c r="B803" t="str">
        <f>[1]LISTADO_OTS!E803</f>
        <v>TP/0381</v>
      </c>
      <c r="C803">
        <f>VLOOKUP([1]LISTADO_OTS!B803,[1]Redes!$C$1:$E$5,3,FALSE)</f>
        <v>2</v>
      </c>
      <c r="D803">
        <f>[1]LISTADO_OTS!C803</f>
        <v>2</v>
      </c>
      <c r="E803">
        <f>[1]LISTADO_OTS!D803</f>
        <v>1</v>
      </c>
      <c r="F803">
        <f>[1]LISTADO_OTS!Q803</f>
        <v>1</v>
      </c>
      <c r="G803">
        <f>[1]LISTADO_OTS!R803</f>
        <v>1</v>
      </c>
      <c r="H803" t="str">
        <f>[1]LISTADO_OTS!H803</f>
        <v>Vaciado de fosa séptica en Lateorro en Llodio</v>
      </c>
      <c r="I803" t="str">
        <f>[1]LISTADO_OTS!I803</f>
        <v>Vaciado de fosa séptica en Lateorro en Llodio</v>
      </c>
      <c r="J803" s="1">
        <f>[1]LISTADO_OTS!F803</f>
        <v>45966</v>
      </c>
      <c r="K803" s="1">
        <f>[1]LISTADO_OTS!G803</f>
        <v>45966</v>
      </c>
      <c r="L803">
        <f>[1]LISTADO_OTS!M803</f>
        <v>43.138486999999998</v>
      </c>
      <c r="M803">
        <f>[1]LISTADO_OTS!N803</f>
        <v>-2.962412</v>
      </c>
      <c r="U803" t="b">
        <f>[1]LISTADO_OTS!O803</f>
        <v>1</v>
      </c>
      <c r="V803" t="str">
        <f>[1]LISTADO_OTS!J803</f>
        <v>Llodio</v>
      </c>
      <c r="W803">
        <f>[1]LISTADO_OTS!R803</f>
        <v>1</v>
      </c>
      <c r="X803" t="str">
        <f>[1]LISTADO_OTS!P803</f>
        <v/>
      </c>
      <c r="Y803">
        <v>1</v>
      </c>
      <c r="Z803">
        <f>[1]LISTADO_OTS!S803</f>
        <v>0</v>
      </c>
    </row>
    <row r="804" spans="1:26" x14ac:dyDescent="0.4">
      <c r="A804">
        <v>803</v>
      </c>
      <c r="B804" t="str">
        <f>[1]LISTADO_OTS!E804</f>
        <v>OT/0506</v>
      </c>
      <c r="C804">
        <f>VLOOKUP([1]LISTADO_OTS!B804,[1]Redes!$C$1:$E$5,3,FALSE)</f>
        <v>3</v>
      </c>
      <c r="D804">
        <f>[1]LISTADO_OTS!C804</f>
        <v>1</v>
      </c>
      <c r="E804">
        <f>[1]LISTADO_OTS!D804</f>
        <v>0</v>
      </c>
      <c r="F804">
        <f>[1]LISTADO_OTS!Q804</f>
        <v>3</v>
      </c>
      <c r="G804">
        <f>[1]LISTADO_OTS!R804</f>
        <v>3</v>
      </c>
      <c r="H804" t="str">
        <f>[1]LISTADO_OTS!H804</f>
        <v>Comprobación de fuga en contador en C/Santa Barbara  n1 en Agurain</v>
      </c>
      <c r="I804" t="str">
        <f>[1]LISTADO_OTS!I804</f>
        <v>Comprobación de fuga en contador en Santa Barbara  n1  en Agurain</v>
      </c>
      <c r="J804" s="1">
        <f>[1]LISTADO_OTS!F804</f>
        <v>45966</v>
      </c>
      <c r="K804" s="1">
        <f>[1]LISTADO_OTS!G804</f>
        <v>45966</v>
      </c>
      <c r="L804">
        <f>[1]LISTADO_OTS!M804</f>
        <v>42.848759999999999</v>
      </c>
      <c r="M804">
        <f>[1]LISTADO_OTS!N804</f>
        <v>-2.3899400000000002</v>
      </c>
      <c r="U804" t="b">
        <f>[1]LISTADO_OTS!O804</f>
        <v>1</v>
      </c>
      <c r="V804" t="str">
        <f>[1]LISTADO_OTS!J804</f>
        <v>Agurain</v>
      </c>
      <c r="W804">
        <f>[1]LISTADO_OTS!R804</f>
        <v>3</v>
      </c>
      <c r="X804" t="str">
        <f>[1]LISTADO_OTS!P804</f>
        <v/>
      </c>
      <c r="Y804">
        <v>1</v>
      </c>
      <c r="Z804">
        <f>[1]LISTADO_OTS!S804</f>
        <v>1</v>
      </c>
    </row>
    <row r="805" spans="1:26" x14ac:dyDescent="0.4">
      <c r="A805">
        <v>804</v>
      </c>
      <c r="B805" t="str">
        <f>[1]LISTADO_OTS!E805</f>
        <v>TP/0382</v>
      </c>
      <c r="C805">
        <f>VLOOKUP([1]LISTADO_OTS!B805,[1]Redes!$C$1:$E$5,3,FALSE)</f>
        <v>3</v>
      </c>
      <c r="D805">
        <f>[1]LISTADO_OTS!C805</f>
        <v>2</v>
      </c>
      <c r="E805">
        <f>[1]LISTADO_OTS!D805</f>
        <v>10</v>
      </c>
      <c r="F805">
        <f>[1]LISTADO_OTS!Q805</f>
        <v>4</v>
      </c>
      <c r="G805">
        <f>[1]LISTADO_OTS!R805</f>
        <v>4</v>
      </c>
      <c r="H805" t="str">
        <f>[1]LISTADO_OTS!H805</f>
        <v>Sustitución de contador en C/Santiagolarra n1 en Ullibarri-Gamboa</v>
      </c>
      <c r="I805" t="str">
        <f>[1]LISTADO_OTS!I805</f>
        <v>Sustitución de contador en C/Santiagolarra n1 en Ullibarri-Gamboa</v>
      </c>
      <c r="J805" s="1">
        <f>[1]LISTADO_OTS!F805</f>
        <v>45966</v>
      </c>
      <c r="K805" s="1">
        <f>[1]LISTADO_OTS!G805</f>
        <v>45966</v>
      </c>
      <c r="L805" t="str">
        <f>[1]LISTADO_OTS!M805</f>
        <v/>
      </c>
      <c r="M805" t="str">
        <f>[1]LISTADO_OTS!N805</f>
        <v/>
      </c>
      <c r="U805" t="b">
        <f>[1]LISTADO_OTS!O805</f>
        <v>1</v>
      </c>
      <c r="V805" t="str">
        <f>[1]LISTADO_OTS!J805</f>
        <v>Ullibarri-Gamboa</v>
      </c>
      <c r="W805">
        <f>[1]LISTADO_OTS!R805</f>
        <v>4</v>
      </c>
      <c r="X805" t="str">
        <f>[1]LISTADO_OTS!P805</f>
        <v>GABI</v>
      </c>
      <c r="Y805">
        <v>1</v>
      </c>
      <c r="Z805">
        <f>[1]LISTADO_OTS!S805</f>
        <v>0</v>
      </c>
    </row>
    <row r="806" spans="1:26" x14ac:dyDescent="0.4">
      <c r="A806">
        <v>805</v>
      </c>
      <c r="B806" t="str">
        <f>[1]LISTADO_OTS!E806</f>
        <v>TP/0383</v>
      </c>
      <c r="C806">
        <f>VLOOKUP([1]LISTADO_OTS!B806,[1]Redes!$C$1:$E$5,3,FALSE)</f>
        <v>3</v>
      </c>
      <c r="D806">
        <f>[1]LISTADO_OTS!C806</f>
        <v>2</v>
      </c>
      <c r="E806">
        <f>[1]LISTADO_OTS!D806</f>
        <v>10</v>
      </c>
      <c r="F806">
        <f>[1]LISTADO_OTS!Q806</f>
        <v>3</v>
      </c>
      <c r="G806">
        <f>[1]LISTADO_OTS!R806</f>
        <v>3</v>
      </c>
      <c r="H806" t="str">
        <f>[1]LISTADO_OTS!H806</f>
        <v>Sustitución de contador en C/Zapatari n25 en Agurain</v>
      </c>
      <c r="I806" t="str">
        <f>[1]LISTADO_OTS!I806</f>
        <v>Sustitución de contador en C/Zapatari n25 en Agurain</v>
      </c>
      <c r="J806" s="1">
        <f>[1]LISTADO_OTS!F806</f>
        <v>45966</v>
      </c>
      <c r="K806" s="1">
        <f>[1]LISTADO_OTS!G806</f>
        <v>45966</v>
      </c>
      <c r="L806" t="str">
        <f>[1]LISTADO_OTS!M806</f>
        <v/>
      </c>
      <c r="M806" t="str">
        <f>[1]LISTADO_OTS!N806</f>
        <v/>
      </c>
      <c r="U806" t="b">
        <f>[1]LISTADO_OTS!O806</f>
        <v>1</v>
      </c>
      <c r="V806" t="str">
        <f>[1]LISTADO_OTS!J806</f>
        <v>Agurain</v>
      </c>
      <c r="W806">
        <f>[1]LISTADO_OTS!R806</f>
        <v>3</v>
      </c>
      <c r="X806" t="str">
        <f>[1]LISTADO_OTS!P806</f>
        <v>GABI</v>
      </c>
      <c r="Y806">
        <v>1</v>
      </c>
      <c r="Z806">
        <f>[1]LISTADO_OTS!S806</f>
        <v>0</v>
      </c>
    </row>
    <row r="807" spans="1:26" x14ac:dyDescent="0.4">
      <c r="A807">
        <v>806</v>
      </c>
      <c r="B807" t="str">
        <f>[1]LISTADO_OTS!E807</f>
        <v>TP/0384</v>
      </c>
      <c r="C807">
        <f>VLOOKUP([1]LISTADO_OTS!B807,[1]Redes!$C$1:$E$5,3,FALSE)</f>
        <v>3</v>
      </c>
      <c r="D807">
        <f>[1]LISTADO_OTS!C807</f>
        <v>2</v>
      </c>
      <c r="E807">
        <f>[1]LISTADO_OTS!D807</f>
        <v>10</v>
      </c>
      <c r="F807">
        <f>[1]LISTADO_OTS!Q807</f>
        <v>3</v>
      </c>
      <c r="G807">
        <f>[1]LISTADO_OTS!R807</f>
        <v>3</v>
      </c>
      <c r="H807" t="str">
        <f>[1]LISTADO_OTS!H807</f>
        <v>Sustitución de contador en C/Bitikuri n8 en Argomaniz</v>
      </c>
      <c r="I807" t="str">
        <f>[1]LISTADO_OTS!I807</f>
        <v>Sustitución de contador en C/Bitikuri n8 en Argomaniz</v>
      </c>
      <c r="J807" s="1">
        <f>[1]LISTADO_OTS!F807</f>
        <v>45966</v>
      </c>
      <c r="K807" s="1">
        <f>[1]LISTADO_OTS!G807</f>
        <v>45966</v>
      </c>
      <c r="L807" t="str">
        <f>[1]LISTADO_OTS!M807</f>
        <v/>
      </c>
      <c r="M807" t="str">
        <f>[1]LISTADO_OTS!N807</f>
        <v/>
      </c>
      <c r="U807" t="b">
        <f>[1]LISTADO_OTS!O807</f>
        <v>1</v>
      </c>
      <c r="V807" t="str">
        <f>[1]LISTADO_OTS!J807</f>
        <v>Argomaniz</v>
      </c>
      <c r="W807">
        <f>[1]LISTADO_OTS!R807</f>
        <v>3</v>
      </c>
      <c r="X807" t="str">
        <f>[1]LISTADO_OTS!P807</f>
        <v>GABI</v>
      </c>
      <c r="Y807">
        <v>1</v>
      </c>
      <c r="Z807">
        <f>[1]LISTADO_OTS!S807</f>
        <v>0</v>
      </c>
    </row>
    <row r="808" spans="1:26" x14ac:dyDescent="0.4">
      <c r="A808">
        <v>807</v>
      </c>
      <c r="B808" t="str">
        <f>[1]LISTADO_OTS!E808</f>
        <v>OT/0507</v>
      </c>
      <c r="C808">
        <f>VLOOKUP([1]LISTADO_OTS!B808,[1]Redes!$C$1:$E$5,3,FALSE)</f>
        <v>3</v>
      </c>
      <c r="D808">
        <f>[1]LISTADO_OTS!C808</f>
        <v>1</v>
      </c>
      <c r="E808">
        <f>[1]LISTADO_OTS!D808</f>
        <v>0</v>
      </c>
      <c r="F808">
        <f>[1]LISTADO_OTS!Q808</f>
        <v>6</v>
      </c>
      <c r="G808">
        <f>[1]LISTADO_OTS!R808</f>
        <v>6</v>
      </c>
      <c r="H808" t="str">
        <f>[1]LISTADO_OTS!H808</f>
        <v>Reparación de fuga en C/Bengara n9A en Apellaniz</v>
      </c>
      <c r="I808" t="str">
        <f>[1]LISTADO_OTS!I808</f>
        <v>Reparación de fuga en C/Bengara n9A en Apellaniz</v>
      </c>
      <c r="J808" s="1">
        <f>[1]LISTADO_OTS!F808</f>
        <v>45966</v>
      </c>
      <c r="K808" s="1">
        <f>[1]LISTADO_OTS!G808</f>
        <v>45966</v>
      </c>
      <c r="L808">
        <f>[1]LISTADO_OTS!M808</f>
        <v>42.733063999999999</v>
      </c>
      <c r="M808">
        <f>[1]LISTADO_OTS!N808</f>
        <v>-2.483158</v>
      </c>
      <c r="U808" t="b">
        <f>[1]LISTADO_OTS!O808</f>
        <v>1</v>
      </c>
      <c r="V808" t="str">
        <f>[1]LISTADO_OTS!J808</f>
        <v>Apellaniz</v>
      </c>
      <c r="W808">
        <f>[1]LISTADO_OTS!R808</f>
        <v>6</v>
      </c>
      <c r="X808" t="str">
        <f>[1]LISTADO_OTS!P808</f>
        <v>GABI</v>
      </c>
      <c r="Y808">
        <v>1</v>
      </c>
      <c r="Z808">
        <f>[1]LISTADO_OTS!S808</f>
        <v>1</v>
      </c>
    </row>
    <row r="809" spans="1:26" x14ac:dyDescent="0.4">
      <c r="A809">
        <v>808</v>
      </c>
      <c r="B809" t="str">
        <f>[1]LISTADO_OTS!E809</f>
        <v>OT/0508</v>
      </c>
      <c r="C809">
        <f>VLOOKUP([1]LISTADO_OTS!B809,[1]Redes!$C$1:$E$5,3,FALSE)</f>
        <v>3</v>
      </c>
      <c r="D809">
        <f>[1]LISTADO_OTS!C809</f>
        <v>1</v>
      </c>
      <c r="E809">
        <f>[1]LISTADO_OTS!D809</f>
        <v>0</v>
      </c>
      <c r="F809">
        <f>[1]LISTADO_OTS!Q809</f>
        <v>5</v>
      </c>
      <c r="G809">
        <f>[1]LISTADO_OTS!R809</f>
        <v>5</v>
      </c>
      <c r="H809" t="str">
        <f>[1]LISTADO_OTS!H809</f>
        <v>Reparación de fuga en contador en C/Colina n2 en Corro</v>
      </c>
      <c r="I809" t="str">
        <f>[1]LISTADO_OTS!I809</f>
        <v>Reparación de fuga en contador en C/Colina n2 en Corro</v>
      </c>
      <c r="J809" s="1">
        <f>[1]LISTADO_OTS!F809</f>
        <v>45965</v>
      </c>
      <c r="K809" s="1">
        <f>[1]LISTADO_OTS!G809</f>
        <v>45965</v>
      </c>
      <c r="L809">
        <f>[1]LISTADO_OTS!M809</f>
        <v>42.880167</v>
      </c>
      <c r="M809">
        <f>[1]LISTADO_OTS!N809</f>
        <v>-3.1712349999999998</v>
      </c>
      <c r="U809" t="b">
        <f>[1]LISTADO_OTS!O809</f>
        <v>1</v>
      </c>
      <c r="V809" t="str">
        <f>[1]LISTADO_OTS!J809</f>
        <v>Corro</v>
      </c>
      <c r="W809">
        <f>[1]LISTADO_OTS!R809</f>
        <v>5</v>
      </c>
      <c r="X809" t="str">
        <f>[1]LISTADO_OTS!P809</f>
        <v>GABI</v>
      </c>
      <c r="Y809">
        <v>1</v>
      </c>
      <c r="Z809">
        <f>[1]LISTADO_OTS!S809</f>
        <v>1</v>
      </c>
    </row>
    <row r="810" spans="1:26" x14ac:dyDescent="0.4">
      <c r="A810">
        <v>809</v>
      </c>
      <c r="B810" t="str">
        <f>[1]LISTADO_OTS!E810</f>
        <v>OT/0509</v>
      </c>
      <c r="C810">
        <f>VLOOKUP([1]LISTADO_OTS!B810,[1]Redes!$C$1:$E$5,3,FALSE)</f>
        <v>3</v>
      </c>
      <c r="D810">
        <f>[1]LISTADO_OTS!C810</f>
        <v>1</v>
      </c>
      <c r="E810">
        <f>[1]LISTADO_OTS!D810</f>
        <v>0</v>
      </c>
      <c r="F810">
        <f>[1]LISTADO_OTS!Q810</f>
        <v>5</v>
      </c>
      <c r="G810">
        <f>[1]LISTADO_OTS!R810</f>
        <v>5</v>
      </c>
      <c r="H810" t="str">
        <f>[1]LISTADO_OTS!H810</f>
        <v>Reparación de fuga en contador en C/Alaguero n2 en Villanañe</v>
      </c>
      <c r="I810" t="str">
        <f>[1]LISTADO_OTS!I810</f>
        <v>Reparación de fuga en contador en C/Alaguero n2 en Villanañe</v>
      </c>
      <c r="J810" s="1">
        <f>[1]LISTADO_OTS!F810</f>
        <v>45965</v>
      </c>
      <c r="K810" s="1">
        <f>[1]LISTADO_OTS!G810</f>
        <v>45965</v>
      </c>
      <c r="L810">
        <f>[1]LISTADO_OTS!M810</f>
        <v>42.83614</v>
      </c>
      <c r="M810">
        <f>[1]LISTADO_OTS!N810</f>
        <v>-3.0732300000000001</v>
      </c>
      <c r="U810" t="b">
        <f>[1]LISTADO_OTS!O810</f>
        <v>1</v>
      </c>
      <c r="V810" t="str">
        <f>[1]LISTADO_OTS!J810</f>
        <v>Villanañe</v>
      </c>
      <c r="W810">
        <f>[1]LISTADO_OTS!R810</f>
        <v>5</v>
      </c>
      <c r="X810" t="str">
        <f>[1]LISTADO_OTS!P810</f>
        <v>GABI</v>
      </c>
      <c r="Y810">
        <v>1</v>
      </c>
      <c r="Z810">
        <f>[1]LISTADO_OTS!S810</f>
        <v>1</v>
      </c>
    </row>
    <row r="811" spans="1:26" x14ac:dyDescent="0.4">
      <c r="A811">
        <v>810</v>
      </c>
      <c r="B811" t="str">
        <f>[1]LISTADO_OTS!E811</f>
        <v>OT/0510</v>
      </c>
      <c r="C811">
        <f>VLOOKUP([1]LISTADO_OTS!B811,[1]Redes!$C$1:$E$5,3,FALSE)</f>
        <v>3</v>
      </c>
      <c r="D811">
        <f>[1]LISTADO_OTS!C811</f>
        <v>1</v>
      </c>
      <c r="E811">
        <f>[1]LISTADO_OTS!D811</f>
        <v>0</v>
      </c>
      <c r="F811">
        <f>[1]LISTADO_OTS!Q811</f>
        <v>5</v>
      </c>
      <c r="G811">
        <f>[1]LISTADO_OTS!R811</f>
        <v>5</v>
      </c>
      <c r="H811" t="str">
        <f>[1]LISTADO_OTS!H811</f>
        <v>Reparación de fuga en contador en C/Alaguero n4 en Villanañe</v>
      </c>
      <c r="I811" t="str">
        <f>[1]LISTADO_OTS!I811</f>
        <v>Reparación de fuga en contador en C/Alaguero n4 en Villanañe</v>
      </c>
      <c r="J811" s="1">
        <f>[1]LISTADO_OTS!F811</f>
        <v>45965</v>
      </c>
      <c r="K811" s="1">
        <f>[1]LISTADO_OTS!G811</f>
        <v>45965</v>
      </c>
      <c r="L811">
        <f>[1]LISTADO_OTS!M811</f>
        <v>42.835974</v>
      </c>
      <c r="M811">
        <f>[1]LISTADO_OTS!N811</f>
        <v>-3.0729790000000001</v>
      </c>
      <c r="U811" t="b">
        <f>[1]LISTADO_OTS!O811</f>
        <v>1</v>
      </c>
      <c r="V811" t="str">
        <f>[1]LISTADO_OTS!J811</f>
        <v>Villanañe</v>
      </c>
      <c r="W811">
        <f>[1]LISTADO_OTS!R811</f>
        <v>5</v>
      </c>
      <c r="X811" t="str">
        <f>[1]LISTADO_OTS!P811</f>
        <v>GABI</v>
      </c>
      <c r="Y811">
        <v>1</v>
      </c>
      <c r="Z811">
        <f>[1]LISTADO_OTS!S811</f>
        <v>1</v>
      </c>
    </row>
    <row r="812" spans="1:26" x14ac:dyDescent="0.4">
      <c r="A812">
        <v>811</v>
      </c>
      <c r="B812" t="str">
        <f>[1]LISTADO_OTS!E812</f>
        <v>TP/0385</v>
      </c>
      <c r="C812">
        <f>VLOOKUP([1]LISTADO_OTS!B812,[1]Redes!$C$1:$E$5,3,FALSE)</f>
        <v>3</v>
      </c>
      <c r="D812">
        <f>[1]LISTADO_OTS!C812</f>
        <v>2</v>
      </c>
      <c r="E812">
        <f>[1]LISTADO_OTS!D812</f>
        <v>10</v>
      </c>
      <c r="F812">
        <f>[1]LISTADO_OTS!Q812</f>
        <v>5</v>
      </c>
      <c r="G812">
        <f>[1]LISTADO_OTS!R812</f>
        <v>5</v>
      </c>
      <c r="H812" t="str">
        <f>[1]LISTADO_OTS!H812</f>
        <v>Sustitución de contador en C/Buenos Aires n8 en Lecicaña</v>
      </c>
      <c r="I812" t="str">
        <f>[1]LISTADO_OTS!I812</f>
        <v>Sustitución de contador en C/Buenos Aires n8 en Lecicaña</v>
      </c>
      <c r="J812" s="1">
        <f>[1]LISTADO_OTS!F812</f>
        <v>45965</v>
      </c>
      <c r="K812" s="1">
        <f>[1]LISTADO_OTS!G812</f>
        <v>45965</v>
      </c>
      <c r="L812" t="str">
        <f>[1]LISTADO_OTS!M812</f>
        <v/>
      </c>
      <c r="M812" t="str">
        <f>[1]LISTADO_OTS!N812</f>
        <v/>
      </c>
      <c r="U812" t="b">
        <f>[1]LISTADO_OTS!O812</f>
        <v>1</v>
      </c>
      <c r="V812" t="str">
        <f>[1]LISTADO_OTS!J812</f>
        <v>Lecicaña</v>
      </c>
      <c r="W812">
        <f>[1]LISTADO_OTS!R812</f>
        <v>5</v>
      </c>
      <c r="X812" t="str">
        <f>[1]LISTADO_OTS!P812</f>
        <v>GABI</v>
      </c>
      <c r="Y812">
        <v>1</v>
      </c>
      <c r="Z812">
        <f>[1]LISTADO_OTS!S812</f>
        <v>0</v>
      </c>
    </row>
    <row r="813" spans="1:26" x14ac:dyDescent="0.4">
      <c r="A813">
        <v>812</v>
      </c>
      <c r="B813" t="str">
        <f>[1]LISTADO_OTS!E813</f>
        <v>OT/0511</v>
      </c>
      <c r="C813">
        <f>VLOOKUP([1]LISTADO_OTS!B813,[1]Redes!$C$1:$E$5,3,FALSE)</f>
        <v>3</v>
      </c>
      <c r="D813">
        <f>[1]LISTADO_OTS!C813</f>
        <v>1</v>
      </c>
      <c r="E813">
        <f>[1]LISTADO_OTS!D813</f>
        <v>0</v>
      </c>
      <c r="F813">
        <f>[1]LISTADO_OTS!Q813</f>
        <v>5</v>
      </c>
      <c r="G813">
        <f>[1]LISTADO_OTS!R813</f>
        <v>5</v>
      </c>
      <c r="H813" t="str">
        <f>[1]LISTADO_OTS!H813</f>
        <v>Reparación de fuga en contador en Barrio del Campo n6 en Ocio</v>
      </c>
      <c r="I813" t="str">
        <f>[1]LISTADO_OTS!I813</f>
        <v>Reparación de fuga en contador en Barrio del Campo n6 en Ocio</v>
      </c>
      <c r="J813" s="1">
        <f>[1]LISTADO_OTS!F813</f>
        <v>45965</v>
      </c>
      <c r="K813" s="1">
        <f>[1]LISTADO_OTS!G813</f>
        <v>45965</v>
      </c>
      <c r="L813">
        <f>[1]LISTADO_OTS!M813</f>
        <v>42.655642999999998</v>
      </c>
      <c r="M813">
        <f>[1]LISTADO_OTS!N813</f>
        <v>-2.8224649999999998</v>
      </c>
      <c r="U813" t="b">
        <f>[1]LISTADO_OTS!O813</f>
        <v>1</v>
      </c>
      <c r="V813" t="str">
        <f>[1]LISTADO_OTS!J813</f>
        <v>Ocio</v>
      </c>
      <c r="W813">
        <f>[1]LISTADO_OTS!R813</f>
        <v>5</v>
      </c>
      <c r="X813" t="str">
        <f>[1]LISTADO_OTS!P813</f>
        <v>GABI</v>
      </c>
      <c r="Y813">
        <v>1</v>
      </c>
      <c r="Z813">
        <f>[1]LISTADO_OTS!S813</f>
        <v>1</v>
      </c>
    </row>
    <row r="814" spans="1:26" x14ac:dyDescent="0.4">
      <c r="A814">
        <v>813</v>
      </c>
      <c r="B814" t="str">
        <f>[1]LISTADO_OTS!E814</f>
        <v>OT/0512</v>
      </c>
      <c r="C814">
        <f>VLOOKUP([1]LISTADO_OTS!B814,[1]Redes!$C$1:$E$5,3,FALSE)</f>
        <v>3</v>
      </c>
      <c r="D814">
        <f>[1]LISTADO_OTS!C814</f>
        <v>1</v>
      </c>
      <c r="E814">
        <f>[1]LISTADO_OTS!D814</f>
        <v>0</v>
      </c>
      <c r="F814">
        <f>[1]LISTADO_OTS!Q814</f>
        <v>5</v>
      </c>
      <c r="G814">
        <f>[1]LISTADO_OTS!R814</f>
        <v>5</v>
      </c>
      <c r="H814" t="str">
        <f>[1]LISTADO_OTS!H814</f>
        <v>Reparación de fuga en válvula de contador en C/Real n13 en Armiñon</v>
      </c>
      <c r="I814" t="str">
        <f>[1]LISTADO_OTS!I814</f>
        <v>Reparación de fuga en válvula de contador en C/Real n13 en Armiñon</v>
      </c>
      <c r="J814" s="1">
        <f>[1]LISTADO_OTS!F814</f>
        <v>45967</v>
      </c>
      <c r="K814" s="1">
        <f>[1]LISTADO_OTS!G814</f>
        <v>45967</v>
      </c>
      <c r="L814">
        <f>[1]LISTADO_OTS!M814</f>
        <v>42.722180000000002</v>
      </c>
      <c r="M814">
        <f>[1]LISTADO_OTS!N814</f>
        <v>-2.8726950000000002</v>
      </c>
      <c r="U814" t="b">
        <f>[1]LISTADO_OTS!O814</f>
        <v>1</v>
      </c>
      <c r="V814" t="str">
        <f>[1]LISTADO_OTS!J814</f>
        <v>Armiñon</v>
      </c>
      <c r="W814">
        <f>[1]LISTADO_OTS!R814</f>
        <v>5</v>
      </c>
      <c r="X814" t="str">
        <f>[1]LISTADO_OTS!P814</f>
        <v>GABI</v>
      </c>
      <c r="Y814">
        <v>1</v>
      </c>
      <c r="Z814">
        <f>[1]LISTADO_OTS!S814</f>
        <v>1</v>
      </c>
    </row>
    <row r="815" spans="1:26" x14ac:dyDescent="0.4">
      <c r="A815">
        <v>814</v>
      </c>
      <c r="B815" t="str">
        <f>[1]LISTADO_OTS!E815</f>
        <v>OT/0513</v>
      </c>
      <c r="C815">
        <f>VLOOKUP([1]LISTADO_OTS!B815,[1]Redes!$C$1:$E$5,3,FALSE)</f>
        <v>3</v>
      </c>
      <c r="D815">
        <f>[1]LISTADO_OTS!C815</f>
        <v>1</v>
      </c>
      <c r="E815">
        <f>[1]LISTADO_OTS!D815</f>
        <v>0</v>
      </c>
      <c r="F815">
        <f>[1]LISTADO_OTS!Q815</f>
        <v>1</v>
      </c>
      <c r="G815">
        <f>[1]LISTADO_OTS!R815</f>
        <v>1</v>
      </c>
      <c r="H815" t="str">
        <f>[1]LISTADO_OTS!H815</f>
        <v>Reparación de fuga en Erbi</v>
      </c>
      <c r="I815" t="str">
        <f>[1]LISTADO_OTS!I815</f>
        <v>Reparación de fuga en Erbi</v>
      </c>
      <c r="J815" s="1">
        <f>[1]LISTADO_OTS!F815</f>
        <v>45967</v>
      </c>
      <c r="K815" s="1">
        <f>[1]LISTADO_OTS!G815</f>
        <v>45967</v>
      </c>
      <c r="L815">
        <f>[1]LISTADO_OTS!M815</f>
        <v>43.073281000000001</v>
      </c>
      <c r="M815">
        <f>[1]LISTADO_OTS!N815</f>
        <v>-3.108409</v>
      </c>
      <c r="U815" t="b">
        <f>[1]LISTADO_OTS!O815</f>
        <v>1</v>
      </c>
      <c r="V815" t="str">
        <f>[1]LISTADO_OTS!J815</f>
        <v>Erbi</v>
      </c>
      <c r="W815">
        <f>[1]LISTADO_OTS!R815</f>
        <v>1</v>
      </c>
      <c r="X815" t="str">
        <f>[1]LISTADO_OTS!P815</f>
        <v>IÑIGO</v>
      </c>
      <c r="Y815">
        <v>1</v>
      </c>
      <c r="Z815">
        <f>[1]LISTADO_OTS!S815</f>
        <v>1</v>
      </c>
    </row>
    <row r="816" spans="1:26" x14ac:dyDescent="0.4">
      <c r="A816">
        <v>815</v>
      </c>
      <c r="B816" t="str">
        <f>[1]LISTADO_OTS!E816</f>
        <v>TP/0386</v>
      </c>
      <c r="C816">
        <f>VLOOKUP([1]LISTADO_OTS!B816,[1]Redes!$C$1:$E$5,3,FALSE)</f>
        <v>5</v>
      </c>
      <c r="D816">
        <f>[1]LISTADO_OTS!C816</f>
        <v>2</v>
      </c>
      <c r="E816">
        <f>[1]LISTADO_OTS!D816</f>
        <v>1</v>
      </c>
      <c r="F816">
        <f>[1]LISTADO_OTS!Q816</f>
        <v>3</v>
      </c>
      <c r="G816">
        <f>[1]LISTADO_OTS!R816</f>
        <v>3</v>
      </c>
      <c r="H816" t="str">
        <f>[1]LISTADO_OTS!H816</f>
        <v>Localizar acometidas saneamiento ,pluviales en Alegría</v>
      </c>
      <c r="I816" t="str">
        <f>[1]LISTADO_OTS!I816</f>
        <v>Localizar acometidas saneamiento ,pluviales en Alegría</v>
      </c>
      <c r="J816" s="1">
        <f>[1]LISTADO_OTS!F816</f>
        <v>45967</v>
      </c>
      <c r="K816" s="1">
        <f>[1]LISTADO_OTS!G816</f>
        <v>45967</v>
      </c>
      <c r="L816">
        <f>[1]LISTADO_OTS!M816</f>
        <v>42.843777000000003</v>
      </c>
      <c r="M816">
        <f>[1]LISTADO_OTS!N816</f>
        <v>-2.5111849999999998</v>
      </c>
      <c r="U816" t="b">
        <f>[1]LISTADO_OTS!O816</f>
        <v>1</v>
      </c>
      <c r="V816" t="str">
        <f>[1]LISTADO_OTS!J816</f>
        <v>Alegria</v>
      </c>
      <c r="W816">
        <f>[1]LISTADO_OTS!R816</f>
        <v>3</v>
      </c>
      <c r="X816" t="str">
        <f>[1]LISTADO_OTS!P816</f>
        <v>ANGEL Y KERMAN</v>
      </c>
      <c r="Y816">
        <v>1</v>
      </c>
      <c r="Z816">
        <f>[1]LISTADO_OTS!S816</f>
        <v>0</v>
      </c>
    </row>
    <row r="817" spans="1:26" x14ac:dyDescent="0.4">
      <c r="A817">
        <v>816</v>
      </c>
      <c r="B817" t="str">
        <f>[1]LISTADO_OTS!E817</f>
        <v>OT/0514</v>
      </c>
      <c r="C817">
        <f>VLOOKUP([1]LISTADO_OTS!B817,[1]Redes!$C$1:$E$5,3,FALSE)</f>
        <v>3</v>
      </c>
      <c r="D817">
        <f>[1]LISTADO_OTS!C817</f>
        <v>1</v>
      </c>
      <c r="E817">
        <f>[1]LISTADO_OTS!D817</f>
        <v>0</v>
      </c>
      <c r="F817">
        <f>[1]LISTADO_OTS!Q817</f>
        <v>1</v>
      </c>
      <c r="G817">
        <f>[1]LISTADO_OTS!R817</f>
        <v>1</v>
      </c>
      <c r="H817" t="str">
        <f>[1]LISTADO_OTS!H817</f>
        <v>Aviso por turbidez en Katuxa Ibarra (Palacio) en Llodio</v>
      </c>
      <c r="I817" t="str">
        <f>[1]LISTADO_OTS!I817</f>
        <v>Aviso por turbidez en Katuxa Ibarra (Palacio) en Llodio</v>
      </c>
      <c r="J817" s="1">
        <f>[1]LISTADO_OTS!F817</f>
        <v>45967</v>
      </c>
      <c r="K817" s="1">
        <f>[1]LISTADO_OTS!G817</f>
        <v>45967</v>
      </c>
      <c r="L817">
        <f>[1]LISTADO_OTS!M817</f>
        <v>43.133439000000003</v>
      </c>
      <c r="M817">
        <f>[1]LISTADO_OTS!N817</f>
        <v>-2.970685</v>
      </c>
      <c r="U817" t="b">
        <f>[1]LISTADO_OTS!O817</f>
        <v>1</v>
      </c>
      <c r="V817" t="str">
        <f>[1]LISTADO_OTS!J817</f>
        <v>Llodio</v>
      </c>
      <c r="W817">
        <f>[1]LISTADO_OTS!R817</f>
        <v>1</v>
      </c>
      <c r="X817" t="str">
        <f>[1]LISTADO_OTS!P817</f>
        <v>TOMAS</v>
      </c>
      <c r="Y817">
        <v>1</v>
      </c>
      <c r="Z817">
        <f>[1]LISTADO_OTS!S817</f>
        <v>3</v>
      </c>
    </row>
    <row r="818" spans="1:26" x14ac:dyDescent="0.4">
      <c r="A818">
        <v>817</v>
      </c>
      <c r="B818" t="str">
        <f>[1]LISTADO_OTS!E818</f>
        <v>OT/0515</v>
      </c>
      <c r="C818">
        <f>VLOOKUP([1]LISTADO_OTS!B818,[1]Redes!$C$1:$E$5,3,FALSE)</f>
        <v>3</v>
      </c>
      <c r="D818">
        <f>[1]LISTADO_OTS!C818</f>
        <v>1</v>
      </c>
      <c r="E818">
        <f>[1]LISTADO_OTS!D818</f>
        <v>0</v>
      </c>
      <c r="F818">
        <f>[1]LISTADO_OTS!Q818</f>
        <v>1</v>
      </c>
      <c r="G818">
        <f>[1]LISTADO_OTS!R818</f>
        <v>1</v>
      </c>
      <c r="H818" t="str">
        <f>[1]LISTADO_OTS!H818</f>
        <v>Reparación de fuga en C/Aldai n26 en Amurrio</v>
      </c>
      <c r="I818" t="str">
        <f>[1]LISTADO_OTS!I818</f>
        <v>Reparación de fuga en C/Aldai n26 en Amurrio</v>
      </c>
      <c r="J818" s="1">
        <f>[1]LISTADO_OTS!F818</f>
        <v>45967</v>
      </c>
      <c r="K818" s="1">
        <f>[1]LISTADO_OTS!G818</f>
        <v>0</v>
      </c>
      <c r="L818">
        <f>[1]LISTADO_OTS!M818</f>
        <v>43.047975000000001</v>
      </c>
      <c r="M818">
        <f>[1]LISTADO_OTS!N818</f>
        <v>-3.004419</v>
      </c>
      <c r="U818" t="b">
        <f>[1]LISTADO_OTS!O818</f>
        <v>1</v>
      </c>
      <c r="V818" t="str">
        <f>[1]LISTADO_OTS!J818</f>
        <v>Amurrio</v>
      </c>
      <c r="W818">
        <f>[1]LISTADO_OTS!R818</f>
        <v>1</v>
      </c>
      <c r="X818" t="str">
        <f>[1]LISTADO_OTS!P818</f>
        <v>IÑIGO BEÑAT</v>
      </c>
      <c r="Y818">
        <v>1</v>
      </c>
      <c r="Z818">
        <f>[1]LISTADO_OTS!S818</f>
        <v>1</v>
      </c>
    </row>
    <row r="819" spans="1:26" x14ac:dyDescent="0.4">
      <c r="A819">
        <v>818</v>
      </c>
      <c r="B819" t="str">
        <f>[1]LISTADO_OTS!E819</f>
        <v>OT/0516</v>
      </c>
      <c r="C819">
        <f>VLOOKUP([1]LISTADO_OTS!B819,[1]Redes!$C$1:$E$5,3,FALSE)</f>
        <v>3</v>
      </c>
      <c r="D819">
        <f>[1]LISTADO_OTS!C819</f>
        <v>1</v>
      </c>
      <c r="E819">
        <f>[1]LISTADO_OTS!D819</f>
        <v>0</v>
      </c>
      <c r="F819">
        <f>[1]LISTADO_OTS!Q819</f>
        <v>5</v>
      </c>
      <c r="G819">
        <f>[1]LISTADO_OTS!R819</f>
        <v>5</v>
      </c>
      <c r="H819" t="str">
        <f>[1]LISTADO_OTS!H819</f>
        <v>Aviso fuga en Espejo</v>
      </c>
      <c r="I819" t="str">
        <f>[1]LISTADO_OTS!I819</f>
        <v>Aviso fuga en Espejo</v>
      </c>
      <c r="J819" s="1">
        <f>[1]LISTADO_OTS!F819</f>
        <v>45970</v>
      </c>
      <c r="K819" s="1">
        <f>[1]LISTADO_OTS!G819</f>
        <v>45970</v>
      </c>
      <c r="L819">
        <f>[1]LISTADO_OTS!M819</f>
        <v>42.808616000000001</v>
      </c>
      <c r="M819">
        <f>[1]LISTADO_OTS!N819</f>
        <v>-3.049801</v>
      </c>
      <c r="U819" t="b">
        <f>[1]LISTADO_OTS!O819</f>
        <v>1</v>
      </c>
      <c r="V819" t="str">
        <f>[1]LISTADO_OTS!J819</f>
        <v>Espejo</v>
      </c>
      <c r="W819">
        <f>[1]LISTADO_OTS!R819</f>
        <v>5</v>
      </c>
      <c r="X819" t="str">
        <f>[1]LISTADO_OTS!P819</f>
        <v/>
      </c>
      <c r="Y819">
        <v>1</v>
      </c>
      <c r="Z819">
        <f>[1]LISTADO_OTS!S819</f>
        <v>1</v>
      </c>
    </row>
    <row r="820" spans="1:26" x14ac:dyDescent="0.4">
      <c r="A820">
        <v>819</v>
      </c>
      <c r="B820" t="str">
        <f>[1]LISTADO_OTS!E820</f>
        <v>OT/0517</v>
      </c>
      <c r="C820">
        <f>VLOOKUP([1]LISTADO_OTS!B820,[1]Redes!$C$1:$E$5,3,FALSE)</f>
        <v>1</v>
      </c>
      <c r="D820">
        <f>[1]LISTADO_OTS!C820</f>
        <v>1</v>
      </c>
      <c r="E820">
        <f>[1]LISTADO_OTS!D820</f>
        <v>0</v>
      </c>
      <c r="F820">
        <f>[1]LISTADO_OTS!Q820</f>
        <v>1</v>
      </c>
      <c r="G820">
        <f>[1]LISTADO_OTS!R820</f>
        <v>1</v>
      </c>
      <c r="H820" t="str">
        <f>[1]LISTADO_OTS!H820</f>
        <v>Aviso de fuga en Erbi</v>
      </c>
      <c r="I820" t="str">
        <f>[1]LISTADO_OTS!I820</f>
        <v>Aviso de fuga en Erbi</v>
      </c>
      <c r="J820" s="1">
        <f>[1]LISTADO_OTS!F820</f>
        <v>45970</v>
      </c>
      <c r="K820" s="1">
        <f>[1]LISTADO_OTS!G820</f>
        <v>45970</v>
      </c>
      <c r="L820" t="str">
        <f>[1]LISTADO_OTS!M820</f>
        <v/>
      </c>
      <c r="M820" t="str">
        <f>[1]LISTADO_OTS!N820</f>
        <v/>
      </c>
      <c r="U820" t="b">
        <f>[1]LISTADO_OTS!O820</f>
        <v>1</v>
      </c>
      <c r="V820" t="str">
        <f>[1]LISTADO_OTS!J820</f>
        <v>Erbi</v>
      </c>
      <c r="W820">
        <f>[1]LISTADO_OTS!R820</f>
        <v>1</v>
      </c>
      <c r="X820" t="str">
        <f>[1]LISTADO_OTS!P820</f>
        <v/>
      </c>
      <c r="Y820">
        <v>1</v>
      </c>
      <c r="Z820">
        <f>[1]LISTADO_OTS!S820</f>
        <v>1</v>
      </c>
    </row>
    <row r="821" spans="1:26" x14ac:dyDescent="0.4">
      <c r="A821">
        <v>820</v>
      </c>
      <c r="B821" t="str">
        <f>[1]LISTADO_OTS!E821</f>
        <v>OT/0518</v>
      </c>
      <c r="C821">
        <f>VLOOKUP([1]LISTADO_OTS!B821,[1]Redes!$C$1:$E$5,3,FALSE)</f>
        <v>5</v>
      </c>
      <c r="D821">
        <f>[1]LISTADO_OTS!C821</f>
        <v>1</v>
      </c>
      <c r="E821">
        <f>[1]LISTADO_OTS!D821</f>
        <v>0</v>
      </c>
      <c r="F821">
        <f>[1]LISTADO_OTS!Q821</f>
        <v>5</v>
      </c>
      <c r="G821">
        <f>[1]LISTADO_OTS!R821</f>
        <v>5</v>
      </c>
      <c r="H821" t="str">
        <f>[1]LISTADO_OTS!H821</f>
        <v>Atasco y vaciado de fosa bar sociedad en Sobrón</v>
      </c>
      <c r="I821" t="str">
        <f>[1]LISTADO_OTS!I821</f>
        <v>Atasco y vaciado de fosa bar sociedad en Sobrón</v>
      </c>
      <c r="J821" s="1">
        <f>[1]LISTADO_OTS!F821</f>
        <v>45970</v>
      </c>
      <c r="K821" s="1">
        <f>[1]LISTADO_OTS!G821</f>
        <v>45970</v>
      </c>
      <c r="L821" t="str">
        <f>[1]LISTADO_OTS!M821</f>
        <v/>
      </c>
      <c r="M821" t="str">
        <f>[1]LISTADO_OTS!N821</f>
        <v/>
      </c>
      <c r="U821" t="b">
        <f>[1]LISTADO_OTS!O821</f>
        <v>1</v>
      </c>
      <c r="V821" t="str">
        <f>[1]LISTADO_OTS!J821</f>
        <v>Sobrón</v>
      </c>
      <c r="W821">
        <f>[1]LISTADO_OTS!R821</f>
        <v>5</v>
      </c>
      <c r="X821" t="str">
        <f>[1]LISTADO_OTS!P821</f>
        <v/>
      </c>
      <c r="Y821">
        <v>1</v>
      </c>
      <c r="Z821">
        <f>[1]LISTADO_OTS!S821</f>
        <v>2</v>
      </c>
    </row>
    <row r="822" spans="1:26" x14ac:dyDescent="0.4">
      <c r="A822">
        <v>821</v>
      </c>
      <c r="B822" t="str">
        <f>[1]LISTADO_OTS!E822</f>
        <v>OT/0519</v>
      </c>
      <c r="C822">
        <f>VLOOKUP([1]LISTADO_OTS!B822,[1]Redes!$C$1:$E$5,3,FALSE)</f>
        <v>3</v>
      </c>
      <c r="D822">
        <f>[1]LISTADO_OTS!C822</f>
        <v>1</v>
      </c>
      <c r="E822">
        <f>[1]LISTADO_OTS!D822</f>
        <v>0</v>
      </c>
      <c r="F822">
        <f>[1]LISTADO_OTS!Q822</f>
        <v>3</v>
      </c>
      <c r="G822">
        <f>[1]LISTADO_OTS!R822</f>
        <v>3</v>
      </c>
      <c r="H822" t="str">
        <f>[1]LISTADO_OTS!H822</f>
        <v>Aviso abonados sin agua en C/Zenbidea en Argómaniz</v>
      </c>
      <c r="I822" t="str">
        <f>[1]LISTADO_OTS!I822</f>
        <v>Aviso abonados sin agua en C/Zenbidea en Argómaniz</v>
      </c>
      <c r="J822" s="1">
        <f>[1]LISTADO_OTS!F822</f>
        <v>45969</v>
      </c>
      <c r="K822" s="1">
        <f>[1]LISTADO_OTS!G822</f>
        <v>45969</v>
      </c>
      <c r="L822">
        <f>[1]LISTADO_OTS!M822</f>
        <v>42.86748</v>
      </c>
      <c r="M822">
        <f>[1]LISTADO_OTS!N822</f>
        <v>-2.5404939999999998</v>
      </c>
      <c r="U822" t="b">
        <f>[1]LISTADO_OTS!O822</f>
        <v>1</v>
      </c>
      <c r="V822" t="str">
        <f>[1]LISTADO_OTS!J822</f>
        <v>Argómaniz</v>
      </c>
      <c r="W822">
        <f>[1]LISTADO_OTS!R822</f>
        <v>3</v>
      </c>
      <c r="X822" t="str">
        <f>[1]LISTADO_OTS!P822</f>
        <v/>
      </c>
      <c r="Y822">
        <v>1</v>
      </c>
      <c r="Z822">
        <f>[1]LISTADO_OTS!S822</f>
        <v>3</v>
      </c>
    </row>
    <row r="823" spans="1:26" x14ac:dyDescent="0.4">
      <c r="A823">
        <v>822</v>
      </c>
      <c r="B823" t="str">
        <f>[1]LISTADO_OTS!E823</f>
        <v>OT/0520</v>
      </c>
      <c r="C823">
        <f>VLOOKUP([1]LISTADO_OTS!B823,[1]Redes!$C$1:$E$5,3,FALSE)</f>
        <v>3</v>
      </c>
      <c r="D823">
        <f>[1]LISTADO_OTS!C823</f>
        <v>1</v>
      </c>
      <c r="E823">
        <f>[1]LISTADO_OTS!D823</f>
        <v>0</v>
      </c>
      <c r="F823">
        <f>[1]LISTADO_OTS!Q823</f>
        <v>1</v>
      </c>
      <c r="G823">
        <f>[1]LISTADO_OTS!R823</f>
        <v>1</v>
      </c>
      <c r="H823" t="str">
        <f>[1]LISTADO_OTS!H823</f>
        <v>Reparación de fuga en el Molino (Zuaza)</v>
      </c>
      <c r="I823" t="str">
        <f>[1]LISTADO_OTS!I823</f>
        <v>Reparación de fuga en el Molino (Zuaza)</v>
      </c>
      <c r="J823" s="1">
        <f>[1]LISTADO_OTS!F823</f>
        <v>45968</v>
      </c>
      <c r="K823" s="1">
        <f>[1]LISTADO_OTS!G823</f>
        <v>45968</v>
      </c>
      <c r="L823" t="str">
        <f>[1]LISTADO_OTS!M823</f>
        <v/>
      </c>
      <c r="M823" t="str">
        <f>[1]LISTADO_OTS!N823</f>
        <v/>
      </c>
      <c r="U823" t="b">
        <f>[1]LISTADO_OTS!O823</f>
        <v>1</v>
      </c>
      <c r="V823" t="str">
        <f>[1]LISTADO_OTS!J823</f>
        <v>Zuaza</v>
      </c>
      <c r="W823">
        <f>[1]LISTADO_OTS!R823</f>
        <v>1</v>
      </c>
      <c r="X823" t="str">
        <f>[1]LISTADO_OTS!P823</f>
        <v/>
      </c>
      <c r="Y823">
        <v>1</v>
      </c>
      <c r="Z823">
        <f>[1]LISTADO_OTS!S823</f>
        <v>1</v>
      </c>
    </row>
    <row r="824" spans="1:26" x14ac:dyDescent="0.4">
      <c r="A824">
        <v>823</v>
      </c>
      <c r="B824" t="str">
        <f>[1]LISTADO_OTS!E824</f>
        <v>OT/0521</v>
      </c>
      <c r="C824">
        <f>VLOOKUP([1]LISTADO_OTS!B824,[1]Redes!$C$1:$E$5,3,FALSE)</f>
        <v>3</v>
      </c>
      <c r="D824">
        <f>[1]LISTADO_OTS!C824</f>
        <v>1</v>
      </c>
      <c r="E824">
        <f>[1]LISTADO_OTS!D824</f>
        <v>0</v>
      </c>
      <c r="F824">
        <f>[1]LISTADO_OTS!Q824</f>
        <v>3</v>
      </c>
      <c r="G824">
        <f>[1]LISTADO_OTS!R824</f>
        <v>3</v>
      </c>
      <c r="H824" t="str">
        <f>[1]LISTADO_OTS!H824</f>
        <v>Reparación de fuga en Hijona</v>
      </c>
      <c r="I824" t="str">
        <f>[1]LISTADO_OTS!I824</f>
        <v>Reparación de fuga en Hijona</v>
      </c>
      <c r="J824" s="1">
        <f>[1]LISTADO_OTS!F824</f>
        <v>45965</v>
      </c>
      <c r="K824" s="1">
        <f>[1]LISTADO_OTS!G824</f>
        <v>45965</v>
      </c>
      <c r="L824">
        <f>[1]LISTADO_OTS!M824</f>
        <v>42.814362000000003</v>
      </c>
      <c r="M824">
        <f>[1]LISTADO_OTS!N824</f>
        <v>-2.5465819999999999</v>
      </c>
      <c r="U824" t="b">
        <f>[1]LISTADO_OTS!O824</f>
        <v>1</v>
      </c>
      <c r="V824" t="str">
        <f>[1]LISTADO_OTS!J824</f>
        <v>Hijona</v>
      </c>
      <c r="W824">
        <f>[1]LISTADO_OTS!R824</f>
        <v>3</v>
      </c>
      <c r="X824" t="str">
        <f>[1]LISTADO_OTS!P824</f>
        <v>EDUARDO MIGUEL</v>
      </c>
      <c r="Y824">
        <v>1</v>
      </c>
      <c r="Z824">
        <f>[1]LISTADO_OTS!S824</f>
        <v>1</v>
      </c>
    </row>
    <row r="825" spans="1:26" x14ac:dyDescent="0.4">
      <c r="A825">
        <v>824</v>
      </c>
      <c r="B825" t="str">
        <f>[1]LISTADO_OTS!E825</f>
        <v>OT/0522</v>
      </c>
      <c r="C825">
        <f>VLOOKUP([1]LISTADO_OTS!B825,[1]Redes!$C$1:$E$5,3,FALSE)</f>
        <v>3</v>
      </c>
      <c r="D825">
        <f>[1]LISTADO_OTS!C825</f>
        <v>1</v>
      </c>
      <c r="E825">
        <f>[1]LISTADO_OTS!D825</f>
        <v>0</v>
      </c>
      <c r="F825">
        <f>[1]LISTADO_OTS!Q825</f>
        <v>3</v>
      </c>
      <c r="G825">
        <f>[1]LISTADO_OTS!R825</f>
        <v>3</v>
      </c>
      <c r="H825" t="str">
        <f>[1]LISTADO_OTS!H825</f>
        <v>Reparación de fuga en Agurain</v>
      </c>
      <c r="I825" t="str">
        <f>[1]LISTADO_OTS!I825</f>
        <v>Reparación de fuga en Agurain</v>
      </c>
      <c r="J825" s="1">
        <f>[1]LISTADO_OTS!F825</f>
        <v>45969</v>
      </c>
      <c r="K825" s="1">
        <f>[1]LISTADO_OTS!G825</f>
        <v>45969</v>
      </c>
      <c r="L825">
        <f>[1]LISTADO_OTS!M825</f>
        <v>42.857115</v>
      </c>
      <c r="M825">
        <f>[1]LISTADO_OTS!N825</f>
        <v>-2.38781</v>
      </c>
      <c r="U825" t="b">
        <f>[1]LISTADO_OTS!O825</f>
        <v>1</v>
      </c>
      <c r="V825" t="str">
        <f>[1]LISTADO_OTS!J825</f>
        <v>Agurain</v>
      </c>
      <c r="W825">
        <f>[1]LISTADO_OTS!R825</f>
        <v>3</v>
      </c>
      <c r="X825" t="str">
        <f>[1]LISTADO_OTS!P825</f>
        <v>EDUARDO MIGUEL</v>
      </c>
      <c r="Y825">
        <v>1</v>
      </c>
      <c r="Z825">
        <f>[1]LISTADO_OTS!S825</f>
        <v>1</v>
      </c>
    </row>
    <row r="826" spans="1:26" x14ac:dyDescent="0.4">
      <c r="A826">
        <v>825</v>
      </c>
      <c r="B826" t="str">
        <f>[1]LISTADO_OTS!E826</f>
        <v>TP/0387</v>
      </c>
      <c r="C826">
        <f>VLOOKUP([1]LISTADO_OTS!B826,[1]Redes!$C$1:$E$5,3,FALSE)</f>
        <v>3</v>
      </c>
      <c r="D826">
        <f>[1]LISTADO_OTS!C826</f>
        <v>2</v>
      </c>
      <c r="E826">
        <f>[1]LISTADO_OTS!D826</f>
        <v>24</v>
      </c>
      <c r="F826">
        <f>[1]LISTADO_OTS!Q826</f>
        <v>5</v>
      </c>
      <c r="G826">
        <f>[1]LISTADO_OTS!R826</f>
        <v>5</v>
      </c>
      <c r="H826" t="str">
        <f>[1]LISTADO_OTS!H826</f>
        <v>Revisión y verificación de contador en Rivabellosa</v>
      </c>
      <c r="I826" t="str">
        <f>[1]LISTADO_OTS!I826</f>
        <v>Revisión y verificación de contador en Rivabellosa</v>
      </c>
      <c r="J826" s="1">
        <f>[1]LISTADO_OTS!F826</f>
        <v>45967</v>
      </c>
      <c r="K826" s="1">
        <f>[1]LISTADO_OTS!G826</f>
        <v>45967</v>
      </c>
      <c r="L826" t="str">
        <f>[1]LISTADO_OTS!M826</f>
        <v/>
      </c>
      <c r="M826" t="str">
        <f>[1]LISTADO_OTS!N826</f>
        <v/>
      </c>
      <c r="U826" t="b">
        <f>[1]LISTADO_OTS!O826</f>
        <v>1</v>
      </c>
      <c r="V826" t="str">
        <f>[1]LISTADO_OTS!J826</f>
        <v>Ribabellosa</v>
      </c>
      <c r="W826">
        <f>[1]LISTADO_OTS!R826</f>
        <v>5</v>
      </c>
      <c r="X826" t="str">
        <f>[1]LISTADO_OTS!P826</f>
        <v/>
      </c>
      <c r="Y826">
        <v>1</v>
      </c>
      <c r="Z826">
        <f>[1]LISTADO_OTS!S826</f>
        <v>0</v>
      </c>
    </row>
    <row r="827" spans="1:26" x14ac:dyDescent="0.4">
      <c r="A827">
        <v>826</v>
      </c>
      <c r="B827" t="str">
        <f>[1]LISTADO_OTS!E827</f>
        <v>TP/0388</v>
      </c>
      <c r="C827">
        <f>VLOOKUP([1]LISTADO_OTS!B827,[1]Redes!$C$1:$E$5,3,FALSE)</f>
        <v>3</v>
      </c>
      <c r="D827">
        <f>[1]LISTADO_OTS!C827</f>
        <v>2</v>
      </c>
      <c r="E827">
        <f>[1]LISTADO_OTS!D827</f>
        <v>10</v>
      </c>
      <c r="F827">
        <f>[1]LISTADO_OTS!Q827</f>
        <v>6</v>
      </c>
      <c r="G827">
        <f>[1]LISTADO_OTS!R827</f>
        <v>6</v>
      </c>
      <c r="H827" t="str">
        <f>[1]LISTADO_OTS!H827</f>
        <v>Sustitución de contador C/Andra Mari n8 en Ullibarri Arana</v>
      </c>
      <c r="I827" t="str">
        <f>[1]LISTADO_OTS!I827</f>
        <v>Sustitución de contador C/Andra Mari n8 en Ullibarri Arana</v>
      </c>
      <c r="J827" s="1">
        <f>[1]LISTADO_OTS!F827</f>
        <v>45968</v>
      </c>
      <c r="K827" s="1">
        <f>[1]LISTADO_OTS!G827</f>
        <v>45968</v>
      </c>
      <c r="L827" t="str">
        <f>[1]LISTADO_OTS!M827</f>
        <v/>
      </c>
      <c r="M827" t="str">
        <f>[1]LISTADO_OTS!N827</f>
        <v/>
      </c>
      <c r="U827" t="b">
        <f>[1]LISTADO_OTS!O827</f>
        <v>1</v>
      </c>
      <c r="V827" t="str">
        <f>[1]LISTADO_OTS!J827</f>
        <v>Ullibarri Arana</v>
      </c>
      <c r="W827">
        <f>[1]LISTADO_OTS!R827</f>
        <v>6</v>
      </c>
      <c r="X827" t="str">
        <f>[1]LISTADO_OTS!P827</f>
        <v/>
      </c>
      <c r="Y827">
        <v>1</v>
      </c>
      <c r="Z827">
        <f>[1]LISTADO_OTS!S827</f>
        <v>0</v>
      </c>
    </row>
    <row r="828" spans="1:26" x14ac:dyDescent="0.4">
      <c r="A828">
        <v>827</v>
      </c>
      <c r="B828" t="str">
        <f>[1]LISTADO_OTS!E828</f>
        <v>TP/0389</v>
      </c>
      <c r="C828">
        <f>VLOOKUP([1]LISTADO_OTS!B828,[1]Redes!$C$1:$E$5,3,FALSE)</f>
        <v>3</v>
      </c>
      <c r="D828">
        <f>[1]LISTADO_OTS!C828</f>
        <v>2</v>
      </c>
      <c r="E828">
        <f>[1]LISTADO_OTS!D828</f>
        <v>10</v>
      </c>
      <c r="F828">
        <f>[1]LISTADO_OTS!Q828</f>
        <v>5</v>
      </c>
      <c r="G828">
        <f>[1]LISTADO_OTS!R828</f>
        <v>5</v>
      </c>
      <c r="H828" t="str">
        <f>[1]LISTADO_OTS!H828</f>
        <v>Sustitución de contador C/Ires Palacios n6 Salinas de Añana</v>
      </c>
      <c r="I828" t="str">
        <f>[1]LISTADO_OTS!I828</f>
        <v>Sustitución de contador C/Ires Palacios n6 Salinas de Añana</v>
      </c>
      <c r="J828" s="1">
        <f>[1]LISTADO_OTS!F828</f>
        <v>45968</v>
      </c>
      <c r="K828" s="1">
        <f>[1]LISTADO_OTS!G828</f>
        <v>45968</v>
      </c>
      <c r="L828" t="str">
        <f>[1]LISTADO_OTS!M828</f>
        <v/>
      </c>
      <c r="M828" t="str">
        <f>[1]LISTADO_OTS!N828</f>
        <v/>
      </c>
      <c r="U828" t="b">
        <f>[1]LISTADO_OTS!O828</f>
        <v>1</v>
      </c>
      <c r="V828" t="str">
        <f>[1]LISTADO_OTS!J828</f>
        <v>Salinas de Añana</v>
      </c>
      <c r="W828">
        <f>[1]LISTADO_OTS!R828</f>
        <v>5</v>
      </c>
      <c r="X828" t="str">
        <f>[1]LISTADO_OTS!P828</f>
        <v/>
      </c>
      <c r="Y828">
        <v>1</v>
      </c>
      <c r="Z828">
        <f>[1]LISTADO_OTS!S828</f>
        <v>0</v>
      </c>
    </row>
    <row r="829" spans="1:26" x14ac:dyDescent="0.4">
      <c r="A829">
        <v>828</v>
      </c>
      <c r="B829" t="str">
        <f>[1]LISTADO_OTS!E829</f>
        <v>TP/0390</v>
      </c>
      <c r="C829">
        <f>VLOOKUP([1]LISTADO_OTS!B829,[1]Redes!$C$1:$E$5,3,FALSE)</f>
        <v>3</v>
      </c>
      <c r="D829">
        <f>[1]LISTADO_OTS!C829</f>
        <v>2</v>
      </c>
      <c r="E829">
        <f>[1]LISTADO_OTS!D829</f>
        <v>10</v>
      </c>
      <c r="F829">
        <f>[1]LISTADO_OTS!Q829</f>
        <v>5</v>
      </c>
      <c r="G829">
        <f>[1]LISTADO_OTS!R829</f>
        <v>5</v>
      </c>
      <c r="H829" t="str">
        <f>[1]LISTADO_OTS!H829</f>
        <v>Sustitución de contador C/Real n17 en Armiñon</v>
      </c>
      <c r="I829" t="str">
        <f>[1]LISTADO_OTS!I829</f>
        <v>Sustitución de contador C/Real n17 en Armiñon</v>
      </c>
      <c r="J829" s="1">
        <f>[1]LISTADO_OTS!F829</f>
        <v>45968</v>
      </c>
      <c r="K829" s="1">
        <f>[1]LISTADO_OTS!G829</f>
        <v>45968</v>
      </c>
      <c r="L829" t="str">
        <f>[1]LISTADO_OTS!M829</f>
        <v/>
      </c>
      <c r="M829" t="str">
        <f>[1]LISTADO_OTS!N829</f>
        <v/>
      </c>
      <c r="U829" t="b">
        <f>[1]LISTADO_OTS!O829</f>
        <v>1</v>
      </c>
      <c r="V829" t="str">
        <f>[1]LISTADO_OTS!J829</f>
        <v>Armiñon</v>
      </c>
      <c r="W829">
        <f>[1]LISTADO_OTS!R829</f>
        <v>5</v>
      </c>
      <c r="X829" t="str">
        <f>[1]LISTADO_OTS!P829</f>
        <v>GABI</v>
      </c>
      <c r="Y829">
        <v>1</v>
      </c>
      <c r="Z829">
        <f>[1]LISTADO_OTS!S829</f>
        <v>0</v>
      </c>
    </row>
  </sheetData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LISTADO OTS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ASIER PEREZ</dc:creator>
  <cp:lastModifiedBy>ASIER PEREZ</cp:lastModifiedBy>
  <dcterms:created xsi:type="dcterms:W3CDTF">2025-11-11T22:52:21Z</dcterms:created>
  <dcterms:modified xsi:type="dcterms:W3CDTF">2025-11-11T22:52:43Z</dcterms:modified>
</cp:coreProperties>
</file>